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awork\Mat\data\"/>
    </mc:Choice>
  </mc:AlternateContent>
  <xr:revisionPtr revIDLastSave="0" documentId="13_ncr:1_{3BBF1D93-1FE4-4161-BF8C-E7F22D9A66F6}" xr6:coauthVersionLast="47" xr6:coauthVersionMax="47" xr10:uidLastSave="{00000000-0000-0000-0000-000000000000}"/>
  <bookViews>
    <workbookView xWindow="-93" yWindow="-93" windowWidth="25786" windowHeight="13866" xr2:uid="{FA6AEBBB-4C96-4E99-86C0-E68CFD369B5A}"/>
  </bookViews>
  <sheets>
    <sheet name="Combined" sheetId="4" r:id="rId1"/>
    <sheet name="Xue" sheetId="1" r:id="rId2"/>
    <sheet name="Bio_Ti_clean" sheetId="2" r:id="rId3"/>
    <sheet name="dax-ti-static" sheetId="3" r:id="rId4"/>
  </sheets>
  <definedNames>
    <definedName name="_xlnm._FilterDatabase" localSheetId="2" hidden="1">Bio_Ti_clean!$A$1:$BC$240</definedName>
    <definedName name="_xlnm._FilterDatabase" localSheetId="0" hidden="1">Combined!$A$1:$AX$1727</definedName>
    <definedName name="_xlnm._FilterDatabase" localSheetId="3" hidden="1">'dax-ti-static'!$A$1:$BC$284</definedName>
    <definedName name="_xlnm._FilterDatabase" localSheetId="1" hidden="1">Xue!$A$1:$BC$1205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3" i="3" l="1"/>
  <c r="AT4" i="3"/>
  <c r="AT5" i="3"/>
  <c r="AT6" i="3"/>
  <c r="AT7" i="3"/>
  <c r="AT8" i="3"/>
  <c r="AT9" i="3"/>
  <c r="AT10" i="3"/>
  <c r="AT11" i="3"/>
  <c r="AT12" i="3"/>
  <c r="AT13" i="3"/>
  <c r="AT14" i="3"/>
  <c r="AT15" i="3"/>
  <c r="AT16" i="3"/>
  <c r="AT17" i="3"/>
  <c r="AT18" i="3"/>
  <c r="AT19" i="3"/>
  <c r="AT20" i="3"/>
  <c r="AT21" i="3"/>
  <c r="AT22" i="3"/>
  <c r="AT23" i="3"/>
  <c r="AT24" i="3"/>
  <c r="AT25" i="3"/>
  <c r="AT26" i="3"/>
  <c r="AT27" i="3"/>
  <c r="AT28" i="3"/>
  <c r="AT29" i="3"/>
  <c r="AT30" i="3"/>
  <c r="AT31" i="3"/>
  <c r="AT32" i="3"/>
  <c r="AT33" i="3"/>
  <c r="AT34" i="3"/>
  <c r="AT35" i="3"/>
  <c r="AT36" i="3"/>
  <c r="AT37" i="3"/>
  <c r="AT38" i="3"/>
  <c r="AT39" i="3"/>
  <c r="AT40" i="3"/>
  <c r="AT41" i="3"/>
  <c r="AT42" i="3"/>
  <c r="AT43" i="3"/>
  <c r="AT44" i="3"/>
  <c r="AT45" i="3"/>
  <c r="AT46" i="3"/>
  <c r="AT47" i="3"/>
  <c r="AT48" i="3"/>
  <c r="AT49" i="3"/>
  <c r="AT50" i="3"/>
  <c r="AT51" i="3"/>
  <c r="AT52" i="3"/>
  <c r="AT53" i="3"/>
  <c r="AT54" i="3"/>
  <c r="AT55" i="3"/>
  <c r="AT56" i="3"/>
  <c r="AT57" i="3"/>
  <c r="AT58" i="3"/>
  <c r="AT59" i="3"/>
  <c r="AT60" i="3"/>
  <c r="AT61" i="3"/>
  <c r="AT62" i="3"/>
  <c r="AT63" i="3"/>
  <c r="AT64" i="3"/>
  <c r="AT65" i="3"/>
  <c r="AT66" i="3"/>
  <c r="AT67" i="3"/>
  <c r="AT68" i="3"/>
  <c r="AT69" i="3"/>
  <c r="AT70" i="3"/>
  <c r="AT71" i="3"/>
  <c r="AT72" i="3"/>
  <c r="AT73" i="3"/>
  <c r="AT74" i="3"/>
  <c r="AT75" i="3"/>
  <c r="AT76" i="3"/>
  <c r="AT77" i="3"/>
  <c r="AT78" i="3"/>
  <c r="AT79" i="3"/>
  <c r="AT80" i="3"/>
  <c r="AT81" i="3"/>
  <c r="AT82" i="3"/>
  <c r="AT83" i="3"/>
  <c r="AT84" i="3"/>
  <c r="AT85" i="3"/>
  <c r="AT86" i="3"/>
  <c r="AT87" i="3"/>
  <c r="AT88" i="3"/>
  <c r="AT89" i="3"/>
  <c r="AT90" i="3"/>
  <c r="AT91" i="3"/>
  <c r="AT92" i="3"/>
  <c r="AT93" i="3"/>
  <c r="AT94" i="3"/>
  <c r="AT95" i="3"/>
  <c r="AT96" i="3"/>
  <c r="AT97" i="3"/>
  <c r="AT98" i="3"/>
  <c r="AT99" i="3"/>
  <c r="AT100" i="3"/>
  <c r="AT101" i="3"/>
  <c r="AT102" i="3"/>
  <c r="AT103" i="3"/>
  <c r="AT104" i="3"/>
  <c r="AT105" i="3"/>
  <c r="AT106" i="3"/>
  <c r="AT107" i="3"/>
  <c r="AT108" i="3"/>
  <c r="AT109" i="3"/>
  <c r="AT110" i="3"/>
  <c r="AT111" i="3"/>
  <c r="AT112" i="3"/>
  <c r="AT113" i="3"/>
  <c r="AT114" i="3"/>
  <c r="AT115" i="3"/>
  <c r="AT116" i="3"/>
  <c r="AT117" i="3"/>
  <c r="AT118" i="3"/>
  <c r="AT119" i="3"/>
  <c r="AT120" i="3"/>
  <c r="AT121" i="3"/>
  <c r="AT122" i="3"/>
  <c r="AT123" i="3"/>
  <c r="AT124" i="3"/>
  <c r="AT125" i="3"/>
  <c r="AT126" i="3"/>
  <c r="AT127" i="3"/>
  <c r="AT128" i="3"/>
  <c r="AT129" i="3"/>
  <c r="AT130" i="3"/>
  <c r="AT131" i="3"/>
  <c r="AT132" i="3"/>
  <c r="AT133" i="3"/>
  <c r="AT134" i="3"/>
  <c r="AT135" i="3"/>
  <c r="AT136" i="3"/>
  <c r="AT137" i="3"/>
  <c r="AT138" i="3"/>
  <c r="AT139" i="3"/>
  <c r="AT140" i="3"/>
  <c r="AT141" i="3"/>
  <c r="AT142" i="3"/>
  <c r="AT143" i="3"/>
  <c r="AT144" i="3"/>
  <c r="AT145" i="3"/>
  <c r="AT146" i="3"/>
  <c r="AT147" i="3"/>
  <c r="AT148" i="3"/>
  <c r="AT149" i="3"/>
  <c r="AT150" i="3"/>
  <c r="AT151" i="3"/>
  <c r="AT152" i="3"/>
  <c r="AT153" i="3"/>
  <c r="AT154" i="3"/>
  <c r="AT155" i="3"/>
  <c r="AT156" i="3"/>
  <c r="AT157" i="3"/>
  <c r="AT158" i="3"/>
  <c r="AT159" i="3"/>
  <c r="AT160" i="3"/>
  <c r="AT161" i="3"/>
  <c r="AT162" i="3"/>
  <c r="AT163" i="3"/>
  <c r="AT164" i="3"/>
  <c r="AT165" i="3"/>
  <c r="AT166" i="3"/>
  <c r="AT167" i="3"/>
  <c r="AT168" i="3"/>
  <c r="AT169" i="3"/>
  <c r="AT170" i="3"/>
  <c r="AT171" i="3"/>
  <c r="AT172" i="3"/>
  <c r="AT173" i="3"/>
  <c r="AT174" i="3"/>
  <c r="AT175" i="3"/>
  <c r="AT176" i="3"/>
  <c r="AT177" i="3"/>
  <c r="AT178" i="3"/>
  <c r="AT179" i="3"/>
  <c r="AT180" i="3"/>
  <c r="AT181" i="3"/>
  <c r="AT182" i="3"/>
  <c r="AT183" i="3"/>
  <c r="AT184" i="3"/>
  <c r="AT185" i="3"/>
  <c r="AT186" i="3"/>
  <c r="AT187" i="3"/>
  <c r="AT188" i="3"/>
  <c r="AT189" i="3"/>
  <c r="AT190" i="3"/>
  <c r="AT191" i="3"/>
  <c r="AT192" i="3"/>
  <c r="AT193" i="3"/>
  <c r="AT194" i="3"/>
  <c r="AT195" i="3"/>
  <c r="AT196" i="3"/>
  <c r="AT197" i="3"/>
  <c r="AT198" i="3"/>
  <c r="AT199" i="3"/>
  <c r="AT200" i="3"/>
  <c r="AT201" i="3"/>
  <c r="AT202" i="3"/>
  <c r="AT203" i="3"/>
  <c r="AT204" i="3"/>
  <c r="AT205" i="3"/>
  <c r="AT206" i="3"/>
  <c r="AT207" i="3"/>
  <c r="AT208" i="3"/>
  <c r="AT209" i="3"/>
  <c r="AT210" i="3"/>
  <c r="AT211" i="3"/>
  <c r="AT212" i="3"/>
  <c r="AT213" i="3"/>
  <c r="AT214" i="3"/>
  <c r="AT215" i="3"/>
  <c r="AT216" i="3"/>
  <c r="AT217" i="3"/>
  <c r="AT218" i="3"/>
  <c r="AT219" i="3"/>
  <c r="AT220" i="3"/>
  <c r="AT221" i="3"/>
  <c r="AT222" i="3"/>
  <c r="AT223" i="3"/>
  <c r="AT224" i="3"/>
  <c r="AT225" i="3"/>
  <c r="AT226" i="3"/>
  <c r="AT227" i="3"/>
  <c r="AT228" i="3"/>
  <c r="AT229" i="3"/>
  <c r="AT230" i="3"/>
  <c r="AT231" i="3"/>
  <c r="AT232" i="3"/>
  <c r="AT233" i="3"/>
  <c r="AT234" i="3"/>
  <c r="AT235" i="3"/>
  <c r="AT236" i="3"/>
  <c r="AT237" i="3"/>
  <c r="AT238" i="3"/>
  <c r="AT239" i="3"/>
  <c r="AT240" i="3"/>
  <c r="AT241" i="3"/>
  <c r="AT242" i="3"/>
  <c r="AT243" i="3"/>
  <c r="AT244" i="3"/>
  <c r="AT245" i="3"/>
  <c r="AT246" i="3"/>
  <c r="AT247" i="3"/>
  <c r="AT248" i="3"/>
  <c r="AT249" i="3"/>
  <c r="AT250" i="3"/>
  <c r="AT251" i="3"/>
  <c r="AT252" i="3"/>
  <c r="AT253" i="3"/>
  <c r="AT254" i="3"/>
  <c r="AT255" i="3"/>
  <c r="AT256" i="3"/>
  <c r="AT257" i="3"/>
  <c r="AT258" i="3"/>
  <c r="AT259" i="3"/>
  <c r="AT260" i="3"/>
  <c r="AT261" i="3"/>
  <c r="AT262" i="3"/>
  <c r="AT263" i="3"/>
  <c r="AT264" i="3"/>
  <c r="AT265" i="3"/>
  <c r="AT266" i="3"/>
  <c r="AT267" i="3"/>
  <c r="AT268" i="3"/>
  <c r="AT269" i="3"/>
  <c r="AT270" i="3"/>
  <c r="AT271" i="3"/>
  <c r="AT272" i="3"/>
  <c r="AT273" i="3"/>
  <c r="AT274" i="3"/>
  <c r="AT275" i="3"/>
  <c r="AT276" i="3"/>
  <c r="AT277" i="3"/>
  <c r="AT278" i="3"/>
  <c r="AT279" i="3"/>
  <c r="AT280" i="3"/>
  <c r="AT281" i="3"/>
  <c r="AT282" i="3"/>
  <c r="AT283" i="3"/>
  <c r="AT284" i="3"/>
  <c r="AT2" i="3"/>
  <c r="AJ781" i="4"/>
  <c r="AJ780" i="4"/>
  <c r="AJ779" i="4"/>
  <c r="AJ778" i="4"/>
  <c r="AJ373" i="4"/>
  <c r="AJ371" i="4"/>
  <c r="AJ293" i="4"/>
  <c r="AJ290" i="4"/>
  <c r="AJ287" i="4"/>
  <c r="AD115" i="4"/>
  <c r="AD40" i="4"/>
  <c r="AD39" i="4"/>
  <c r="AD38" i="4"/>
  <c r="AD37" i="4"/>
  <c r="AD36" i="4"/>
  <c r="AD35" i="4"/>
  <c r="AD34" i="4"/>
  <c r="AD33" i="4"/>
  <c r="AD32" i="4"/>
  <c r="AD31" i="4"/>
  <c r="AD30" i="4"/>
  <c r="AD29" i="4"/>
  <c r="AD882" i="4"/>
  <c r="AD881" i="4"/>
  <c r="AD880" i="4"/>
  <c r="AD879" i="4"/>
  <c r="AD878" i="4"/>
  <c r="AD752" i="4"/>
  <c r="AD720" i="4"/>
  <c r="AD705" i="4"/>
  <c r="AD634" i="4"/>
  <c r="AD546" i="4"/>
  <c r="AD545" i="4"/>
  <c r="AD544" i="4"/>
  <c r="AD543" i="4"/>
  <c r="AD542" i="4"/>
  <c r="AD427" i="4"/>
  <c r="AD426" i="4"/>
  <c r="AD370" i="4"/>
  <c r="AD331" i="4"/>
  <c r="AD940" i="4"/>
  <c r="AD939" i="4"/>
  <c r="AD937" i="4"/>
  <c r="AD754" i="4"/>
  <c r="AD753" i="4"/>
  <c r="AD721" i="4"/>
  <c r="AD712" i="4"/>
  <c r="AD711" i="4"/>
  <c r="AD710" i="4"/>
  <c r="AD708" i="4"/>
  <c r="AD707" i="4"/>
  <c r="AD706" i="4"/>
  <c r="AD704" i="4"/>
  <c r="AD703" i="4"/>
  <c r="AD702" i="4"/>
  <c r="AD701" i="4"/>
  <c r="AD700" i="4"/>
  <c r="AD699" i="4"/>
  <c r="AD698" i="4"/>
  <c r="AD697" i="4"/>
  <c r="AD638" i="4"/>
  <c r="AD637" i="4"/>
  <c r="AD636" i="4"/>
  <c r="AD635" i="4"/>
  <c r="AD613" i="4"/>
  <c r="AD599" i="4"/>
  <c r="AD598" i="4"/>
  <c r="AD597" i="4"/>
  <c r="AD577" i="4"/>
  <c r="AD576" i="4"/>
  <c r="AD575" i="4"/>
  <c r="AD574" i="4"/>
  <c r="AD573" i="4"/>
  <c r="AD547" i="4"/>
  <c r="AD541" i="4"/>
  <c r="AD540" i="4"/>
  <c r="AD429" i="4"/>
  <c r="AD428" i="4"/>
  <c r="AD425" i="4"/>
  <c r="AD424" i="4"/>
  <c r="AD423" i="4"/>
  <c r="AD422" i="4"/>
  <c r="AD421" i="4"/>
  <c r="AD420" i="4"/>
  <c r="AD405" i="4"/>
  <c r="AD402" i="4"/>
  <c r="AD401" i="4"/>
  <c r="AD400" i="4"/>
  <c r="AD399" i="4"/>
  <c r="AD398" i="4"/>
  <c r="AD397" i="4"/>
  <c r="AD396" i="4"/>
  <c r="AD395" i="4"/>
  <c r="AD394" i="4"/>
  <c r="AD393" i="4"/>
  <c r="AD392" i="4"/>
  <c r="AD391" i="4"/>
  <c r="AD384" i="4"/>
  <c r="AD383" i="4"/>
  <c r="AD380" i="4"/>
  <c r="AD379" i="4"/>
  <c r="AD378" i="4"/>
  <c r="AD341" i="4"/>
  <c r="AD340" i="4"/>
  <c r="AD339" i="4"/>
  <c r="AD309" i="4"/>
  <c r="AD308" i="4"/>
  <c r="AD307" i="4"/>
  <c r="AD306" i="4"/>
  <c r="AD305" i="4"/>
  <c r="AD304" i="4"/>
  <c r="AD303" i="4"/>
  <c r="AD284" i="4"/>
  <c r="AD275" i="4"/>
  <c r="AD274" i="4"/>
  <c r="AD273" i="4"/>
  <c r="AD272" i="4"/>
  <c r="AD271" i="4"/>
  <c r="AD270" i="4"/>
  <c r="AD269" i="4"/>
  <c r="AD268" i="4"/>
  <c r="AD267" i="4"/>
  <c r="AD266" i="4"/>
  <c r="AD259" i="4"/>
  <c r="AD258" i="4"/>
  <c r="AD257" i="4"/>
  <c r="AD256" i="4"/>
  <c r="AD235" i="4"/>
  <c r="AD234" i="4"/>
  <c r="AD231" i="4"/>
  <c r="AD191" i="4"/>
  <c r="AD190" i="4"/>
  <c r="AD189" i="4"/>
  <c r="AD188" i="4"/>
  <c r="AD116" i="4"/>
  <c r="AD114" i="4"/>
  <c r="AD113" i="4"/>
  <c r="AD112" i="4"/>
  <c r="AD91" i="4"/>
  <c r="AD90" i="4"/>
  <c r="AD89" i="4"/>
  <c r="AD88" i="4"/>
  <c r="AD47" i="4"/>
  <c r="AD46" i="4"/>
  <c r="AD45" i="4"/>
  <c r="AD44" i="4"/>
  <c r="AD43" i="4"/>
  <c r="AD42" i="4"/>
  <c r="AD41" i="4"/>
  <c r="AD28" i="4"/>
  <c r="AD27" i="4"/>
  <c r="AD26" i="4"/>
  <c r="AD25" i="4"/>
  <c r="AD24" i="4"/>
  <c r="AT3" i="2"/>
  <c r="AT4" i="2"/>
  <c r="AT5" i="2"/>
  <c r="AT6" i="2"/>
  <c r="AT7" i="2"/>
  <c r="AT8" i="2"/>
  <c r="AT9" i="2"/>
  <c r="AT10" i="2"/>
  <c r="AT11" i="2"/>
  <c r="AT12" i="2"/>
  <c r="AT13" i="2"/>
  <c r="AT14" i="2"/>
  <c r="AT15" i="2"/>
  <c r="AT16" i="2"/>
  <c r="AT17" i="2"/>
  <c r="AT18" i="2"/>
  <c r="AT19" i="2"/>
  <c r="AT20" i="2"/>
  <c r="AT21" i="2"/>
  <c r="AT22" i="2"/>
  <c r="AT23" i="2"/>
  <c r="AT24" i="2"/>
  <c r="AT25" i="2"/>
  <c r="AT26" i="2"/>
  <c r="AT27" i="2"/>
  <c r="AT28" i="2"/>
  <c r="AT29" i="2"/>
  <c r="AT30" i="2"/>
  <c r="AT31" i="2"/>
  <c r="AT32" i="2"/>
  <c r="AT33" i="2"/>
  <c r="AT34" i="2"/>
  <c r="AT35" i="2"/>
  <c r="AT36" i="2"/>
  <c r="AT37" i="2"/>
  <c r="AT38" i="2"/>
  <c r="AT39" i="2"/>
  <c r="AT40" i="2"/>
  <c r="AT41" i="2"/>
  <c r="AT42" i="2"/>
  <c r="AT43" i="2"/>
  <c r="AT44" i="2"/>
  <c r="AT45" i="2"/>
  <c r="AT46" i="2"/>
  <c r="AT47" i="2"/>
  <c r="AT48" i="2"/>
  <c r="AT49" i="2"/>
  <c r="AT50" i="2"/>
  <c r="AT51" i="2"/>
  <c r="AT52" i="2"/>
  <c r="AT53" i="2"/>
  <c r="AT54" i="2"/>
  <c r="AT55" i="2"/>
  <c r="AT56" i="2"/>
  <c r="AT57" i="2"/>
  <c r="AT58" i="2"/>
  <c r="AT59" i="2"/>
  <c r="AT60" i="2"/>
  <c r="AT61" i="2"/>
  <c r="AT62" i="2"/>
  <c r="AT63" i="2"/>
  <c r="AT64" i="2"/>
  <c r="AT65" i="2"/>
  <c r="AT66" i="2"/>
  <c r="AT67" i="2"/>
  <c r="AT68" i="2"/>
  <c r="AT69" i="2"/>
  <c r="AT70" i="2"/>
  <c r="AT71" i="2"/>
  <c r="AT72" i="2"/>
  <c r="AT73" i="2"/>
  <c r="AT74" i="2"/>
  <c r="AT75" i="2"/>
  <c r="AT76" i="2"/>
  <c r="AT77" i="2"/>
  <c r="AT78" i="2"/>
  <c r="AT79" i="2"/>
  <c r="AT80" i="2"/>
  <c r="AT81" i="2"/>
  <c r="AT82" i="2"/>
  <c r="AT83" i="2"/>
  <c r="AT84" i="2"/>
  <c r="AT85" i="2"/>
  <c r="AT86" i="2"/>
  <c r="AT87" i="2"/>
  <c r="AT88" i="2"/>
  <c r="AT89" i="2"/>
  <c r="AT90" i="2"/>
  <c r="AT91" i="2"/>
  <c r="AT92" i="2"/>
  <c r="AT93" i="2"/>
  <c r="AT94" i="2"/>
  <c r="AT95" i="2"/>
  <c r="AT96" i="2"/>
  <c r="AT97" i="2"/>
  <c r="AT98" i="2"/>
  <c r="AT99" i="2"/>
  <c r="AT100" i="2"/>
  <c r="AT101" i="2"/>
  <c r="AT102" i="2"/>
  <c r="AT103" i="2"/>
  <c r="AT104" i="2"/>
  <c r="AT105" i="2"/>
  <c r="AT106" i="2"/>
  <c r="AT107" i="2"/>
  <c r="AT108" i="2"/>
  <c r="AT109" i="2"/>
  <c r="AT110" i="2"/>
  <c r="AT111" i="2"/>
  <c r="AT112" i="2"/>
  <c r="AT113" i="2"/>
  <c r="AT114" i="2"/>
  <c r="AT115" i="2"/>
  <c r="AT116" i="2"/>
  <c r="AT117" i="2"/>
  <c r="AT118" i="2"/>
  <c r="AT119" i="2"/>
  <c r="AT120" i="2"/>
  <c r="AT121" i="2"/>
  <c r="AT122" i="2"/>
  <c r="AT123" i="2"/>
  <c r="AT124" i="2"/>
  <c r="AT125" i="2"/>
  <c r="AT126" i="2"/>
  <c r="AT127" i="2"/>
  <c r="AT128" i="2"/>
  <c r="AT129" i="2"/>
  <c r="AT130" i="2"/>
  <c r="AT131" i="2"/>
  <c r="AT132" i="2"/>
  <c r="AT133" i="2"/>
  <c r="AT134" i="2"/>
  <c r="AT135" i="2"/>
  <c r="AT136" i="2"/>
  <c r="AT137" i="2"/>
  <c r="AT138" i="2"/>
  <c r="AT139" i="2"/>
  <c r="AT140" i="2"/>
  <c r="AT141" i="2"/>
  <c r="AT142" i="2"/>
  <c r="AT143" i="2"/>
  <c r="AT144" i="2"/>
  <c r="AT145" i="2"/>
  <c r="AT146" i="2"/>
  <c r="AT147" i="2"/>
  <c r="AT148" i="2"/>
  <c r="AT149" i="2"/>
  <c r="AT150" i="2"/>
  <c r="AT151" i="2"/>
  <c r="AT152" i="2"/>
  <c r="AT153" i="2"/>
  <c r="AT154" i="2"/>
  <c r="AT155" i="2"/>
  <c r="AT156" i="2"/>
  <c r="AT157" i="2"/>
  <c r="AT158" i="2"/>
  <c r="AT159" i="2"/>
  <c r="AT160" i="2"/>
  <c r="AT161" i="2"/>
  <c r="AT162" i="2"/>
  <c r="AT163" i="2"/>
  <c r="AT164" i="2"/>
  <c r="AT165" i="2"/>
  <c r="AT166" i="2"/>
  <c r="AT167" i="2"/>
  <c r="AT168" i="2"/>
  <c r="AT169" i="2"/>
  <c r="AT170" i="2"/>
  <c r="AT171" i="2"/>
  <c r="AT172" i="2"/>
  <c r="AT173" i="2"/>
  <c r="AT174" i="2"/>
  <c r="AT175" i="2"/>
  <c r="AT176" i="2"/>
  <c r="AT177" i="2"/>
  <c r="AT178" i="2"/>
  <c r="AT179" i="2"/>
  <c r="AT180" i="2"/>
  <c r="AT181" i="2"/>
  <c r="AT182" i="2"/>
  <c r="AT183" i="2"/>
  <c r="AT184" i="2"/>
  <c r="AT185" i="2"/>
  <c r="AT186" i="2"/>
  <c r="AT187" i="2"/>
  <c r="AT188" i="2"/>
  <c r="AT189" i="2"/>
  <c r="AT190" i="2"/>
  <c r="AT191" i="2"/>
  <c r="AT192" i="2"/>
  <c r="AT193" i="2"/>
  <c r="AT194" i="2"/>
  <c r="AT195" i="2"/>
  <c r="AT196" i="2"/>
  <c r="AT197" i="2"/>
  <c r="AT198" i="2"/>
  <c r="AT199" i="2"/>
  <c r="AT200" i="2"/>
  <c r="AT201" i="2"/>
  <c r="AT202" i="2"/>
  <c r="AT203" i="2"/>
  <c r="AT204" i="2"/>
  <c r="AT205" i="2"/>
  <c r="AT206" i="2"/>
  <c r="AT207" i="2"/>
  <c r="AT208" i="2"/>
  <c r="AT209" i="2"/>
  <c r="AT210" i="2"/>
  <c r="AT211" i="2"/>
  <c r="AT212" i="2"/>
  <c r="AT213" i="2"/>
  <c r="AT214" i="2"/>
  <c r="AT215" i="2"/>
  <c r="AT216" i="2"/>
  <c r="AT217" i="2"/>
  <c r="AT218" i="2"/>
  <c r="AT219" i="2"/>
  <c r="AT220" i="2"/>
  <c r="AT221" i="2"/>
  <c r="AT222" i="2"/>
  <c r="AT223" i="2"/>
  <c r="AT224" i="2"/>
  <c r="AT225" i="2"/>
  <c r="AT226" i="2"/>
  <c r="AT227" i="2"/>
  <c r="AT228" i="2"/>
  <c r="AT229" i="2"/>
  <c r="AT230" i="2"/>
  <c r="AT231" i="2"/>
  <c r="AT232" i="2"/>
  <c r="AT233" i="2"/>
  <c r="AT234" i="2"/>
  <c r="AT235" i="2"/>
  <c r="AT236" i="2"/>
  <c r="AT237" i="2"/>
  <c r="AT238" i="2"/>
  <c r="AT239" i="2"/>
  <c r="AT240" i="2"/>
  <c r="AT2" i="2"/>
  <c r="AU1067" i="1"/>
  <c r="AU1068" i="1"/>
  <c r="AU1069" i="1"/>
  <c r="AU1070" i="1"/>
  <c r="AU1071" i="1"/>
  <c r="AU1072" i="1"/>
  <c r="AU1073" i="1"/>
  <c r="AU1074" i="1"/>
  <c r="AU1075" i="1"/>
  <c r="AU1076" i="1"/>
  <c r="AU1077" i="1"/>
  <c r="AU1078" i="1"/>
  <c r="AU1079" i="1"/>
  <c r="AU1080" i="1"/>
  <c r="AU1081" i="1"/>
  <c r="AU1082" i="1"/>
  <c r="AU1083" i="1"/>
  <c r="AU1084" i="1"/>
  <c r="AU1085" i="1"/>
  <c r="AU1086" i="1"/>
  <c r="AU1087" i="1"/>
  <c r="AU1088" i="1"/>
  <c r="AU1089" i="1"/>
  <c r="AU1090" i="1"/>
  <c r="AU1091" i="1"/>
  <c r="AU1092" i="1"/>
  <c r="AU1093" i="1"/>
  <c r="AU1094" i="1"/>
  <c r="AU1095" i="1"/>
  <c r="AU1096" i="1"/>
  <c r="AU1097" i="1"/>
  <c r="AU1098" i="1"/>
  <c r="AU1099" i="1"/>
  <c r="AU1100" i="1"/>
  <c r="AU1101" i="1"/>
  <c r="AU1102" i="1"/>
  <c r="AU1103" i="1"/>
  <c r="AU1104" i="1"/>
  <c r="AU1105" i="1"/>
  <c r="AU1106" i="1"/>
  <c r="AU1107" i="1"/>
  <c r="AU1108" i="1"/>
  <c r="AU1109" i="1"/>
  <c r="AU1110" i="1"/>
  <c r="AU1111" i="1"/>
  <c r="AU1112" i="1"/>
  <c r="AU1113" i="1"/>
  <c r="AU1114" i="1"/>
  <c r="AU1115" i="1"/>
  <c r="AU1116" i="1"/>
  <c r="AU1117" i="1"/>
  <c r="AU1118" i="1"/>
  <c r="AU1119" i="1"/>
  <c r="AU1120" i="1"/>
  <c r="AU1121" i="1"/>
  <c r="AU1122" i="1"/>
  <c r="AU1123" i="1"/>
  <c r="AU1124" i="1"/>
  <c r="AU1125" i="1"/>
  <c r="AU1126" i="1"/>
  <c r="AU1127" i="1"/>
  <c r="AU1128" i="1"/>
  <c r="AU1129" i="1"/>
  <c r="AU1130" i="1"/>
  <c r="AU1131" i="1"/>
  <c r="AU1132" i="1"/>
  <c r="AU1133" i="1"/>
  <c r="AU1134" i="1"/>
  <c r="AU1135" i="1"/>
  <c r="AU1136" i="1"/>
  <c r="AU1137" i="1"/>
  <c r="AU1138" i="1"/>
  <c r="AU1139" i="1"/>
  <c r="AU1140" i="1"/>
  <c r="AU1141" i="1"/>
  <c r="AU1142" i="1"/>
  <c r="AU1143" i="1"/>
  <c r="AU1144" i="1"/>
  <c r="AU1145" i="1"/>
  <c r="AU1146" i="1"/>
  <c r="AU1147" i="1"/>
  <c r="AU1148" i="1"/>
  <c r="AU1149" i="1"/>
  <c r="AU1150" i="1"/>
  <c r="AU1151" i="1"/>
  <c r="AU1152" i="1"/>
  <c r="AU1153" i="1"/>
  <c r="AU1154" i="1"/>
  <c r="AU1155" i="1"/>
  <c r="AU1156" i="1"/>
  <c r="AU1157" i="1"/>
  <c r="AU1158" i="1"/>
  <c r="AU1159" i="1"/>
  <c r="AU1160" i="1"/>
  <c r="AU1161" i="1"/>
  <c r="AU1162" i="1"/>
  <c r="AU1163" i="1"/>
  <c r="AU1164" i="1"/>
  <c r="AU1165" i="1"/>
  <c r="AU1166" i="1"/>
  <c r="AU1167" i="1"/>
  <c r="AU1168" i="1"/>
  <c r="AU1169" i="1"/>
  <c r="AU1170" i="1"/>
  <c r="AU1171" i="1"/>
  <c r="AU1172" i="1"/>
  <c r="AU1173" i="1"/>
  <c r="AU1174" i="1"/>
  <c r="AU1175" i="1"/>
  <c r="AU1176" i="1"/>
  <c r="AU1177" i="1"/>
  <c r="AU1178" i="1"/>
  <c r="AU1179" i="1"/>
  <c r="AU1180" i="1"/>
  <c r="AU1181" i="1"/>
  <c r="AU1182" i="1"/>
  <c r="AU1183" i="1"/>
  <c r="AU1184" i="1"/>
  <c r="AU1185" i="1"/>
  <c r="AU1186" i="1"/>
  <c r="AU1187" i="1"/>
  <c r="AU1188" i="1"/>
  <c r="AU1189" i="1"/>
  <c r="AU1190" i="1"/>
  <c r="AU1191" i="1"/>
  <c r="AU1192" i="1"/>
  <c r="AU1193" i="1"/>
  <c r="AU1194" i="1"/>
  <c r="AU1195" i="1"/>
  <c r="AU1196" i="1"/>
  <c r="AU1197" i="1"/>
  <c r="AU1198" i="1"/>
  <c r="AU1199" i="1"/>
  <c r="AU1200" i="1"/>
  <c r="AU1201" i="1"/>
  <c r="AU1202" i="1"/>
  <c r="AU1203" i="1"/>
  <c r="AU1204" i="1"/>
  <c r="AU1205" i="1"/>
  <c r="AT3" i="1"/>
  <c r="AT4" i="1"/>
  <c r="AT5" i="1"/>
  <c r="AT6" i="1"/>
  <c r="AT7" i="1"/>
  <c r="AT8" i="1"/>
  <c r="AT9" i="1"/>
  <c r="AT10" i="1"/>
  <c r="AT11" i="1"/>
  <c r="AT12" i="1"/>
  <c r="AT13" i="1"/>
  <c r="AT14" i="1"/>
  <c r="AT15" i="1"/>
  <c r="AT16" i="1"/>
  <c r="AT17" i="1"/>
  <c r="AT18" i="1"/>
  <c r="AT19" i="1"/>
  <c r="AT20" i="1"/>
  <c r="AT21" i="1"/>
  <c r="AT22" i="1"/>
  <c r="AT23" i="1"/>
  <c r="AT24" i="1"/>
  <c r="AT25" i="1"/>
  <c r="AT26" i="1"/>
  <c r="AT27" i="1"/>
  <c r="AT28" i="1"/>
  <c r="AT29" i="1"/>
  <c r="AT30" i="1"/>
  <c r="AT31" i="1"/>
  <c r="AT32" i="1"/>
  <c r="AT33" i="1"/>
  <c r="AT34" i="1"/>
  <c r="AT35" i="1"/>
  <c r="AT36" i="1"/>
  <c r="AT37" i="1"/>
  <c r="AT38" i="1"/>
  <c r="AT39" i="1"/>
  <c r="AT40" i="1"/>
  <c r="AT41" i="1"/>
  <c r="AT42" i="1"/>
  <c r="AT43" i="1"/>
  <c r="AT44" i="1"/>
  <c r="AT45" i="1"/>
  <c r="AT46" i="1"/>
  <c r="AT47" i="1"/>
  <c r="AT48" i="1"/>
  <c r="AT49" i="1"/>
  <c r="AT50" i="1"/>
  <c r="AT51" i="1"/>
  <c r="AT52" i="1"/>
  <c r="AT53" i="1"/>
  <c r="AT54" i="1"/>
  <c r="AT55" i="1"/>
  <c r="AT56" i="1"/>
  <c r="AT57" i="1"/>
  <c r="AT58" i="1"/>
  <c r="AT59" i="1"/>
  <c r="AT60" i="1"/>
  <c r="AT61" i="1"/>
  <c r="AT62" i="1"/>
  <c r="AT63" i="1"/>
  <c r="AT64" i="1"/>
  <c r="AT65" i="1"/>
  <c r="AT66" i="1"/>
  <c r="AT67" i="1"/>
  <c r="AT68" i="1"/>
  <c r="AT69" i="1"/>
  <c r="AT70" i="1"/>
  <c r="AT71" i="1"/>
  <c r="AT72" i="1"/>
  <c r="AT73" i="1"/>
  <c r="AT74" i="1"/>
  <c r="AT75" i="1"/>
  <c r="AT76" i="1"/>
  <c r="AT77" i="1"/>
  <c r="AT78" i="1"/>
  <c r="AT79" i="1"/>
  <c r="AT80" i="1"/>
  <c r="AT81" i="1"/>
  <c r="AT82" i="1"/>
  <c r="AT83" i="1"/>
  <c r="AT84" i="1"/>
  <c r="AT85" i="1"/>
  <c r="AT86" i="1"/>
  <c r="AT87" i="1"/>
  <c r="AT88" i="1"/>
  <c r="AT89" i="1"/>
  <c r="AT90" i="1"/>
  <c r="AT91" i="1"/>
  <c r="AT92" i="1"/>
  <c r="AT93" i="1"/>
  <c r="AT94" i="1"/>
  <c r="AT95" i="1"/>
  <c r="AT96" i="1"/>
  <c r="AT97" i="1"/>
  <c r="AT98" i="1"/>
  <c r="AT99" i="1"/>
  <c r="AT100" i="1"/>
  <c r="AT101" i="1"/>
  <c r="AT102" i="1"/>
  <c r="AT103" i="1"/>
  <c r="AT104" i="1"/>
  <c r="AT105" i="1"/>
  <c r="AT106" i="1"/>
  <c r="AT107" i="1"/>
  <c r="AT108" i="1"/>
  <c r="AT109" i="1"/>
  <c r="AT110" i="1"/>
  <c r="AT111" i="1"/>
  <c r="AT112" i="1"/>
  <c r="AT113" i="1"/>
  <c r="AT114" i="1"/>
  <c r="AT115" i="1"/>
  <c r="AT116" i="1"/>
  <c r="AT117" i="1"/>
  <c r="AT118" i="1"/>
  <c r="AT119" i="1"/>
  <c r="AT120" i="1"/>
  <c r="AT121" i="1"/>
  <c r="AT122" i="1"/>
  <c r="AT123" i="1"/>
  <c r="AT124" i="1"/>
  <c r="AT125" i="1"/>
  <c r="AT126" i="1"/>
  <c r="AT127" i="1"/>
  <c r="AT128" i="1"/>
  <c r="AT129" i="1"/>
  <c r="AT130" i="1"/>
  <c r="AT131" i="1"/>
  <c r="AT132" i="1"/>
  <c r="AT133" i="1"/>
  <c r="AT134" i="1"/>
  <c r="AT135" i="1"/>
  <c r="AT136" i="1"/>
  <c r="AT137" i="1"/>
  <c r="AT138" i="1"/>
  <c r="AT139" i="1"/>
  <c r="AT140" i="1"/>
  <c r="AT141" i="1"/>
  <c r="AT142" i="1"/>
  <c r="AT143" i="1"/>
  <c r="AT144" i="1"/>
  <c r="AT145" i="1"/>
  <c r="AT146" i="1"/>
  <c r="AT147" i="1"/>
  <c r="AT148" i="1"/>
  <c r="AT149" i="1"/>
  <c r="AT150" i="1"/>
  <c r="AT151" i="1"/>
  <c r="AT152" i="1"/>
  <c r="AT153" i="1"/>
  <c r="AT154" i="1"/>
  <c r="AT155" i="1"/>
  <c r="AT156" i="1"/>
  <c r="AT157" i="1"/>
  <c r="AT158" i="1"/>
  <c r="AT159" i="1"/>
  <c r="AT160" i="1"/>
  <c r="AT161" i="1"/>
  <c r="AT162" i="1"/>
  <c r="AT163" i="1"/>
  <c r="AT164" i="1"/>
  <c r="AT165" i="1"/>
  <c r="AT166" i="1"/>
  <c r="AT167" i="1"/>
  <c r="AT168" i="1"/>
  <c r="AT169" i="1"/>
  <c r="AT170" i="1"/>
  <c r="AT171" i="1"/>
  <c r="AT172" i="1"/>
  <c r="AT173" i="1"/>
  <c r="AT174" i="1"/>
  <c r="AT175" i="1"/>
  <c r="AT176" i="1"/>
  <c r="AT177" i="1"/>
  <c r="AT178" i="1"/>
  <c r="AT179" i="1"/>
  <c r="AT180" i="1"/>
  <c r="AT181" i="1"/>
  <c r="AT182" i="1"/>
  <c r="AT183" i="1"/>
  <c r="AT184" i="1"/>
  <c r="AT185" i="1"/>
  <c r="AT186" i="1"/>
  <c r="AT187" i="1"/>
  <c r="AT188" i="1"/>
  <c r="AT189" i="1"/>
  <c r="AT190" i="1"/>
  <c r="AT191" i="1"/>
  <c r="AT192" i="1"/>
  <c r="AT193" i="1"/>
  <c r="AT194" i="1"/>
  <c r="AT195" i="1"/>
  <c r="AT196" i="1"/>
  <c r="AT197" i="1"/>
  <c r="AT198" i="1"/>
  <c r="AT199" i="1"/>
  <c r="AT200" i="1"/>
  <c r="AT201" i="1"/>
  <c r="AT202" i="1"/>
  <c r="AT203" i="1"/>
  <c r="AT204" i="1"/>
  <c r="AT205" i="1"/>
  <c r="AT206" i="1"/>
  <c r="AT207" i="1"/>
  <c r="AT208" i="1"/>
  <c r="AT209" i="1"/>
  <c r="AT210" i="1"/>
  <c r="AT211" i="1"/>
  <c r="AT212" i="1"/>
  <c r="AT213" i="1"/>
  <c r="AT214" i="1"/>
  <c r="AT215" i="1"/>
  <c r="AT216" i="1"/>
  <c r="AT217" i="1"/>
  <c r="AT218" i="1"/>
  <c r="AT219" i="1"/>
  <c r="AT220" i="1"/>
  <c r="AT221" i="1"/>
  <c r="AT222" i="1"/>
  <c r="AT223" i="1"/>
  <c r="AT224" i="1"/>
  <c r="AT225" i="1"/>
  <c r="AT226" i="1"/>
  <c r="AT227" i="1"/>
  <c r="AT228" i="1"/>
  <c r="AT229" i="1"/>
  <c r="AT230" i="1"/>
  <c r="AT231" i="1"/>
  <c r="AT232" i="1"/>
  <c r="AT233" i="1"/>
  <c r="AT234" i="1"/>
  <c r="AT235" i="1"/>
  <c r="AT236" i="1"/>
  <c r="AT237" i="1"/>
  <c r="AT238" i="1"/>
  <c r="AT239" i="1"/>
  <c r="AT240" i="1"/>
  <c r="AT241" i="1"/>
  <c r="AT242" i="1"/>
  <c r="AT243" i="1"/>
  <c r="AT244" i="1"/>
  <c r="AT245" i="1"/>
  <c r="AT246" i="1"/>
  <c r="AT247" i="1"/>
  <c r="AT248" i="1"/>
  <c r="AT249" i="1"/>
  <c r="AT250" i="1"/>
  <c r="AT251" i="1"/>
  <c r="AT252" i="1"/>
  <c r="AT253" i="1"/>
  <c r="AT254" i="1"/>
  <c r="AT255" i="1"/>
  <c r="AT256" i="1"/>
  <c r="AT257" i="1"/>
  <c r="AT258" i="1"/>
  <c r="AT259" i="1"/>
  <c r="AT260" i="1"/>
  <c r="AT261" i="1"/>
  <c r="AT262" i="1"/>
  <c r="AT263" i="1"/>
  <c r="AT264" i="1"/>
  <c r="AT265" i="1"/>
  <c r="AT266" i="1"/>
  <c r="AT267" i="1"/>
  <c r="AT268" i="1"/>
  <c r="AT269" i="1"/>
  <c r="AT270" i="1"/>
  <c r="AT271" i="1"/>
  <c r="AT272" i="1"/>
  <c r="AT273" i="1"/>
  <c r="AT274" i="1"/>
  <c r="AT275" i="1"/>
  <c r="AT276" i="1"/>
  <c r="AT277" i="1"/>
  <c r="AT278" i="1"/>
  <c r="AT279" i="1"/>
  <c r="AT280" i="1"/>
  <c r="AT281" i="1"/>
  <c r="AT282" i="1"/>
  <c r="AT283" i="1"/>
  <c r="AT284" i="1"/>
  <c r="AT285" i="1"/>
  <c r="AT286" i="1"/>
  <c r="AT287" i="1"/>
  <c r="AT288" i="1"/>
  <c r="AT289" i="1"/>
  <c r="AT290" i="1"/>
  <c r="AT291" i="1"/>
  <c r="AT292" i="1"/>
  <c r="AT293" i="1"/>
  <c r="AT294" i="1"/>
  <c r="AT295" i="1"/>
  <c r="AT296" i="1"/>
  <c r="AT297" i="1"/>
  <c r="AT298" i="1"/>
  <c r="AT299" i="1"/>
  <c r="AT300" i="1"/>
  <c r="AT301" i="1"/>
  <c r="AT302" i="1"/>
  <c r="AT303" i="1"/>
  <c r="AT304" i="1"/>
  <c r="AT305" i="1"/>
  <c r="AT306" i="1"/>
  <c r="AT307" i="1"/>
  <c r="AT308" i="1"/>
  <c r="AT309" i="1"/>
  <c r="AT310" i="1"/>
  <c r="AT311" i="1"/>
  <c r="AT312" i="1"/>
  <c r="AT313" i="1"/>
  <c r="AT314" i="1"/>
  <c r="AT315" i="1"/>
  <c r="AT316" i="1"/>
  <c r="AT317" i="1"/>
  <c r="AT318" i="1"/>
  <c r="AT319" i="1"/>
  <c r="AT320" i="1"/>
  <c r="AT321" i="1"/>
  <c r="AT322" i="1"/>
  <c r="AT323" i="1"/>
  <c r="AT324" i="1"/>
  <c r="AT325" i="1"/>
  <c r="AT326" i="1"/>
  <c r="AT327" i="1"/>
  <c r="AT328" i="1"/>
  <c r="AT329" i="1"/>
  <c r="AT330" i="1"/>
  <c r="AT331" i="1"/>
  <c r="AT332" i="1"/>
  <c r="AT333" i="1"/>
  <c r="AT334" i="1"/>
  <c r="AT335" i="1"/>
  <c r="AT336" i="1"/>
  <c r="AT337" i="1"/>
  <c r="AT338" i="1"/>
  <c r="AT339" i="1"/>
  <c r="AT340" i="1"/>
  <c r="AT341" i="1"/>
  <c r="AT342" i="1"/>
  <c r="AT343" i="1"/>
  <c r="AT344" i="1"/>
  <c r="AT345" i="1"/>
  <c r="AT346" i="1"/>
  <c r="AT347" i="1"/>
  <c r="AT348" i="1"/>
  <c r="AT349" i="1"/>
  <c r="AT350" i="1"/>
  <c r="AT351" i="1"/>
  <c r="AT352" i="1"/>
  <c r="AT353" i="1"/>
  <c r="AT354" i="1"/>
  <c r="AT355" i="1"/>
  <c r="AT356" i="1"/>
  <c r="AT357" i="1"/>
  <c r="AT358" i="1"/>
  <c r="AT359" i="1"/>
  <c r="AT360" i="1"/>
  <c r="AT361" i="1"/>
  <c r="AT362" i="1"/>
  <c r="AT363" i="1"/>
  <c r="AT364" i="1"/>
  <c r="AT365" i="1"/>
  <c r="AT366" i="1"/>
  <c r="AT367" i="1"/>
  <c r="AT368" i="1"/>
  <c r="AT369" i="1"/>
  <c r="AT370" i="1"/>
  <c r="AT371" i="1"/>
  <c r="AT372" i="1"/>
  <c r="AT373" i="1"/>
  <c r="AT374" i="1"/>
  <c r="AT375" i="1"/>
  <c r="AT376" i="1"/>
  <c r="AT377" i="1"/>
  <c r="AT378" i="1"/>
  <c r="AT379" i="1"/>
  <c r="AT380" i="1"/>
  <c r="AT381" i="1"/>
  <c r="AT382" i="1"/>
  <c r="AT383" i="1"/>
  <c r="AT384" i="1"/>
  <c r="AT385" i="1"/>
  <c r="AT386" i="1"/>
  <c r="AT387" i="1"/>
  <c r="AT388" i="1"/>
  <c r="AT389" i="1"/>
  <c r="AT390" i="1"/>
  <c r="AT391" i="1"/>
  <c r="AT392" i="1"/>
  <c r="AT393" i="1"/>
  <c r="AT394" i="1"/>
  <c r="AT395" i="1"/>
  <c r="AT396" i="1"/>
  <c r="AT397" i="1"/>
  <c r="AT398" i="1"/>
  <c r="AT399" i="1"/>
  <c r="AT400" i="1"/>
  <c r="AT401" i="1"/>
  <c r="AT402" i="1"/>
  <c r="AT403" i="1"/>
  <c r="AT404" i="1"/>
  <c r="AT405" i="1"/>
  <c r="AT406" i="1"/>
  <c r="AT407" i="1"/>
  <c r="AT408" i="1"/>
  <c r="AT409" i="1"/>
  <c r="AT410" i="1"/>
  <c r="AT411" i="1"/>
  <c r="AT412" i="1"/>
  <c r="AT413" i="1"/>
  <c r="AT414" i="1"/>
  <c r="AT415" i="1"/>
  <c r="AT416" i="1"/>
  <c r="AT417" i="1"/>
  <c r="AT418" i="1"/>
  <c r="AT419" i="1"/>
  <c r="AT420" i="1"/>
  <c r="AT421" i="1"/>
  <c r="AT422" i="1"/>
  <c r="AT423" i="1"/>
  <c r="AT424" i="1"/>
  <c r="AT425" i="1"/>
  <c r="AT426" i="1"/>
  <c r="AT427" i="1"/>
  <c r="AT428" i="1"/>
  <c r="AT429" i="1"/>
  <c r="AT430" i="1"/>
  <c r="AT431" i="1"/>
  <c r="AT432" i="1"/>
  <c r="AT433" i="1"/>
  <c r="AT434" i="1"/>
  <c r="AT435" i="1"/>
  <c r="AT436" i="1"/>
  <c r="AT437" i="1"/>
  <c r="AT438" i="1"/>
  <c r="AT439" i="1"/>
  <c r="AT440" i="1"/>
  <c r="AT441" i="1"/>
  <c r="AT442" i="1"/>
  <c r="AT443" i="1"/>
  <c r="AT444" i="1"/>
  <c r="AT445" i="1"/>
  <c r="AT446" i="1"/>
  <c r="AT447" i="1"/>
  <c r="AT448" i="1"/>
  <c r="AT449" i="1"/>
  <c r="AT450" i="1"/>
  <c r="AT451" i="1"/>
  <c r="AT452" i="1"/>
  <c r="AT453" i="1"/>
  <c r="AT454" i="1"/>
  <c r="AT455" i="1"/>
  <c r="AT456" i="1"/>
  <c r="AT457" i="1"/>
  <c r="AT458" i="1"/>
  <c r="AT459" i="1"/>
  <c r="AT460" i="1"/>
  <c r="AT461" i="1"/>
  <c r="AT462" i="1"/>
  <c r="AT463" i="1"/>
  <c r="AT464" i="1"/>
  <c r="AT465" i="1"/>
  <c r="AT466" i="1"/>
  <c r="AT467" i="1"/>
  <c r="AT468" i="1"/>
  <c r="AT469" i="1"/>
  <c r="AT470" i="1"/>
  <c r="AT471" i="1"/>
  <c r="AT472" i="1"/>
  <c r="AT473" i="1"/>
  <c r="AT474" i="1"/>
  <c r="AT475" i="1"/>
  <c r="AT476" i="1"/>
  <c r="AT477" i="1"/>
  <c r="AT478" i="1"/>
  <c r="AT479" i="1"/>
  <c r="AT480" i="1"/>
  <c r="AT481" i="1"/>
  <c r="AT482" i="1"/>
  <c r="AT483" i="1"/>
  <c r="AT484" i="1"/>
  <c r="AT485" i="1"/>
  <c r="AT486" i="1"/>
  <c r="AT487" i="1"/>
  <c r="AT488" i="1"/>
  <c r="AT489" i="1"/>
  <c r="AT490" i="1"/>
  <c r="AT491" i="1"/>
  <c r="AT492" i="1"/>
  <c r="AT493" i="1"/>
  <c r="AT494" i="1"/>
  <c r="AT495" i="1"/>
  <c r="AT496" i="1"/>
  <c r="AT497" i="1"/>
  <c r="AT498" i="1"/>
  <c r="AT499" i="1"/>
  <c r="AT500" i="1"/>
  <c r="AT501" i="1"/>
  <c r="AT502" i="1"/>
  <c r="AT503" i="1"/>
  <c r="AT504" i="1"/>
  <c r="AT505" i="1"/>
  <c r="AT506" i="1"/>
  <c r="AT507" i="1"/>
  <c r="AT508" i="1"/>
  <c r="AT509" i="1"/>
  <c r="AT510" i="1"/>
  <c r="AT511" i="1"/>
  <c r="AT512" i="1"/>
  <c r="AT513" i="1"/>
  <c r="AT514" i="1"/>
  <c r="AT515" i="1"/>
  <c r="AT516" i="1"/>
  <c r="AT517" i="1"/>
  <c r="AT518" i="1"/>
  <c r="AT519" i="1"/>
  <c r="AT520" i="1"/>
  <c r="AT521" i="1"/>
  <c r="AT522" i="1"/>
  <c r="AT523" i="1"/>
  <c r="AT524" i="1"/>
  <c r="AT525" i="1"/>
  <c r="AT526" i="1"/>
  <c r="AT527" i="1"/>
  <c r="AT528" i="1"/>
  <c r="AT529" i="1"/>
  <c r="AT530" i="1"/>
  <c r="AT531" i="1"/>
  <c r="AT532" i="1"/>
  <c r="AT533" i="1"/>
  <c r="AT534" i="1"/>
  <c r="AT535" i="1"/>
  <c r="AT536" i="1"/>
  <c r="AT537" i="1"/>
  <c r="AT538" i="1"/>
  <c r="AT539" i="1"/>
  <c r="AT540" i="1"/>
  <c r="AT541" i="1"/>
  <c r="AT542" i="1"/>
  <c r="AT543" i="1"/>
  <c r="AT544" i="1"/>
  <c r="AT545" i="1"/>
  <c r="AT546" i="1"/>
  <c r="AT547" i="1"/>
  <c r="AT548" i="1"/>
  <c r="AT549" i="1"/>
  <c r="AT550" i="1"/>
  <c r="AT551" i="1"/>
  <c r="AT552" i="1"/>
  <c r="AT553" i="1"/>
  <c r="AT554" i="1"/>
  <c r="AT555" i="1"/>
  <c r="AT556" i="1"/>
  <c r="AT557" i="1"/>
  <c r="AT558" i="1"/>
  <c r="AT559" i="1"/>
  <c r="AT560" i="1"/>
  <c r="AT561" i="1"/>
  <c r="AT562" i="1"/>
  <c r="AT563" i="1"/>
  <c r="AT564" i="1"/>
  <c r="AT565" i="1"/>
  <c r="AT566" i="1"/>
  <c r="AT567" i="1"/>
  <c r="AT568" i="1"/>
  <c r="AT569" i="1"/>
  <c r="AT570" i="1"/>
  <c r="AT571" i="1"/>
  <c r="AT572" i="1"/>
  <c r="AT573" i="1"/>
  <c r="AT574" i="1"/>
  <c r="AT575" i="1"/>
  <c r="AT576" i="1"/>
  <c r="AT577" i="1"/>
  <c r="AT578" i="1"/>
  <c r="AT579" i="1"/>
  <c r="AT580" i="1"/>
  <c r="AT581" i="1"/>
  <c r="AT582" i="1"/>
  <c r="AT583" i="1"/>
  <c r="AT584" i="1"/>
  <c r="AT585" i="1"/>
  <c r="AT586" i="1"/>
  <c r="AT587" i="1"/>
  <c r="AT588" i="1"/>
  <c r="AT589" i="1"/>
  <c r="AT590" i="1"/>
  <c r="AT591" i="1"/>
  <c r="AT592" i="1"/>
  <c r="AT593" i="1"/>
  <c r="AT594" i="1"/>
  <c r="AT595" i="1"/>
  <c r="AT596" i="1"/>
  <c r="AT597" i="1"/>
  <c r="AT598" i="1"/>
  <c r="AT599" i="1"/>
  <c r="AT600" i="1"/>
  <c r="AT601" i="1"/>
  <c r="AT602" i="1"/>
  <c r="AT603" i="1"/>
  <c r="AT604" i="1"/>
  <c r="AT605" i="1"/>
  <c r="AT606" i="1"/>
  <c r="AT607" i="1"/>
  <c r="AT608" i="1"/>
  <c r="AT609" i="1"/>
  <c r="AT610" i="1"/>
  <c r="AT611" i="1"/>
  <c r="AT612" i="1"/>
  <c r="AT613" i="1"/>
  <c r="AT614" i="1"/>
  <c r="AT615" i="1"/>
  <c r="AT616" i="1"/>
  <c r="AT617" i="1"/>
  <c r="AT618" i="1"/>
  <c r="AT619" i="1"/>
  <c r="AT620" i="1"/>
  <c r="AT621" i="1"/>
  <c r="AT622" i="1"/>
  <c r="AT623" i="1"/>
  <c r="AT624" i="1"/>
  <c r="AT625" i="1"/>
  <c r="AT626" i="1"/>
  <c r="AT627" i="1"/>
  <c r="AT628" i="1"/>
  <c r="AT629" i="1"/>
  <c r="AT630" i="1"/>
  <c r="AT631" i="1"/>
  <c r="AT632" i="1"/>
  <c r="AT633" i="1"/>
  <c r="AT634" i="1"/>
  <c r="AT635" i="1"/>
  <c r="AT636" i="1"/>
  <c r="AT637" i="1"/>
  <c r="AT638" i="1"/>
  <c r="AT639" i="1"/>
  <c r="AT640" i="1"/>
  <c r="AT641" i="1"/>
  <c r="AT642" i="1"/>
  <c r="AT643" i="1"/>
  <c r="AT644" i="1"/>
  <c r="AT645" i="1"/>
  <c r="AT646" i="1"/>
  <c r="AT647" i="1"/>
  <c r="AT648" i="1"/>
  <c r="AT649" i="1"/>
  <c r="AT650" i="1"/>
  <c r="AT651" i="1"/>
  <c r="AT652" i="1"/>
  <c r="AT653" i="1"/>
  <c r="AT654" i="1"/>
  <c r="AT655" i="1"/>
  <c r="AT656" i="1"/>
  <c r="AT657" i="1"/>
  <c r="AT658" i="1"/>
  <c r="AT659" i="1"/>
  <c r="AT660" i="1"/>
  <c r="AT661" i="1"/>
  <c r="AT662" i="1"/>
  <c r="AT663" i="1"/>
  <c r="AT664" i="1"/>
  <c r="AT665" i="1"/>
  <c r="AT666" i="1"/>
  <c r="AT667" i="1"/>
  <c r="AT668" i="1"/>
  <c r="AT669" i="1"/>
  <c r="AT670" i="1"/>
  <c r="AT671" i="1"/>
  <c r="AT672" i="1"/>
  <c r="AT673" i="1"/>
  <c r="AT674" i="1"/>
  <c r="AT675" i="1"/>
  <c r="AT676" i="1"/>
  <c r="AT677" i="1"/>
  <c r="AT678" i="1"/>
  <c r="AT679" i="1"/>
  <c r="AT680" i="1"/>
  <c r="AT681" i="1"/>
  <c r="AT682" i="1"/>
  <c r="AT683" i="1"/>
  <c r="AT684" i="1"/>
  <c r="AT685" i="1"/>
  <c r="AT686" i="1"/>
  <c r="AT687" i="1"/>
  <c r="AT688" i="1"/>
  <c r="AT689" i="1"/>
  <c r="AT690" i="1"/>
  <c r="AT691" i="1"/>
  <c r="AT692" i="1"/>
  <c r="AT693" i="1"/>
  <c r="AT694" i="1"/>
  <c r="AT695" i="1"/>
  <c r="AT696" i="1"/>
  <c r="AT697" i="1"/>
  <c r="AT698" i="1"/>
  <c r="AT699" i="1"/>
  <c r="AT700" i="1"/>
  <c r="AT701" i="1"/>
  <c r="AT702" i="1"/>
  <c r="AT703" i="1"/>
  <c r="AT704" i="1"/>
  <c r="AT705" i="1"/>
  <c r="AT706" i="1"/>
  <c r="AT707" i="1"/>
  <c r="AT708" i="1"/>
  <c r="AT709" i="1"/>
  <c r="AT710" i="1"/>
  <c r="AT711" i="1"/>
  <c r="AT712" i="1"/>
  <c r="AT713" i="1"/>
  <c r="AT714" i="1"/>
  <c r="AT715" i="1"/>
  <c r="AT716" i="1"/>
  <c r="AT717" i="1"/>
  <c r="AT718" i="1"/>
  <c r="AT719" i="1"/>
  <c r="AT720" i="1"/>
  <c r="AT721" i="1"/>
  <c r="AT722" i="1"/>
  <c r="AT723" i="1"/>
  <c r="AT724" i="1"/>
  <c r="AT725" i="1"/>
  <c r="AT726" i="1"/>
  <c r="AT727" i="1"/>
  <c r="AT728" i="1"/>
  <c r="AT729" i="1"/>
  <c r="AT730" i="1"/>
  <c r="AT731" i="1"/>
  <c r="AT732" i="1"/>
  <c r="AT733" i="1"/>
  <c r="AT734" i="1"/>
  <c r="AT735" i="1"/>
  <c r="AT736" i="1"/>
  <c r="AT737" i="1"/>
  <c r="AT738" i="1"/>
  <c r="AT739" i="1"/>
  <c r="AT740" i="1"/>
  <c r="AT741" i="1"/>
  <c r="AT742" i="1"/>
  <c r="AT743" i="1"/>
  <c r="AT744" i="1"/>
  <c r="AT745" i="1"/>
  <c r="AT746" i="1"/>
  <c r="AT747" i="1"/>
  <c r="AT748" i="1"/>
  <c r="AT749" i="1"/>
  <c r="AT750" i="1"/>
  <c r="AT751" i="1"/>
  <c r="AT752" i="1"/>
  <c r="AT753" i="1"/>
  <c r="AT754" i="1"/>
  <c r="AT755" i="1"/>
  <c r="AT756" i="1"/>
  <c r="AT757" i="1"/>
  <c r="AT758" i="1"/>
  <c r="AT759" i="1"/>
  <c r="AT760" i="1"/>
  <c r="AT761" i="1"/>
  <c r="AT762" i="1"/>
  <c r="AT763" i="1"/>
  <c r="AT764" i="1"/>
  <c r="AT765" i="1"/>
  <c r="AT766" i="1"/>
  <c r="AT767" i="1"/>
  <c r="AT768" i="1"/>
  <c r="AT769" i="1"/>
  <c r="AT770" i="1"/>
  <c r="AT771" i="1"/>
  <c r="AT772" i="1"/>
  <c r="AT773" i="1"/>
  <c r="AT774" i="1"/>
  <c r="AT775" i="1"/>
  <c r="AT776" i="1"/>
  <c r="AT777" i="1"/>
  <c r="AT778" i="1"/>
  <c r="AT779" i="1"/>
  <c r="AT780" i="1"/>
  <c r="AT781" i="1"/>
  <c r="AT782" i="1"/>
  <c r="AT783" i="1"/>
  <c r="AT784" i="1"/>
  <c r="AT785" i="1"/>
  <c r="AT786" i="1"/>
  <c r="AT787" i="1"/>
  <c r="AT788" i="1"/>
  <c r="AT789" i="1"/>
  <c r="AT790" i="1"/>
  <c r="AT791" i="1"/>
  <c r="AT792" i="1"/>
  <c r="AT793" i="1"/>
  <c r="AT794" i="1"/>
  <c r="AT795" i="1"/>
  <c r="AT796" i="1"/>
  <c r="AT797" i="1"/>
  <c r="AT798" i="1"/>
  <c r="AT799" i="1"/>
  <c r="AT800" i="1"/>
  <c r="AT801" i="1"/>
  <c r="AT802" i="1"/>
  <c r="AT803" i="1"/>
  <c r="AT804" i="1"/>
  <c r="AT805" i="1"/>
  <c r="AT806" i="1"/>
  <c r="AT807" i="1"/>
  <c r="AT808" i="1"/>
  <c r="AT809" i="1"/>
  <c r="AT810" i="1"/>
  <c r="AT811" i="1"/>
  <c r="AT812" i="1"/>
  <c r="AT813" i="1"/>
  <c r="AT814" i="1"/>
  <c r="AT815" i="1"/>
  <c r="AT816" i="1"/>
  <c r="AT817" i="1"/>
  <c r="AT818" i="1"/>
  <c r="AT819" i="1"/>
  <c r="AT820" i="1"/>
  <c r="AT821" i="1"/>
  <c r="AT822" i="1"/>
  <c r="AT823" i="1"/>
  <c r="AT824" i="1"/>
  <c r="AT825" i="1"/>
  <c r="AT826" i="1"/>
  <c r="AT827" i="1"/>
  <c r="AT828" i="1"/>
  <c r="AT829" i="1"/>
  <c r="AT830" i="1"/>
  <c r="AT831" i="1"/>
  <c r="AT832" i="1"/>
  <c r="AT833" i="1"/>
  <c r="AT834" i="1"/>
  <c r="AT835" i="1"/>
  <c r="AT836" i="1"/>
  <c r="AT837" i="1"/>
  <c r="AT838" i="1"/>
  <c r="AT839" i="1"/>
  <c r="AT840" i="1"/>
  <c r="AT841" i="1"/>
  <c r="AT842" i="1"/>
  <c r="AT843" i="1"/>
  <c r="AT844" i="1"/>
  <c r="AT845" i="1"/>
  <c r="AT846" i="1"/>
  <c r="AT847" i="1"/>
  <c r="AT848" i="1"/>
  <c r="AT849" i="1"/>
  <c r="AT850" i="1"/>
  <c r="AT851" i="1"/>
  <c r="AT852" i="1"/>
  <c r="AT853" i="1"/>
  <c r="AT854" i="1"/>
  <c r="AT855" i="1"/>
  <c r="AT856" i="1"/>
  <c r="AT857" i="1"/>
  <c r="AT858" i="1"/>
  <c r="AT859" i="1"/>
  <c r="AT860" i="1"/>
  <c r="AT861" i="1"/>
  <c r="AT862" i="1"/>
  <c r="AT863" i="1"/>
  <c r="AT864" i="1"/>
  <c r="AT865" i="1"/>
  <c r="AT866" i="1"/>
  <c r="AT867" i="1"/>
  <c r="AT868" i="1"/>
  <c r="AT869" i="1"/>
  <c r="AT870" i="1"/>
  <c r="AT871" i="1"/>
  <c r="AT872" i="1"/>
  <c r="AT873" i="1"/>
  <c r="AT874" i="1"/>
  <c r="AT875" i="1"/>
  <c r="AT876" i="1"/>
  <c r="AT877" i="1"/>
  <c r="AT878" i="1"/>
  <c r="AT879" i="1"/>
  <c r="AT880" i="1"/>
  <c r="AT881" i="1"/>
  <c r="AT882" i="1"/>
  <c r="AT883" i="1"/>
  <c r="AT884" i="1"/>
  <c r="AT885" i="1"/>
  <c r="AT886" i="1"/>
  <c r="AT887" i="1"/>
  <c r="AT888" i="1"/>
  <c r="AT889" i="1"/>
  <c r="AT890" i="1"/>
  <c r="AT891" i="1"/>
  <c r="AT892" i="1"/>
  <c r="AT893" i="1"/>
  <c r="AT894" i="1"/>
  <c r="AT895" i="1"/>
  <c r="AT896" i="1"/>
  <c r="AT897" i="1"/>
  <c r="AT898" i="1"/>
  <c r="AT899" i="1"/>
  <c r="AT900" i="1"/>
  <c r="AT901" i="1"/>
  <c r="AT902" i="1"/>
  <c r="AT903" i="1"/>
  <c r="AT904" i="1"/>
  <c r="AT905" i="1"/>
  <c r="AT906" i="1"/>
  <c r="AT907" i="1"/>
  <c r="AT908" i="1"/>
  <c r="AT909" i="1"/>
  <c r="AT910" i="1"/>
  <c r="AT911" i="1"/>
  <c r="AT912" i="1"/>
  <c r="AT913" i="1"/>
  <c r="AT914" i="1"/>
  <c r="AT915" i="1"/>
  <c r="AT916" i="1"/>
  <c r="AT917" i="1"/>
  <c r="AT918" i="1"/>
  <c r="AT919" i="1"/>
  <c r="AT920" i="1"/>
  <c r="AT921" i="1"/>
  <c r="AT922" i="1"/>
  <c r="AT923" i="1"/>
  <c r="AT924" i="1"/>
  <c r="AT925" i="1"/>
  <c r="AT926" i="1"/>
  <c r="AT927" i="1"/>
  <c r="AT928" i="1"/>
  <c r="AT929" i="1"/>
  <c r="AT930" i="1"/>
  <c r="AT931" i="1"/>
  <c r="AT932" i="1"/>
  <c r="AT933" i="1"/>
  <c r="AT934" i="1"/>
  <c r="AT935" i="1"/>
  <c r="AT936" i="1"/>
  <c r="AT937" i="1"/>
  <c r="AT938" i="1"/>
  <c r="AT939" i="1"/>
  <c r="AT940" i="1"/>
  <c r="AT941" i="1"/>
  <c r="AT942" i="1"/>
  <c r="AT943" i="1"/>
  <c r="AT944" i="1"/>
  <c r="AT945" i="1"/>
  <c r="AT946" i="1"/>
  <c r="AT947" i="1"/>
  <c r="AT948" i="1"/>
  <c r="AT949" i="1"/>
  <c r="AT950" i="1"/>
  <c r="AT951" i="1"/>
  <c r="AT952" i="1"/>
  <c r="AT953" i="1"/>
  <c r="AT954" i="1"/>
  <c r="AT955" i="1"/>
  <c r="AT956" i="1"/>
  <c r="AT957" i="1"/>
  <c r="AT958" i="1"/>
  <c r="AT959" i="1"/>
  <c r="AT960" i="1"/>
  <c r="AT961" i="1"/>
  <c r="AT962" i="1"/>
  <c r="AT963" i="1"/>
  <c r="AT964" i="1"/>
  <c r="AT965" i="1"/>
  <c r="AT966" i="1"/>
  <c r="AT967" i="1"/>
  <c r="AT968" i="1"/>
  <c r="AT969" i="1"/>
  <c r="AT970" i="1"/>
  <c r="AT971" i="1"/>
  <c r="AT972" i="1"/>
  <c r="AT973" i="1"/>
  <c r="AT974" i="1"/>
  <c r="AT975" i="1"/>
  <c r="AT976" i="1"/>
  <c r="AT977" i="1"/>
  <c r="AT978" i="1"/>
  <c r="AT979" i="1"/>
  <c r="AT980" i="1"/>
  <c r="AT981" i="1"/>
  <c r="AT982" i="1"/>
  <c r="AT983" i="1"/>
  <c r="AT984" i="1"/>
  <c r="AT985" i="1"/>
  <c r="AT986" i="1"/>
  <c r="AT987" i="1"/>
  <c r="AT988" i="1"/>
  <c r="AT989" i="1"/>
  <c r="AT990" i="1"/>
  <c r="AT991" i="1"/>
  <c r="AT992" i="1"/>
  <c r="AT993" i="1"/>
  <c r="AT994" i="1"/>
  <c r="AT995" i="1"/>
  <c r="AT996" i="1"/>
  <c r="AT997" i="1"/>
  <c r="AT998" i="1"/>
  <c r="AT999" i="1"/>
  <c r="AT1000" i="1"/>
  <c r="AT1001" i="1"/>
  <c r="AT1002" i="1"/>
  <c r="AT1003" i="1"/>
  <c r="AT1004" i="1"/>
  <c r="AT1005" i="1"/>
  <c r="AT1006" i="1"/>
  <c r="AT1007" i="1"/>
  <c r="AT1008" i="1"/>
  <c r="AT1009" i="1"/>
  <c r="AT1010" i="1"/>
  <c r="AT1011" i="1"/>
  <c r="AT1012" i="1"/>
  <c r="AT1013" i="1"/>
  <c r="AT1014" i="1"/>
  <c r="AT1015" i="1"/>
  <c r="AT1016" i="1"/>
  <c r="AT1017" i="1"/>
  <c r="AT1018" i="1"/>
  <c r="AT1019" i="1"/>
  <c r="AT1020" i="1"/>
  <c r="AT1021" i="1"/>
  <c r="AT1022" i="1"/>
  <c r="AT1023" i="1"/>
  <c r="AT1024" i="1"/>
  <c r="AT1025" i="1"/>
  <c r="AT1026" i="1"/>
  <c r="AT1027" i="1"/>
  <c r="AT1028" i="1"/>
  <c r="AT1029" i="1"/>
  <c r="AT1030" i="1"/>
  <c r="AT1031" i="1"/>
  <c r="AT1032" i="1"/>
  <c r="AT1033" i="1"/>
  <c r="AT1034" i="1"/>
  <c r="AT1035" i="1"/>
  <c r="AT1036" i="1"/>
  <c r="AT1037" i="1"/>
  <c r="AT1038" i="1"/>
  <c r="AT1039" i="1"/>
  <c r="AT1040" i="1"/>
  <c r="AT1041" i="1"/>
  <c r="AT1042" i="1"/>
  <c r="AT1043" i="1"/>
  <c r="AT1044" i="1"/>
  <c r="AT1045" i="1"/>
  <c r="AT1046" i="1"/>
  <c r="AT1047" i="1"/>
  <c r="AT1048" i="1"/>
  <c r="AT1049" i="1"/>
  <c r="AT1050" i="1"/>
  <c r="AT1051" i="1"/>
  <c r="AT1052" i="1"/>
  <c r="AT1053" i="1"/>
  <c r="AT1054" i="1"/>
  <c r="AT1055" i="1"/>
  <c r="AT1056" i="1"/>
  <c r="AT1057" i="1"/>
  <c r="AT1058" i="1"/>
  <c r="AT1059" i="1"/>
  <c r="AT1060" i="1"/>
  <c r="AT1061" i="1"/>
  <c r="AT1062" i="1"/>
  <c r="AT1063" i="1"/>
  <c r="AT1064" i="1"/>
  <c r="AT1065" i="1"/>
  <c r="AT1066" i="1"/>
  <c r="AT1067" i="1"/>
  <c r="AT1068" i="1"/>
  <c r="AT1069" i="1"/>
  <c r="AT1070" i="1"/>
  <c r="AT1071" i="1"/>
  <c r="AT1072" i="1"/>
  <c r="AT1073" i="1"/>
  <c r="AT1074" i="1"/>
  <c r="AT1075" i="1"/>
  <c r="AT1076" i="1"/>
  <c r="AT1077" i="1"/>
  <c r="AT1078" i="1"/>
  <c r="AT1079" i="1"/>
  <c r="AT1080" i="1"/>
  <c r="AT1081" i="1"/>
  <c r="AT1082" i="1"/>
  <c r="AT1083" i="1"/>
  <c r="AT1084" i="1"/>
  <c r="AT1085" i="1"/>
  <c r="AT1086" i="1"/>
  <c r="AT1087" i="1"/>
  <c r="AT1088" i="1"/>
  <c r="AT1089" i="1"/>
  <c r="AT1090" i="1"/>
  <c r="AT1091" i="1"/>
  <c r="AT1092" i="1"/>
  <c r="AT1093" i="1"/>
  <c r="AT1094" i="1"/>
  <c r="AT1095" i="1"/>
  <c r="AT1096" i="1"/>
  <c r="AT1097" i="1"/>
  <c r="AT1098" i="1"/>
  <c r="AT1099" i="1"/>
  <c r="AT1100" i="1"/>
  <c r="AT1101" i="1"/>
  <c r="AT1102" i="1"/>
  <c r="AT1103" i="1"/>
  <c r="AT1104" i="1"/>
  <c r="AT1105" i="1"/>
  <c r="AT1106" i="1"/>
  <c r="AT1107" i="1"/>
  <c r="AT1108" i="1"/>
  <c r="AT1109" i="1"/>
  <c r="AT1110" i="1"/>
  <c r="AT1111" i="1"/>
  <c r="AT1112" i="1"/>
  <c r="AT1113" i="1"/>
  <c r="AT1114" i="1"/>
  <c r="AT1115" i="1"/>
  <c r="AT1116" i="1"/>
  <c r="AT1117" i="1"/>
  <c r="AT1118" i="1"/>
  <c r="AT1119" i="1"/>
  <c r="AT1120" i="1"/>
  <c r="AT1121" i="1"/>
  <c r="AT1122" i="1"/>
  <c r="AT1123" i="1"/>
  <c r="AT1124" i="1"/>
  <c r="AT1125" i="1"/>
  <c r="AT1126" i="1"/>
  <c r="AT1127" i="1"/>
  <c r="AT1128" i="1"/>
  <c r="AT1129" i="1"/>
  <c r="AT1130" i="1"/>
  <c r="AT1131" i="1"/>
  <c r="AT1132" i="1"/>
  <c r="AT1133" i="1"/>
  <c r="AT1134" i="1"/>
  <c r="AT1135" i="1"/>
  <c r="AT1136" i="1"/>
  <c r="AT1137" i="1"/>
  <c r="AT1138" i="1"/>
  <c r="AT1139" i="1"/>
  <c r="AT1140" i="1"/>
  <c r="AT1141" i="1"/>
  <c r="AT1142" i="1"/>
  <c r="AT1143" i="1"/>
  <c r="AT1144" i="1"/>
  <c r="AT1145" i="1"/>
  <c r="AT1146" i="1"/>
  <c r="AT1147" i="1"/>
  <c r="AT1148" i="1"/>
  <c r="AT1149" i="1"/>
  <c r="AT1150" i="1"/>
  <c r="AT1151" i="1"/>
  <c r="AT1152" i="1"/>
  <c r="AT1153" i="1"/>
  <c r="AT1154" i="1"/>
  <c r="AT1155" i="1"/>
  <c r="AT1156" i="1"/>
  <c r="AT1157" i="1"/>
  <c r="AT1158" i="1"/>
  <c r="AT1159" i="1"/>
  <c r="AT1160" i="1"/>
  <c r="AT1161" i="1"/>
  <c r="AT1162" i="1"/>
  <c r="AT1163" i="1"/>
  <c r="AT1164" i="1"/>
  <c r="AT1165" i="1"/>
  <c r="AT1166" i="1"/>
  <c r="AT1167" i="1"/>
  <c r="AT1168" i="1"/>
  <c r="AT1169" i="1"/>
  <c r="AT1170" i="1"/>
  <c r="AT1171" i="1"/>
  <c r="AT1172" i="1"/>
  <c r="AT1173" i="1"/>
  <c r="AT1174" i="1"/>
  <c r="AT1175" i="1"/>
  <c r="AT1176" i="1"/>
  <c r="AT1177" i="1"/>
  <c r="AT1178" i="1"/>
  <c r="AT1179" i="1"/>
  <c r="AT1180" i="1"/>
  <c r="AT1181" i="1"/>
  <c r="AT1182" i="1"/>
  <c r="AT1183" i="1"/>
  <c r="AT1184" i="1"/>
  <c r="AT1185" i="1"/>
  <c r="AT1186" i="1"/>
  <c r="AT1187" i="1"/>
  <c r="AT1188" i="1"/>
  <c r="AT1189" i="1"/>
  <c r="AT1190" i="1"/>
  <c r="AT1191" i="1"/>
  <c r="AT1192" i="1"/>
  <c r="AT1193" i="1"/>
  <c r="AT1194" i="1"/>
  <c r="AT1195" i="1"/>
  <c r="AT1196" i="1"/>
  <c r="AT1197" i="1"/>
  <c r="AT1198" i="1"/>
  <c r="AT1199" i="1"/>
  <c r="AT1200" i="1"/>
  <c r="AT1201" i="1"/>
  <c r="AT1202" i="1"/>
  <c r="AT1203" i="1"/>
  <c r="AT1204" i="1"/>
  <c r="AT1205" i="1"/>
  <c r="AT2" i="1"/>
  <c r="AU232" i="1"/>
  <c r="AU233" i="1"/>
  <c r="AU234" i="1"/>
  <c r="AU235" i="1"/>
  <c r="AU236" i="1"/>
  <c r="AU237" i="1"/>
  <c r="AU238" i="1"/>
  <c r="AU239" i="1"/>
  <c r="AU240" i="1"/>
  <c r="AU241" i="1"/>
  <c r="AU242" i="1"/>
  <c r="AU243" i="1"/>
  <c r="AU244" i="1"/>
  <c r="AU245" i="1"/>
  <c r="AU246" i="1"/>
  <c r="AU247" i="1"/>
  <c r="AU248" i="1"/>
  <c r="AU249" i="1"/>
  <c r="AU250" i="1"/>
  <c r="AU251" i="1"/>
  <c r="AU252" i="1"/>
  <c r="AU253" i="1"/>
  <c r="AU254" i="1"/>
  <c r="AU255" i="1"/>
  <c r="AU256" i="1"/>
  <c r="AU257" i="1"/>
  <c r="AU258" i="1"/>
  <c r="AU259" i="1"/>
  <c r="AU260" i="1"/>
  <c r="AU261" i="1"/>
  <c r="AU262" i="1"/>
  <c r="AU263" i="1"/>
  <c r="AU264" i="1"/>
  <c r="AU265" i="1"/>
  <c r="AU266" i="1"/>
  <c r="AU267" i="1"/>
  <c r="AU268" i="1"/>
  <c r="AU269" i="1"/>
  <c r="AU270" i="1"/>
  <c r="AU271" i="1"/>
  <c r="AU272" i="1"/>
  <c r="AU273" i="1"/>
  <c r="AU274" i="1"/>
  <c r="AU275" i="1"/>
  <c r="AU276" i="1"/>
  <c r="AU277" i="1"/>
  <c r="AU278" i="1"/>
  <c r="AU279" i="1"/>
  <c r="AU280" i="1"/>
  <c r="AU281" i="1"/>
  <c r="AU282" i="1"/>
  <c r="AU283" i="1"/>
  <c r="AU284" i="1"/>
  <c r="AU285" i="1"/>
  <c r="AU286" i="1"/>
  <c r="AU287" i="1"/>
  <c r="AU288" i="1"/>
  <c r="AU289" i="1"/>
  <c r="AU290" i="1"/>
  <c r="AU291" i="1"/>
  <c r="AU292" i="1"/>
  <c r="AU293" i="1"/>
  <c r="AU294" i="1"/>
  <c r="AU295" i="1"/>
  <c r="AU296" i="1"/>
  <c r="AU297" i="1"/>
  <c r="AU298" i="1"/>
  <c r="AU299" i="1"/>
  <c r="AU300" i="1"/>
  <c r="AU301" i="1"/>
  <c r="AU302" i="1"/>
  <c r="AU303" i="1"/>
  <c r="AU304" i="1"/>
  <c r="AU305" i="1"/>
  <c r="AU306" i="1"/>
  <c r="AU307" i="1"/>
  <c r="AU308" i="1"/>
  <c r="AU309" i="1"/>
  <c r="AU310" i="1"/>
  <c r="AU311" i="1"/>
  <c r="AU312" i="1"/>
  <c r="AU313" i="1"/>
  <c r="AU314" i="1"/>
  <c r="AU315" i="1"/>
  <c r="AU316" i="1"/>
  <c r="AU317" i="1"/>
  <c r="AU318" i="1"/>
  <c r="AU319" i="1"/>
  <c r="AU320" i="1"/>
  <c r="AU321" i="1"/>
  <c r="AU322" i="1"/>
  <c r="AU323" i="1"/>
  <c r="AU324" i="1"/>
  <c r="AU325" i="1"/>
  <c r="AU326" i="1"/>
  <c r="AU327" i="1"/>
  <c r="AU328" i="1"/>
  <c r="AU329" i="1"/>
  <c r="AU330" i="1"/>
  <c r="AU331" i="1"/>
  <c r="AU332" i="1"/>
  <c r="AU333" i="1"/>
  <c r="AU334" i="1"/>
  <c r="AU335" i="1"/>
  <c r="AU336" i="1"/>
  <c r="AU337" i="1"/>
  <c r="AU338" i="1"/>
  <c r="AU339" i="1"/>
  <c r="AU340" i="1"/>
  <c r="AU341" i="1"/>
  <c r="AU342" i="1"/>
  <c r="AU343" i="1"/>
  <c r="AU344" i="1"/>
  <c r="AU345" i="1"/>
  <c r="AU346" i="1"/>
  <c r="AU347" i="1"/>
  <c r="AU348" i="1"/>
  <c r="AU349" i="1"/>
  <c r="AU350" i="1"/>
  <c r="AU351" i="1"/>
  <c r="AU352" i="1"/>
  <c r="AU353" i="1"/>
  <c r="AU354" i="1"/>
  <c r="AU355" i="1"/>
  <c r="AU356" i="1"/>
  <c r="AU357" i="1"/>
  <c r="AU358" i="1"/>
  <c r="AU359" i="1"/>
  <c r="AU360" i="1"/>
  <c r="AU361" i="1"/>
  <c r="AU362" i="1"/>
  <c r="AU363" i="1"/>
  <c r="AU364" i="1"/>
  <c r="AU365" i="1"/>
  <c r="AU366" i="1"/>
  <c r="AU367" i="1"/>
  <c r="AU368" i="1"/>
  <c r="AU369" i="1"/>
  <c r="AU370" i="1"/>
  <c r="AU371" i="1"/>
  <c r="AU372" i="1"/>
  <c r="AU373" i="1"/>
  <c r="AU374" i="1"/>
  <c r="AU375" i="1"/>
  <c r="AU376" i="1"/>
  <c r="AU377" i="1"/>
  <c r="AU378" i="1"/>
  <c r="AU379" i="1"/>
  <c r="AU380" i="1"/>
  <c r="AU381" i="1"/>
  <c r="AU382" i="1"/>
  <c r="AU383" i="1"/>
  <c r="AU384" i="1"/>
  <c r="AU385" i="1"/>
  <c r="AU386" i="1"/>
  <c r="AU387" i="1"/>
  <c r="AU388" i="1"/>
  <c r="AU389" i="1"/>
  <c r="AU390" i="1"/>
  <c r="AU391" i="1"/>
  <c r="AU392" i="1"/>
  <c r="AU393" i="1"/>
  <c r="AU394" i="1"/>
  <c r="AU395" i="1"/>
  <c r="AU396" i="1"/>
  <c r="AU397" i="1"/>
  <c r="AU398" i="1"/>
  <c r="AU399" i="1"/>
  <c r="AU400" i="1"/>
  <c r="AU401" i="1"/>
  <c r="AU402" i="1"/>
  <c r="AU403" i="1"/>
  <c r="AU404" i="1"/>
  <c r="AU405" i="1"/>
  <c r="AU406" i="1"/>
  <c r="AU407" i="1"/>
  <c r="AU408" i="1"/>
  <c r="AU409" i="1"/>
  <c r="AU410" i="1"/>
  <c r="AU411" i="1"/>
  <c r="AU412" i="1"/>
  <c r="AU413" i="1"/>
  <c r="AU414" i="1"/>
  <c r="AU415" i="1"/>
  <c r="AU416" i="1"/>
  <c r="AU417" i="1"/>
  <c r="AU418" i="1"/>
  <c r="AU419" i="1"/>
  <c r="AU420" i="1"/>
  <c r="AU421" i="1"/>
  <c r="AU422" i="1"/>
  <c r="AU423" i="1"/>
  <c r="AU424" i="1"/>
  <c r="AU425" i="1"/>
  <c r="AU426" i="1"/>
  <c r="AU427" i="1"/>
  <c r="AU428" i="1"/>
  <c r="AU429" i="1"/>
  <c r="AU430" i="1"/>
  <c r="AU431" i="1"/>
  <c r="AU432" i="1"/>
  <c r="AU433" i="1"/>
  <c r="AU434" i="1"/>
  <c r="AU435" i="1"/>
  <c r="AU436" i="1"/>
  <c r="AU437" i="1"/>
  <c r="AU438" i="1"/>
  <c r="AU439" i="1"/>
  <c r="AU440" i="1"/>
  <c r="AU441" i="1"/>
  <c r="AU442" i="1"/>
  <c r="AU443" i="1"/>
  <c r="AU444" i="1"/>
  <c r="AU445" i="1"/>
  <c r="AU446" i="1"/>
  <c r="AU447" i="1"/>
  <c r="AU448" i="1"/>
  <c r="AU449" i="1"/>
  <c r="AU450" i="1"/>
  <c r="AU451" i="1"/>
  <c r="AU452" i="1"/>
  <c r="AU453" i="1"/>
  <c r="AU454" i="1"/>
  <c r="AU455" i="1"/>
  <c r="AU456" i="1"/>
  <c r="AU457" i="1"/>
  <c r="AU458" i="1"/>
  <c r="AU459" i="1"/>
  <c r="AU460" i="1"/>
  <c r="AU461" i="1"/>
  <c r="AU462" i="1"/>
  <c r="AU463" i="1"/>
  <c r="AU464" i="1"/>
  <c r="AU465" i="1"/>
  <c r="AU466" i="1"/>
  <c r="AU467" i="1"/>
  <c r="AU468" i="1"/>
  <c r="AU469" i="1"/>
  <c r="AU470" i="1"/>
  <c r="AU471" i="1"/>
  <c r="AU472" i="1"/>
  <c r="AU473" i="1"/>
  <c r="AU474" i="1"/>
  <c r="AU475" i="1"/>
  <c r="AU476" i="1"/>
  <c r="AU477" i="1"/>
  <c r="AU478" i="1"/>
  <c r="AU479" i="1"/>
  <c r="AU480" i="1"/>
  <c r="AU481" i="1"/>
  <c r="AU482" i="1"/>
  <c r="AU483" i="1"/>
  <c r="AU484" i="1"/>
  <c r="AU485" i="1"/>
  <c r="AU486" i="1"/>
  <c r="AU487" i="1"/>
  <c r="AU488" i="1"/>
  <c r="AU489" i="1"/>
  <c r="AU490" i="1"/>
  <c r="AU491" i="1"/>
  <c r="AU492" i="1"/>
  <c r="AU493" i="1"/>
  <c r="AU494" i="1"/>
  <c r="AU495" i="1"/>
  <c r="AU496" i="1"/>
  <c r="AU497" i="1"/>
  <c r="AU498" i="1"/>
  <c r="AU499" i="1"/>
  <c r="AU500" i="1"/>
  <c r="AU501" i="1"/>
  <c r="AU502" i="1"/>
  <c r="AU503" i="1"/>
  <c r="AU504" i="1"/>
  <c r="AU505" i="1"/>
  <c r="AU506" i="1"/>
  <c r="AU507" i="1"/>
  <c r="AU508" i="1"/>
  <c r="AU509" i="1"/>
  <c r="AU510" i="1"/>
  <c r="AU511" i="1"/>
  <c r="AU512" i="1"/>
  <c r="AU513" i="1"/>
  <c r="AU514" i="1"/>
  <c r="AU515" i="1"/>
  <c r="AU516" i="1"/>
  <c r="AU517" i="1"/>
  <c r="AU518" i="1"/>
  <c r="AU519" i="1"/>
  <c r="AU520" i="1"/>
  <c r="AU521" i="1"/>
  <c r="AU522" i="1"/>
  <c r="AU523" i="1"/>
  <c r="AU524" i="1"/>
  <c r="AU525" i="1"/>
  <c r="AU526" i="1"/>
  <c r="AU527" i="1"/>
  <c r="AU528" i="1"/>
  <c r="AU529" i="1"/>
  <c r="AU530" i="1"/>
  <c r="AU531" i="1"/>
  <c r="AU532" i="1"/>
  <c r="AU533" i="1"/>
  <c r="AU534" i="1"/>
  <c r="AU535" i="1"/>
  <c r="AU536" i="1"/>
  <c r="AU537" i="1"/>
  <c r="AU538" i="1"/>
  <c r="AU539" i="1"/>
  <c r="AU540" i="1"/>
  <c r="AU541" i="1"/>
  <c r="AU542" i="1"/>
  <c r="AU543" i="1"/>
  <c r="AU544" i="1"/>
  <c r="AU545" i="1"/>
  <c r="AU546" i="1"/>
  <c r="AU547" i="1"/>
  <c r="AU548" i="1"/>
  <c r="AU549" i="1"/>
  <c r="AU550" i="1"/>
  <c r="AU551" i="1"/>
  <c r="AU552" i="1"/>
  <c r="AU553" i="1"/>
  <c r="AU554" i="1"/>
  <c r="AU555" i="1"/>
  <c r="AU556" i="1"/>
  <c r="AU557" i="1"/>
  <c r="AU558" i="1"/>
  <c r="AU559" i="1"/>
  <c r="AU560" i="1"/>
  <c r="AU561" i="1"/>
  <c r="AU562" i="1"/>
  <c r="AU563" i="1"/>
  <c r="AU564" i="1"/>
  <c r="AU565" i="1"/>
  <c r="AU566" i="1"/>
  <c r="AU567" i="1"/>
  <c r="AU568" i="1"/>
  <c r="AU569" i="1"/>
  <c r="AU570" i="1"/>
  <c r="AU571" i="1"/>
  <c r="AU572" i="1"/>
  <c r="AU573" i="1"/>
  <c r="AU574" i="1"/>
  <c r="AU575" i="1"/>
  <c r="AU576" i="1"/>
  <c r="AU577" i="1"/>
  <c r="AU578" i="1"/>
  <c r="AU579" i="1"/>
  <c r="AU580" i="1"/>
  <c r="AU581" i="1"/>
  <c r="AU582" i="1"/>
  <c r="AU583" i="1"/>
  <c r="AU584" i="1"/>
  <c r="AU585" i="1"/>
  <c r="AU586" i="1"/>
  <c r="AU587" i="1"/>
  <c r="AU588" i="1"/>
  <c r="AU589" i="1"/>
  <c r="AU590" i="1"/>
  <c r="AU591" i="1"/>
  <c r="AU592" i="1"/>
  <c r="AU593" i="1"/>
  <c r="AU594" i="1"/>
  <c r="AU595" i="1"/>
  <c r="AU596" i="1"/>
  <c r="AU597" i="1"/>
  <c r="AU598" i="1"/>
  <c r="AU599" i="1"/>
  <c r="AU600" i="1"/>
  <c r="AU601" i="1"/>
  <c r="AU602" i="1"/>
  <c r="AU603" i="1"/>
  <c r="AU604" i="1"/>
  <c r="AU605" i="1"/>
  <c r="AU606" i="1"/>
  <c r="AU607" i="1"/>
  <c r="AU608" i="1"/>
  <c r="AU609" i="1"/>
  <c r="AU610" i="1"/>
  <c r="AU611" i="1"/>
  <c r="AU612" i="1"/>
  <c r="AU613" i="1"/>
  <c r="AU614" i="1"/>
  <c r="AU615" i="1"/>
  <c r="AU616" i="1"/>
  <c r="AU617" i="1"/>
  <c r="AU618" i="1"/>
  <c r="AU619" i="1"/>
  <c r="AU620" i="1"/>
  <c r="AU621" i="1"/>
  <c r="AU622" i="1"/>
  <c r="AU623" i="1"/>
  <c r="AU624" i="1"/>
  <c r="AU625" i="1"/>
  <c r="AU626" i="1"/>
  <c r="AU627" i="1"/>
  <c r="AU628" i="1"/>
  <c r="AU629" i="1"/>
  <c r="AU630" i="1"/>
  <c r="AU631" i="1"/>
  <c r="AU632" i="1"/>
  <c r="AU633" i="1"/>
  <c r="AU634" i="1"/>
  <c r="AU635" i="1"/>
  <c r="AU636" i="1"/>
  <c r="AU637" i="1"/>
  <c r="AU638" i="1"/>
  <c r="AU639" i="1"/>
  <c r="AU640" i="1"/>
  <c r="AU641" i="1"/>
  <c r="AU642" i="1"/>
  <c r="AU643" i="1"/>
  <c r="AU644" i="1"/>
  <c r="AU645" i="1"/>
  <c r="AU646" i="1"/>
  <c r="AU647" i="1"/>
  <c r="AU648" i="1"/>
  <c r="AU649" i="1"/>
  <c r="AU650" i="1"/>
  <c r="AU651" i="1"/>
  <c r="AU652" i="1"/>
  <c r="AU653" i="1"/>
  <c r="AU654" i="1"/>
  <c r="AU655" i="1"/>
  <c r="AU656" i="1"/>
  <c r="AU657" i="1"/>
  <c r="AU658" i="1"/>
  <c r="AU659" i="1"/>
  <c r="AU660" i="1"/>
  <c r="AU661" i="1"/>
  <c r="AU662" i="1"/>
  <c r="AU663" i="1"/>
  <c r="AU664" i="1"/>
  <c r="AU665" i="1"/>
  <c r="AU666" i="1"/>
  <c r="AU667" i="1"/>
  <c r="AU668" i="1"/>
  <c r="AU669" i="1"/>
  <c r="AU670" i="1"/>
  <c r="AU671" i="1"/>
  <c r="AU672" i="1"/>
  <c r="AU673" i="1"/>
  <c r="AU674" i="1"/>
  <c r="AU675" i="1"/>
  <c r="AU676" i="1"/>
  <c r="AU677" i="1"/>
  <c r="AU678" i="1"/>
  <c r="AU679" i="1"/>
  <c r="AU680" i="1"/>
  <c r="AU681" i="1"/>
  <c r="AU682" i="1"/>
  <c r="AU683" i="1"/>
  <c r="AU684" i="1"/>
  <c r="AU685" i="1"/>
  <c r="AU686" i="1"/>
  <c r="AU687" i="1"/>
  <c r="AU688" i="1"/>
  <c r="AU689" i="1"/>
  <c r="AU690" i="1"/>
  <c r="AU691" i="1"/>
  <c r="AU692" i="1"/>
  <c r="AU693" i="1"/>
  <c r="AU694" i="1"/>
  <c r="AU695" i="1"/>
  <c r="AU696" i="1"/>
  <c r="AU697" i="1"/>
  <c r="AU698" i="1"/>
  <c r="AU699" i="1"/>
  <c r="AU700" i="1"/>
  <c r="AU701" i="1"/>
  <c r="AU702" i="1"/>
  <c r="AU703" i="1"/>
  <c r="AU704" i="1"/>
  <c r="AU705" i="1"/>
  <c r="AU706" i="1"/>
  <c r="AU707" i="1"/>
  <c r="AU708" i="1"/>
  <c r="AU709" i="1"/>
  <c r="AU710" i="1"/>
  <c r="AU711" i="1"/>
  <c r="AU712" i="1"/>
  <c r="AU713" i="1"/>
  <c r="AU714" i="1"/>
  <c r="AU715" i="1"/>
  <c r="AU716" i="1"/>
  <c r="AU717" i="1"/>
  <c r="AU718" i="1"/>
  <c r="AU719" i="1"/>
  <c r="AU720" i="1"/>
  <c r="AU721" i="1"/>
  <c r="AU722" i="1"/>
  <c r="AU723" i="1"/>
  <c r="AU724" i="1"/>
  <c r="AU725" i="1"/>
  <c r="AU726" i="1"/>
  <c r="AU727" i="1"/>
  <c r="AU728" i="1"/>
  <c r="AU729" i="1"/>
  <c r="AU730" i="1"/>
  <c r="AU731" i="1"/>
  <c r="AU732" i="1"/>
  <c r="AU733" i="1"/>
  <c r="AU734" i="1"/>
  <c r="AU735" i="1"/>
  <c r="AU736" i="1"/>
  <c r="AU737" i="1"/>
  <c r="AU738" i="1"/>
  <c r="AU739" i="1"/>
  <c r="AU740" i="1"/>
  <c r="AU741" i="1"/>
  <c r="AU742" i="1"/>
  <c r="AU743" i="1"/>
  <c r="AU744" i="1"/>
  <c r="AU745" i="1"/>
  <c r="AU746" i="1"/>
  <c r="AU747" i="1"/>
  <c r="AU748" i="1"/>
  <c r="AU749" i="1"/>
  <c r="AU750" i="1"/>
  <c r="AU751" i="1"/>
  <c r="AU752" i="1"/>
  <c r="AU753" i="1"/>
  <c r="AU754" i="1"/>
  <c r="AU755" i="1"/>
  <c r="AU756" i="1"/>
  <c r="AU757" i="1"/>
  <c r="AU758" i="1"/>
  <c r="AU759" i="1"/>
  <c r="AU760" i="1"/>
  <c r="AU761" i="1"/>
  <c r="AU762" i="1"/>
  <c r="AU763" i="1"/>
  <c r="AU764" i="1"/>
  <c r="AU765" i="1"/>
  <c r="AU766" i="1"/>
  <c r="AU767" i="1"/>
  <c r="AU768" i="1"/>
  <c r="AU769" i="1"/>
  <c r="AU770" i="1"/>
  <c r="AU771" i="1"/>
  <c r="AU772" i="1"/>
  <c r="AU773" i="1"/>
  <c r="AU774" i="1"/>
  <c r="AU775" i="1"/>
  <c r="AU776" i="1"/>
  <c r="AU777" i="1"/>
  <c r="AU778" i="1"/>
  <c r="AU779" i="1"/>
  <c r="AU780" i="1"/>
  <c r="AU781" i="1"/>
  <c r="AU782" i="1"/>
  <c r="AU783" i="1"/>
  <c r="AU784" i="1"/>
  <c r="AU785" i="1"/>
  <c r="AU786" i="1"/>
  <c r="AU787" i="1"/>
  <c r="AU788" i="1"/>
  <c r="AU789" i="1"/>
  <c r="AU790" i="1"/>
  <c r="AU791" i="1"/>
  <c r="AU792" i="1"/>
  <c r="AU793" i="1"/>
  <c r="AU794" i="1"/>
  <c r="AU795" i="1"/>
  <c r="AU796" i="1"/>
  <c r="AU797" i="1"/>
  <c r="AU798" i="1"/>
  <c r="AU799" i="1"/>
  <c r="AU800" i="1"/>
  <c r="AU801" i="1"/>
  <c r="AU802" i="1"/>
  <c r="AU803" i="1"/>
  <c r="AU804" i="1"/>
  <c r="AU805" i="1"/>
  <c r="AU806" i="1"/>
  <c r="AU807" i="1"/>
  <c r="AU808" i="1"/>
  <c r="AU809" i="1"/>
  <c r="AU810" i="1"/>
  <c r="AU811" i="1"/>
  <c r="AU812" i="1"/>
  <c r="AU813" i="1"/>
  <c r="AU814" i="1"/>
  <c r="AU815" i="1"/>
  <c r="AU816" i="1"/>
  <c r="AU817" i="1"/>
  <c r="AU818" i="1"/>
  <c r="AU819" i="1"/>
  <c r="AU820" i="1"/>
  <c r="AU821" i="1"/>
  <c r="AU822" i="1"/>
  <c r="AU823" i="1"/>
  <c r="AU824" i="1"/>
  <c r="AU825" i="1"/>
  <c r="AU826" i="1"/>
  <c r="AU827" i="1"/>
  <c r="AU828" i="1"/>
  <c r="AU829" i="1"/>
  <c r="AU830" i="1"/>
  <c r="AU831" i="1"/>
  <c r="AU832" i="1"/>
  <c r="AU833" i="1"/>
  <c r="AU834" i="1"/>
  <c r="AU835" i="1"/>
  <c r="AU836" i="1"/>
  <c r="AU837" i="1"/>
  <c r="AU838" i="1"/>
  <c r="AU839" i="1"/>
  <c r="AU840" i="1"/>
  <c r="AU841" i="1"/>
  <c r="AU842" i="1"/>
  <c r="AU843" i="1"/>
  <c r="AU844" i="1"/>
  <c r="AU845" i="1"/>
  <c r="AU846" i="1"/>
  <c r="AU847" i="1"/>
  <c r="AU848" i="1"/>
  <c r="AU849" i="1"/>
  <c r="AU850" i="1"/>
  <c r="AU851" i="1"/>
  <c r="AU852" i="1"/>
  <c r="AU853" i="1"/>
  <c r="AU854" i="1"/>
  <c r="AU855" i="1"/>
  <c r="AU856" i="1"/>
  <c r="AU857" i="1"/>
  <c r="AU858" i="1"/>
  <c r="AU859" i="1"/>
  <c r="AU860" i="1"/>
  <c r="AU861" i="1"/>
  <c r="AU862" i="1"/>
  <c r="AU863" i="1"/>
  <c r="AU864" i="1"/>
  <c r="AU865" i="1"/>
  <c r="AU866" i="1"/>
  <c r="AU867" i="1"/>
  <c r="AU868" i="1"/>
  <c r="AU869" i="1"/>
  <c r="AU870" i="1"/>
  <c r="AU871" i="1"/>
  <c r="AU872" i="1"/>
  <c r="AU873" i="1"/>
  <c r="AU874" i="1"/>
  <c r="AU875" i="1"/>
  <c r="AU876" i="1"/>
  <c r="AU877" i="1"/>
  <c r="AU878" i="1"/>
  <c r="AU879" i="1"/>
  <c r="AU880" i="1"/>
  <c r="AU881" i="1"/>
  <c r="AU882" i="1"/>
  <c r="AU883" i="1"/>
  <c r="AU884" i="1"/>
  <c r="AU885" i="1"/>
  <c r="AU886" i="1"/>
  <c r="AU887" i="1"/>
  <c r="AU888" i="1"/>
  <c r="AU889" i="1"/>
  <c r="AU890" i="1"/>
  <c r="AU891" i="1"/>
  <c r="AU892" i="1"/>
  <c r="AU893" i="1"/>
  <c r="AU894" i="1"/>
  <c r="AU895" i="1"/>
  <c r="AU896" i="1"/>
  <c r="AU897" i="1"/>
  <c r="AU898" i="1"/>
  <c r="AU899" i="1"/>
  <c r="AU900" i="1"/>
  <c r="AU901" i="1"/>
  <c r="AU902" i="1"/>
  <c r="AU903" i="1"/>
  <c r="AU904" i="1"/>
  <c r="AU905" i="1"/>
  <c r="AU906" i="1"/>
  <c r="AU907" i="1"/>
  <c r="AU908" i="1"/>
  <c r="AU909" i="1"/>
  <c r="AU910" i="1"/>
  <c r="AU911" i="1"/>
  <c r="AU912" i="1"/>
  <c r="AU913" i="1"/>
  <c r="AU914" i="1"/>
  <c r="AU915" i="1"/>
  <c r="AU916" i="1"/>
  <c r="AU917" i="1"/>
  <c r="AU918" i="1"/>
  <c r="AU919" i="1"/>
  <c r="AU920" i="1"/>
  <c r="AU921" i="1"/>
  <c r="AU922" i="1"/>
  <c r="AU923" i="1"/>
  <c r="AU924" i="1"/>
  <c r="AU925" i="1"/>
  <c r="AU926" i="1"/>
  <c r="AU927" i="1"/>
  <c r="AU928" i="1"/>
  <c r="AU929" i="1"/>
  <c r="AU930" i="1"/>
  <c r="AU931" i="1"/>
  <c r="AU932" i="1"/>
  <c r="AU933" i="1"/>
  <c r="AU934" i="1"/>
  <c r="AU935" i="1"/>
  <c r="AU936" i="1"/>
  <c r="AU937" i="1"/>
  <c r="AU938" i="1"/>
  <c r="AU939" i="1"/>
  <c r="AU940" i="1"/>
  <c r="AU941" i="1"/>
  <c r="AU942" i="1"/>
  <c r="AU943" i="1"/>
  <c r="AU944" i="1"/>
  <c r="AU945" i="1"/>
  <c r="AU946" i="1"/>
  <c r="AU947" i="1"/>
  <c r="AU948" i="1"/>
  <c r="AU949" i="1"/>
  <c r="AU950" i="1"/>
  <c r="AU951" i="1"/>
  <c r="AU952" i="1"/>
  <c r="AU953" i="1"/>
  <c r="AU954" i="1"/>
  <c r="AU955" i="1"/>
  <c r="AU956" i="1"/>
  <c r="AU957" i="1"/>
  <c r="AU958" i="1"/>
  <c r="AU959" i="1"/>
  <c r="AU960" i="1"/>
  <c r="AU961" i="1"/>
  <c r="AU962" i="1"/>
  <c r="AU963" i="1"/>
  <c r="AU964" i="1"/>
  <c r="AU965" i="1"/>
  <c r="AU966" i="1"/>
  <c r="AU967" i="1"/>
  <c r="AU968" i="1"/>
  <c r="AU969" i="1"/>
  <c r="AU970" i="1"/>
  <c r="AU971" i="1"/>
  <c r="AU972" i="1"/>
  <c r="AU973" i="1"/>
  <c r="AU974" i="1"/>
  <c r="AU975" i="1"/>
  <c r="AU976" i="1"/>
  <c r="AU977" i="1"/>
  <c r="AU978" i="1"/>
  <c r="AU979" i="1"/>
  <c r="AU980" i="1"/>
  <c r="AU981" i="1"/>
  <c r="AU982" i="1"/>
  <c r="AU983" i="1"/>
  <c r="AU984" i="1"/>
  <c r="AU985" i="1"/>
  <c r="AU986" i="1"/>
  <c r="AU987" i="1"/>
  <c r="AU988" i="1"/>
  <c r="AU989" i="1"/>
  <c r="AU990" i="1"/>
  <c r="AU991" i="1"/>
  <c r="AU992" i="1"/>
  <c r="AU993" i="1"/>
  <c r="AU994" i="1"/>
  <c r="AU995" i="1"/>
  <c r="AU996" i="1"/>
  <c r="AU997" i="1"/>
  <c r="AU998" i="1"/>
  <c r="AU999" i="1"/>
  <c r="AU1000" i="1"/>
  <c r="AU1001" i="1"/>
  <c r="AU1002" i="1"/>
  <c r="AU1003" i="1"/>
  <c r="AU1004" i="1"/>
  <c r="AU1005" i="1"/>
  <c r="AU1006" i="1"/>
  <c r="AU1007" i="1"/>
  <c r="AU1008" i="1"/>
  <c r="AU1009" i="1"/>
  <c r="AU1010" i="1"/>
  <c r="AU1011" i="1"/>
  <c r="AU1012" i="1"/>
  <c r="AU1013" i="1"/>
  <c r="AU1014" i="1"/>
  <c r="AU1015" i="1"/>
  <c r="AU1016" i="1"/>
  <c r="AU1017" i="1"/>
  <c r="AU1018" i="1"/>
  <c r="AU1019" i="1"/>
  <c r="AU1020" i="1"/>
  <c r="AU1021" i="1"/>
  <c r="AU1022" i="1"/>
  <c r="AU1023" i="1"/>
  <c r="AU1024" i="1"/>
  <c r="AU1025" i="1"/>
  <c r="AU1026" i="1"/>
  <c r="AU1027" i="1"/>
  <c r="AU1028" i="1"/>
  <c r="AU1029" i="1"/>
  <c r="AU1030" i="1"/>
  <c r="AU1031" i="1"/>
  <c r="AU1032" i="1"/>
  <c r="AU1033" i="1"/>
  <c r="AU1034" i="1"/>
  <c r="AU1035" i="1"/>
  <c r="AU1036" i="1"/>
  <c r="AU1037" i="1"/>
  <c r="AU1038" i="1"/>
  <c r="AU1039" i="1"/>
  <c r="AU1040" i="1"/>
  <c r="AU1041" i="1"/>
  <c r="AU1042" i="1"/>
  <c r="AU1043" i="1"/>
  <c r="AU1044" i="1"/>
  <c r="AU1045" i="1"/>
  <c r="AU1046" i="1"/>
  <c r="AU1047" i="1"/>
  <c r="AU1048" i="1"/>
  <c r="AU1049" i="1"/>
  <c r="AU1050" i="1"/>
  <c r="AU1051" i="1"/>
  <c r="AU1052" i="1"/>
  <c r="AU1053" i="1"/>
  <c r="AU1054" i="1"/>
  <c r="AU1055" i="1"/>
  <c r="AU1056" i="1"/>
  <c r="AU1057" i="1"/>
  <c r="AV3" i="3"/>
  <c r="AC3" i="3" s="1"/>
  <c r="AV4" i="3"/>
  <c r="AC4" i="3" s="1"/>
  <c r="AV5" i="3"/>
  <c r="AC5" i="3" s="1"/>
  <c r="AV6" i="3"/>
  <c r="AC6" i="3" s="1"/>
  <c r="AV7" i="3"/>
  <c r="AC7" i="3" s="1"/>
  <c r="AV8" i="3"/>
  <c r="AC8" i="3" s="1"/>
  <c r="AV9" i="3"/>
  <c r="AC9" i="3" s="1"/>
  <c r="AV10" i="3"/>
  <c r="AC10" i="3" s="1"/>
  <c r="AV11" i="3"/>
  <c r="AC11" i="3" s="1"/>
  <c r="AV12" i="3"/>
  <c r="AC12" i="3" s="1"/>
  <c r="AV13" i="3"/>
  <c r="AC13" i="3" s="1"/>
  <c r="AV14" i="3"/>
  <c r="AC14" i="3" s="1"/>
  <c r="AV15" i="3"/>
  <c r="AC15" i="3" s="1"/>
  <c r="AV16" i="3"/>
  <c r="AC16" i="3" s="1"/>
  <c r="AV17" i="3"/>
  <c r="AC17" i="3" s="1"/>
  <c r="AV18" i="3"/>
  <c r="AC18" i="3" s="1"/>
  <c r="AV19" i="3"/>
  <c r="AC19" i="3" s="1"/>
  <c r="AV20" i="3"/>
  <c r="AC20" i="3" s="1"/>
  <c r="AV21" i="3"/>
  <c r="AC21" i="3" s="1"/>
  <c r="AV22" i="3"/>
  <c r="AC22" i="3" s="1"/>
  <c r="AV23" i="3"/>
  <c r="AC23" i="3" s="1"/>
  <c r="AV24" i="3"/>
  <c r="AC24" i="3" s="1"/>
  <c r="AV25" i="3"/>
  <c r="AV26" i="3"/>
  <c r="AV27" i="3"/>
  <c r="AV28" i="3"/>
  <c r="AV29" i="3"/>
  <c r="AC29" i="3" s="1"/>
  <c r="AV30" i="3"/>
  <c r="AC30" i="3" s="1"/>
  <c r="AV31" i="3"/>
  <c r="AC31" i="3" s="1"/>
  <c r="AV32" i="3"/>
  <c r="AC32" i="3" s="1"/>
  <c r="AV33" i="3"/>
  <c r="AC33" i="3" s="1"/>
  <c r="AV34" i="3"/>
  <c r="AC34" i="3" s="1"/>
  <c r="AV35" i="3"/>
  <c r="AC35" i="3" s="1"/>
  <c r="AV36" i="3"/>
  <c r="AC36" i="3" s="1"/>
  <c r="AV37" i="3"/>
  <c r="AC37" i="3" s="1"/>
  <c r="AV38" i="3"/>
  <c r="AC38" i="3" s="1"/>
  <c r="AV39" i="3"/>
  <c r="AC39" i="3" s="1"/>
  <c r="AV40" i="3"/>
  <c r="AC40" i="3" s="1"/>
  <c r="AV41" i="3"/>
  <c r="AV42" i="3"/>
  <c r="AV43" i="3"/>
  <c r="AV44" i="3"/>
  <c r="AC44" i="3" s="1"/>
  <c r="AV45" i="3"/>
  <c r="AC45" i="3" s="1"/>
  <c r="AV46" i="3"/>
  <c r="AC46" i="3" s="1"/>
  <c r="AV47" i="3"/>
  <c r="AC47" i="3" s="1"/>
  <c r="AV48" i="3"/>
  <c r="AC48" i="3" s="1"/>
  <c r="AV49" i="3"/>
  <c r="AC49" i="3" s="1"/>
  <c r="AV50" i="3"/>
  <c r="AC50" i="3" s="1"/>
  <c r="AV51" i="3"/>
  <c r="AC51" i="3" s="1"/>
  <c r="AV52" i="3"/>
  <c r="AC52" i="3" s="1"/>
  <c r="AV53" i="3"/>
  <c r="AC53" i="3" s="1"/>
  <c r="AV54" i="3"/>
  <c r="AC54" i="3" s="1"/>
  <c r="AV55" i="3"/>
  <c r="AC55" i="3" s="1"/>
  <c r="AV56" i="3"/>
  <c r="AC56" i="3" s="1"/>
  <c r="AV57" i="3"/>
  <c r="AC57" i="3" s="1"/>
  <c r="AV58" i="3"/>
  <c r="AC58" i="3" s="1"/>
  <c r="AV59" i="3"/>
  <c r="AC59" i="3" s="1"/>
  <c r="AV60" i="3"/>
  <c r="AC60" i="3" s="1"/>
  <c r="AV61" i="3"/>
  <c r="AC61" i="3" s="1"/>
  <c r="AV62" i="3"/>
  <c r="AV63" i="3"/>
  <c r="AV64" i="3"/>
  <c r="AC64" i="3" s="1"/>
  <c r="AV65" i="3"/>
  <c r="AC65" i="3" s="1"/>
  <c r="AV66" i="3"/>
  <c r="AC66" i="3" s="1"/>
  <c r="AV67" i="3"/>
  <c r="AV68" i="3"/>
  <c r="AV69" i="3"/>
  <c r="AV70" i="3"/>
  <c r="AV71" i="3"/>
  <c r="AC71" i="3" s="1"/>
  <c r="AV72" i="3"/>
  <c r="AC72" i="3" s="1"/>
  <c r="AV73" i="3"/>
  <c r="AC73" i="3" s="1"/>
  <c r="AV74" i="3"/>
  <c r="AC74" i="3" s="1"/>
  <c r="AV75" i="3"/>
  <c r="AC75" i="3" s="1"/>
  <c r="AV76" i="3"/>
  <c r="AC76" i="3" s="1"/>
  <c r="AV77" i="3"/>
  <c r="AC77" i="3" s="1"/>
  <c r="AV78" i="3"/>
  <c r="AC78" i="3" s="1"/>
  <c r="AV79" i="3"/>
  <c r="AC79" i="3" s="1"/>
  <c r="AV80" i="3"/>
  <c r="AC80" i="3" s="1"/>
  <c r="AV81" i="3"/>
  <c r="AC81" i="3" s="1"/>
  <c r="AV82" i="3"/>
  <c r="AC82" i="3" s="1"/>
  <c r="AV83" i="3"/>
  <c r="AC83" i="3" s="1"/>
  <c r="AV84" i="3"/>
  <c r="AC84" i="3" s="1"/>
  <c r="AV85" i="3"/>
  <c r="AC85" i="3" s="1"/>
  <c r="AV86" i="3"/>
  <c r="AC86" i="3" s="1"/>
  <c r="AV87" i="3"/>
  <c r="AC87" i="3" s="1"/>
  <c r="AV88" i="3"/>
  <c r="AV89" i="3"/>
  <c r="AV90" i="3"/>
  <c r="AV91" i="3"/>
  <c r="AV92" i="3"/>
  <c r="AV93" i="3"/>
  <c r="AV94" i="3"/>
  <c r="AV95" i="3"/>
  <c r="AC95" i="3" s="1"/>
  <c r="AV96" i="3"/>
  <c r="AC96" i="3" s="1"/>
  <c r="AV97" i="3"/>
  <c r="AC97" i="3" s="1"/>
  <c r="AV98" i="3"/>
  <c r="AC98" i="3" s="1"/>
  <c r="AV99" i="3"/>
  <c r="AC99" i="3" s="1"/>
  <c r="AV100" i="3"/>
  <c r="AC100" i="3" s="1"/>
  <c r="AV101" i="3"/>
  <c r="AC101" i="3" s="1"/>
  <c r="AV102" i="3"/>
  <c r="AC102" i="3" s="1"/>
  <c r="AV103" i="3"/>
  <c r="AC103" i="3" s="1"/>
  <c r="AV104" i="3"/>
  <c r="AC104" i="3" s="1"/>
  <c r="AV105" i="3"/>
  <c r="AC105" i="3" s="1"/>
  <c r="AV106" i="3"/>
  <c r="AC106" i="3" s="1"/>
  <c r="AV107" i="3"/>
  <c r="AC107" i="3" s="1"/>
  <c r="AV108" i="3"/>
  <c r="AC108" i="3" s="1"/>
  <c r="AV109" i="3"/>
  <c r="AC109" i="3" s="1"/>
  <c r="AV110" i="3"/>
  <c r="AC110" i="3" s="1"/>
  <c r="AV111" i="3"/>
  <c r="AC111" i="3" s="1"/>
  <c r="AV112" i="3"/>
  <c r="AC112" i="3" s="1"/>
  <c r="AV113" i="3"/>
  <c r="AC113" i="3" s="1"/>
  <c r="AV114" i="3"/>
  <c r="AC114" i="3" s="1"/>
  <c r="AV115" i="3"/>
  <c r="AC115" i="3" s="1"/>
  <c r="AV116" i="3"/>
  <c r="AC116" i="3" s="1"/>
  <c r="AV117" i="3"/>
  <c r="AC117" i="3" s="1"/>
  <c r="AV118" i="3"/>
  <c r="AC118" i="3" s="1"/>
  <c r="AV119" i="3"/>
  <c r="AC119" i="3" s="1"/>
  <c r="AV120" i="3"/>
  <c r="AC120" i="3" s="1"/>
  <c r="AV121" i="3"/>
  <c r="AC121" i="3" s="1"/>
  <c r="AV122" i="3"/>
  <c r="AC122" i="3" s="1"/>
  <c r="AV123" i="3"/>
  <c r="AC123" i="3" s="1"/>
  <c r="AV124" i="3"/>
  <c r="AC124" i="3" s="1"/>
  <c r="AV125" i="3"/>
  <c r="AV126" i="3"/>
  <c r="AV127" i="3"/>
  <c r="AV128" i="3"/>
  <c r="AV129" i="3"/>
  <c r="AV130" i="3"/>
  <c r="AV131" i="3"/>
  <c r="AV132" i="3"/>
  <c r="AV133" i="3"/>
  <c r="AV134" i="3"/>
  <c r="AV135" i="3"/>
  <c r="AV136" i="3"/>
  <c r="AV137" i="3"/>
  <c r="AV138" i="3"/>
  <c r="AV139" i="3"/>
  <c r="AV140" i="3"/>
  <c r="AV141" i="3"/>
  <c r="AV142" i="3"/>
  <c r="AC142" i="3" s="1"/>
  <c r="AV143" i="3"/>
  <c r="AC143" i="3" s="1"/>
  <c r="AV144" i="3"/>
  <c r="AV145" i="3"/>
  <c r="AV146" i="3"/>
  <c r="AV147" i="3"/>
  <c r="AV148" i="3"/>
  <c r="AC148" i="3" s="1"/>
  <c r="AV149" i="3"/>
  <c r="AC149" i="3" s="1"/>
  <c r="AV150" i="3"/>
  <c r="AC150" i="3" s="1"/>
  <c r="AV151" i="3"/>
  <c r="AC151" i="3" s="1"/>
  <c r="AV152" i="3"/>
  <c r="AC152" i="3" s="1"/>
  <c r="AV153" i="3"/>
  <c r="AC153" i="3" s="1"/>
  <c r="AV154" i="3"/>
  <c r="AC154" i="3" s="1"/>
  <c r="AV155" i="3"/>
  <c r="AC155" i="3" s="1"/>
  <c r="AV156" i="3"/>
  <c r="AC156" i="3" s="1"/>
  <c r="AV157" i="3"/>
  <c r="AC157" i="3" s="1"/>
  <c r="AV158" i="3"/>
  <c r="AC158" i="3" s="1"/>
  <c r="AV159" i="3"/>
  <c r="AC159" i="3" s="1"/>
  <c r="AV160" i="3"/>
  <c r="AC160" i="3" s="1"/>
  <c r="AV161" i="3"/>
  <c r="AC161" i="3" s="1"/>
  <c r="AV162" i="3"/>
  <c r="AC162" i="3" s="1"/>
  <c r="AV163" i="3"/>
  <c r="AC163" i="3" s="1"/>
  <c r="AV164" i="3"/>
  <c r="AC164" i="3" s="1"/>
  <c r="AV165" i="3"/>
  <c r="AC165" i="3" s="1"/>
  <c r="AV166" i="3"/>
  <c r="AC166" i="3" s="1"/>
  <c r="AV167" i="3"/>
  <c r="AC167" i="3" s="1"/>
  <c r="AV168" i="3"/>
  <c r="AC168" i="3" s="1"/>
  <c r="AV169" i="3"/>
  <c r="AC169" i="3" s="1"/>
  <c r="AV170" i="3"/>
  <c r="AC170" i="3" s="1"/>
  <c r="AV171" i="3"/>
  <c r="AC171" i="3" s="1"/>
  <c r="AV172" i="3"/>
  <c r="AC172" i="3" s="1"/>
  <c r="AV173" i="3"/>
  <c r="AC173" i="3" s="1"/>
  <c r="AV174" i="3"/>
  <c r="AC174" i="3" s="1"/>
  <c r="AV175" i="3"/>
  <c r="AC175" i="3" s="1"/>
  <c r="AV176" i="3"/>
  <c r="AC176" i="3" s="1"/>
  <c r="AV177" i="3"/>
  <c r="AC177" i="3" s="1"/>
  <c r="AV178" i="3"/>
  <c r="AC178" i="3" s="1"/>
  <c r="AV179" i="3"/>
  <c r="AC179" i="3" s="1"/>
  <c r="AV180" i="3"/>
  <c r="AC180" i="3" s="1"/>
  <c r="AV181" i="3"/>
  <c r="AC181" i="3" s="1"/>
  <c r="AV182" i="3"/>
  <c r="AC182" i="3" s="1"/>
  <c r="AV183" i="3"/>
  <c r="AC183" i="3" s="1"/>
  <c r="AV184" i="3"/>
  <c r="AC184" i="3" s="1"/>
  <c r="AV185" i="3"/>
  <c r="AC185" i="3" s="1"/>
  <c r="AV186" i="3"/>
  <c r="AC186" i="3" s="1"/>
  <c r="AV187" i="3"/>
  <c r="AC187" i="3" s="1"/>
  <c r="AV188" i="3"/>
  <c r="AC188" i="3" s="1"/>
  <c r="AV189" i="3"/>
  <c r="AC189" i="3" s="1"/>
  <c r="AV190" i="3"/>
  <c r="AC190" i="3" s="1"/>
  <c r="AV191" i="3"/>
  <c r="AC191" i="3" s="1"/>
  <c r="AV192" i="3"/>
  <c r="AC192" i="3" s="1"/>
  <c r="AV193" i="3"/>
  <c r="AC193" i="3" s="1"/>
  <c r="AV194" i="3"/>
  <c r="AC194" i="3" s="1"/>
  <c r="AV195" i="3"/>
  <c r="AC195" i="3" s="1"/>
  <c r="AV196" i="3"/>
  <c r="AC196" i="3" s="1"/>
  <c r="AV197" i="3"/>
  <c r="AC197" i="3" s="1"/>
  <c r="AV198" i="3"/>
  <c r="AC198" i="3" s="1"/>
  <c r="AV199" i="3"/>
  <c r="AC199" i="3" s="1"/>
  <c r="AV200" i="3"/>
  <c r="AV201" i="3"/>
  <c r="AC201" i="3" s="1"/>
  <c r="AV202" i="3"/>
  <c r="AC202" i="3" s="1"/>
  <c r="AV203" i="3"/>
  <c r="AC203" i="3" s="1"/>
  <c r="AV204" i="3"/>
  <c r="AC204" i="3" s="1"/>
  <c r="AV205" i="3"/>
  <c r="AC205" i="3" s="1"/>
  <c r="AV206" i="3"/>
  <c r="AC206" i="3" s="1"/>
  <c r="AV207" i="3"/>
  <c r="AC207" i="3" s="1"/>
  <c r="AV208" i="3"/>
  <c r="AC208" i="3" s="1"/>
  <c r="AV209" i="3"/>
  <c r="AC209" i="3" s="1"/>
  <c r="AV210" i="3"/>
  <c r="AC210" i="3" s="1"/>
  <c r="AV211" i="3"/>
  <c r="AC211" i="3" s="1"/>
  <c r="AV212" i="3"/>
  <c r="AC212" i="3" s="1"/>
  <c r="AV213" i="3"/>
  <c r="AC213" i="3" s="1"/>
  <c r="AV214" i="3"/>
  <c r="AC214" i="3" s="1"/>
  <c r="AV215" i="3"/>
  <c r="AC215" i="3" s="1"/>
  <c r="AV216" i="3"/>
  <c r="AC216" i="3" s="1"/>
  <c r="AV217" i="3"/>
  <c r="AC217" i="3" s="1"/>
  <c r="AV218" i="3"/>
  <c r="AC218" i="3" s="1"/>
  <c r="AV219" i="3"/>
  <c r="AC219" i="3" s="1"/>
  <c r="AV220" i="3"/>
  <c r="AC220" i="3" s="1"/>
  <c r="AV221" i="3"/>
  <c r="AC221" i="3" s="1"/>
  <c r="AV222" i="3"/>
  <c r="AC222" i="3" s="1"/>
  <c r="AV223" i="3"/>
  <c r="AC223" i="3" s="1"/>
  <c r="AV224" i="3"/>
  <c r="AC224" i="3" s="1"/>
  <c r="AV225" i="3"/>
  <c r="AC225" i="3" s="1"/>
  <c r="AV226" i="3"/>
  <c r="AC226" i="3" s="1"/>
  <c r="AV227" i="3"/>
  <c r="AC227" i="3" s="1"/>
  <c r="AV228" i="3"/>
  <c r="AV229" i="3"/>
  <c r="AV230" i="3"/>
  <c r="AV231" i="3"/>
  <c r="AC231" i="3" s="1"/>
  <c r="AV232" i="3"/>
  <c r="AC232" i="3" s="1"/>
  <c r="AV233" i="3"/>
  <c r="AC233" i="3" s="1"/>
  <c r="AV234" i="3"/>
  <c r="AV235" i="3"/>
  <c r="AC235" i="3" s="1"/>
  <c r="AV236" i="3"/>
  <c r="AV237" i="3"/>
  <c r="AC237" i="3" s="1"/>
  <c r="AV238" i="3"/>
  <c r="AV239" i="3"/>
  <c r="AC239" i="3" s="1"/>
  <c r="AV240" i="3"/>
  <c r="AC240" i="3" s="1"/>
  <c r="AV241" i="3"/>
  <c r="AC241" i="3" s="1"/>
  <c r="AV242" i="3"/>
  <c r="AC242" i="3" s="1"/>
  <c r="AV243" i="3"/>
  <c r="AC243" i="3" s="1"/>
  <c r="AV244" i="3"/>
  <c r="AC244" i="3" s="1"/>
  <c r="AV245" i="3"/>
  <c r="AC245" i="3" s="1"/>
  <c r="AV246" i="3"/>
  <c r="AC246" i="3" s="1"/>
  <c r="AV247" i="3"/>
  <c r="AV248" i="3"/>
  <c r="AV249" i="3"/>
  <c r="AV250" i="3"/>
  <c r="AV251" i="3"/>
  <c r="AV252" i="3"/>
  <c r="AV253" i="3"/>
  <c r="AV254" i="3"/>
  <c r="AV255" i="3"/>
  <c r="AC255" i="3" s="1"/>
  <c r="AV256" i="3"/>
  <c r="AC256" i="3" s="1"/>
  <c r="AV257" i="3"/>
  <c r="AC257" i="3" s="1"/>
  <c r="AV258" i="3"/>
  <c r="AV259" i="3"/>
  <c r="AV260" i="3"/>
  <c r="AV261" i="3"/>
  <c r="AC261" i="3" s="1"/>
  <c r="AV262" i="3"/>
  <c r="AC262" i="3" s="1"/>
  <c r="AV263" i="3"/>
  <c r="AC263" i="3" s="1"/>
  <c r="AV264" i="3"/>
  <c r="AC264" i="3" s="1"/>
  <c r="AV265" i="3"/>
  <c r="AC265" i="3" s="1"/>
  <c r="AV266" i="3"/>
  <c r="AC266" i="3" s="1"/>
  <c r="AV267" i="3"/>
  <c r="AC267" i="3" s="1"/>
  <c r="AV268" i="3"/>
  <c r="AC268" i="3" s="1"/>
  <c r="AV269" i="3"/>
  <c r="AC269" i="3" s="1"/>
  <c r="AV270" i="3"/>
  <c r="AV271" i="3"/>
  <c r="AV272" i="3"/>
  <c r="AV273" i="3"/>
  <c r="AV274" i="3"/>
  <c r="AV275" i="3"/>
  <c r="AC275" i="3" s="1"/>
  <c r="AV276" i="3"/>
  <c r="AC276" i="3" s="1"/>
  <c r="AV277" i="3"/>
  <c r="AC277" i="3" s="1"/>
  <c r="AV278" i="3"/>
  <c r="AV279" i="3"/>
  <c r="AV280" i="3"/>
  <c r="AV281" i="3"/>
  <c r="AV282" i="3"/>
  <c r="AV283" i="3"/>
  <c r="AV284" i="3"/>
  <c r="AV2" i="3"/>
  <c r="AC2" i="3" s="1"/>
  <c r="AV3" i="2"/>
  <c r="AV4" i="2"/>
  <c r="AV5" i="2"/>
  <c r="AV6" i="2"/>
  <c r="AV7" i="2"/>
  <c r="AV8" i="2"/>
  <c r="AV9" i="2"/>
  <c r="AV10" i="2"/>
  <c r="AV11" i="2"/>
  <c r="AV12" i="2"/>
  <c r="AV13" i="2"/>
  <c r="AV14" i="2"/>
  <c r="AV15" i="2"/>
  <c r="AV16" i="2"/>
  <c r="AV17" i="2"/>
  <c r="AV18" i="2"/>
  <c r="AV19" i="2"/>
  <c r="AV20" i="2"/>
  <c r="AV21" i="2"/>
  <c r="AV22" i="2"/>
  <c r="AV23" i="2"/>
  <c r="AV24" i="2"/>
  <c r="AV25" i="2"/>
  <c r="AV26" i="2"/>
  <c r="AV27" i="2"/>
  <c r="AV28" i="2"/>
  <c r="AV29" i="2"/>
  <c r="AV30" i="2"/>
  <c r="AV31" i="2"/>
  <c r="AV32" i="2"/>
  <c r="AV33" i="2"/>
  <c r="AV34" i="2"/>
  <c r="AV35" i="2"/>
  <c r="AV36" i="2"/>
  <c r="AV37" i="2"/>
  <c r="AV38" i="2"/>
  <c r="AV39" i="2"/>
  <c r="AV40" i="2"/>
  <c r="AV41" i="2"/>
  <c r="AV42" i="2"/>
  <c r="AV43" i="2"/>
  <c r="AV44" i="2"/>
  <c r="AV45" i="2"/>
  <c r="AV46" i="2"/>
  <c r="AV47" i="2"/>
  <c r="AV48" i="2"/>
  <c r="AV49" i="2"/>
  <c r="AV50" i="2"/>
  <c r="AV51" i="2"/>
  <c r="AV52" i="2"/>
  <c r="AV53" i="2"/>
  <c r="AV54" i="2"/>
  <c r="AV55" i="2"/>
  <c r="AV56" i="2"/>
  <c r="AV57" i="2"/>
  <c r="AV58" i="2"/>
  <c r="AV59" i="2"/>
  <c r="AV60" i="2"/>
  <c r="AV61" i="2"/>
  <c r="AV62" i="2"/>
  <c r="AV63" i="2"/>
  <c r="AV64" i="2"/>
  <c r="AV65" i="2"/>
  <c r="AV66" i="2"/>
  <c r="AV67" i="2"/>
  <c r="AV68" i="2"/>
  <c r="AV69" i="2"/>
  <c r="AV70" i="2"/>
  <c r="AV71" i="2"/>
  <c r="AV72" i="2"/>
  <c r="AV73" i="2"/>
  <c r="AV74" i="2"/>
  <c r="AV75" i="2"/>
  <c r="AV76" i="2"/>
  <c r="AV77" i="2"/>
  <c r="AV78" i="2"/>
  <c r="AV79" i="2"/>
  <c r="AV80" i="2"/>
  <c r="AV81" i="2"/>
  <c r="AV82" i="2"/>
  <c r="AV83" i="2"/>
  <c r="AV84" i="2"/>
  <c r="AV85" i="2"/>
  <c r="AV86" i="2"/>
  <c r="AV87" i="2"/>
  <c r="AV88" i="2"/>
  <c r="AV89" i="2"/>
  <c r="AV90" i="2"/>
  <c r="AV91" i="2"/>
  <c r="AV92" i="2"/>
  <c r="AV93" i="2"/>
  <c r="AV94" i="2"/>
  <c r="AV95" i="2"/>
  <c r="AV96" i="2"/>
  <c r="AV97" i="2"/>
  <c r="AV98" i="2"/>
  <c r="AV99" i="2"/>
  <c r="AV100" i="2"/>
  <c r="AV101" i="2"/>
  <c r="AV102" i="2"/>
  <c r="AV103" i="2"/>
  <c r="AV104" i="2"/>
  <c r="AV105" i="2"/>
  <c r="AV106" i="2"/>
  <c r="AV107" i="2"/>
  <c r="AV108" i="2"/>
  <c r="AV109" i="2"/>
  <c r="AV110" i="2"/>
  <c r="AV111" i="2"/>
  <c r="AV112" i="2"/>
  <c r="AV113" i="2"/>
  <c r="AV114" i="2"/>
  <c r="AV115" i="2"/>
  <c r="AV116" i="2"/>
  <c r="AV117" i="2"/>
  <c r="AV118" i="2"/>
  <c r="AV119" i="2"/>
  <c r="AV120" i="2"/>
  <c r="AV121" i="2"/>
  <c r="AV122" i="2"/>
  <c r="AV123" i="2"/>
  <c r="AV124" i="2"/>
  <c r="AV125" i="2"/>
  <c r="AV126" i="2"/>
  <c r="AV127" i="2"/>
  <c r="AV128" i="2"/>
  <c r="AV129" i="2"/>
  <c r="AV130" i="2"/>
  <c r="AV131" i="2"/>
  <c r="AV132" i="2"/>
  <c r="AV133" i="2"/>
  <c r="AV134" i="2"/>
  <c r="AV135" i="2"/>
  <c r="AV136" i="2"/>
  <c r="AV137" i="2"/>
  <c r="AV138" i="2"/>
  <c r="AV139" i="2"/>
  <c r="AV140" i="2"/>
  <c r="AV141" i="2"/>
  <c r="AV142" i="2"/>
  <c r="AV143" i="2"/>
  <c r="AV144" i="2"/>
  <c r="AV145" i="2"/>
  <c r="AV146" i="2"/>
  <c r="AV147" i="2"/>
  <c r="AV148" i="2"/>
  <c r="AV149" i="2"/>
  <c r="AV150" i="2"/>
  <c r="AV151" i="2"/>
  <c r="AV152" i="2"/>
  <c r="AV153" i="2"/>
  <c r="AV154" i="2"/>
  <c r="AV155" i="2"/>
  <c r="AV156" i="2"/>
  <c r="AV157" i="2"/>
  <c r="AV158" i="2"/>
  <c r="AV159" i="2"/>
  <c r="AV160" i="2"/>
  <c r="AV161" i="2"/>
  <c r="AV162" i="2"/>
  <c r="AV163" i="2"/>
  <c r="AV164" i="2"/>
  <c r="AV165" i="2"/>
  <c r="AV166" i="2"/>
  <c r="AV167" i="2"/>
  <c r="AV168" i="2"/>
  <c r="AV169" i="2"/>
  <c r="AV170" i="2"/>
  <c r="AV171" i="2"/>
  <c r="AV172" i="2"/>
  <c r="AV173" i="2"/>
  <c r="AV174" i="2"/>
  <c r="AV175" i="2"/>
  <c r="AV176" i="2"/>
  <c r="AV177" i="2"/>
  <c r="AV178" i="2"/>
  <c r="AV179" i="2"/>
  <c r="AV180" i="2"/>
  <c r="AV181" i="2"/>
  <c r="AV182" i="2"/>
  <c r="AV183" i="2"/>
  <c r="AV184" i="2"/>
  <c r="AV185" i="2"/>
  <c r="AV186" i="2"/>
  <c r="AV187" i="2"/>
  <c r="AV188" i="2"/>
  <c r="AV189" i="2"/>
  <c r="AV190" i="2"/>
  <c r="AV191" i="2"/>
  <c r="AV192" i="2"/>
  <c r="AV193" i="2"/>
  <c r="AV194" i="2"/>
  <c r="AV195" i="2"/>
  <c r="AV196" i="2"/>
  <c r="AV197" i="2"/>
  <c r="AV198" i="2"/>
  <c r="AV199" i="2"/>
  <c r="AV200" i="2"/>
  <c r="AV201" i="2"/>
  <c r="AV202" i="2"/>
  <c r="AV203" i="2"/>
  <c r="AV204" i="2"/>
  <c r="AV205" i="2"/>
  <c r="AV206" i="2"/>
  <c r="AV207" i="2"/>
  <c r="AV208" i="2"/>
  <c r="AV209" i="2"/>
  <c r="AV210" i="2"/>
  <c r="AV211" i="2"/>
  <c r="AV212" i="2"/>
  <c r="AV213" i="2"/>
  <c r="AV214" i="2"/>
  <c r="AV215" i="2"/>
  <c r="AV216" i="2"/>
  <c r="AV217" i="2"/>
  <c r="AV218" i="2"/>
  <c r="AV219" i="2"/>
  <c r="AV220" i="2"/>
  <c r="AV221" i="2"/>
  <c r="AV222" i="2"/>
  <c r="AV223" i="2"/>
  <c r="AV224" i="2"/>
  <c r="AV225" i="2"/>
  <c r="AV226" i="2"/>
  <c r="AV227" i="2"/>
  <c r="AV228" i="2"/>
  <c r="AV229" i="2"/>
  <c r="AV230" i="2"/>
  <c r="AV231" i="2"/>
  <c r="AV232" i="2"/>
  <c r="AV233" i="2"/>
  <c r="AV234" i="2"/>
  <c r="AV235" i="2"/>
  <c r="AV236" i="2"/>
  <c r="AV237" i="2"/>
  <c r="AV238" i="2"/>
  <c r="AV239" i="2"/>
  <c r="AV240" i="2"/>
  <c r="AV2" i="2"/>
  <c r="AV3" i="1"/>
  <c r="AV1058" i="1"/>
  <c r="AV4" i="1"/>
  <c r="AV5" i="1"/>
  <c r="AV6" i="1"/>
  <c r="AV7" i="1"/>
  <c r="AV8" i="1"/>
  <c r="AV9" i="1"/>
  <c r="AV10" i="1"/>
  <c r="AV11" i="1"/>
  <c r="AV12" i="1"/>
  <c r="AV13" i="1"/>
  <c r="AV14" i="1"/>
  <c r="AV15" i="1"/>
  <c r="AV16" i="1"/>
  <c r="AV17" i="1"/>
  <c r="AV18" i="1"/>
  <c r="AV19" i="1"/>
  <c r="AV20" i="1"/>
  <c r="AV21" i="1"/>
  <c r="AV22" i="1"/>
  <c r="AV23" i="1"/>
  <c r="AV1059" i="1"/>
  <c r="AV1060" i="1"/>
  <c r="AV1061" i="1"/>
  <c r="AV1062" i="1"/>
  <c r="AV24" i="1"/>
  <c r="AV25" i="1"/>
  <c r="AV26" i="1"/>
  <c r="AV27" i="1"/>
  <c r="AV28" i="1"/>
  <c r="AV29" i="1"/>
  <c r="AV30" i="1"/>
  <c r="AV31" i="1"/>
  <c r="AV32" i="1"/>
  <c r="AV33" i="1"/>
  <c r="AV34" i="1"/>
  <c r="AV35" i="1"/>
  <c r="AV36" i="1"/>
  <c r="AV37" i="1"/>
  <c r="AV38" i="1"/>
  <c r="AV39" i="1"/>
  <c r="AV40" i="1"/>
  <c r="AV41" i="1"/>
  <c r="AV42" i="1"/>
  <c r="AV43" i="1"/>
  <c r="AV44" i="1"/>
  <c r="AV45" i="1"/>
  <c r="AV46" i="1"/>
  <c r="AV47" i="1"/>
  <c r="AV48" i="1"/>
  <c r="AV49" i="1"/>
  <c r="AV50" i="1"/>
  <c r="AV51" i="1"/>
  <c r="AV52" i="1"/>
  <c r="AV53" i="1"/>
  <c r="AV54" i="1"/>
  <c r="AV55" i="1"/>
  <c r="AV56" i="1"/>
  <c r="AV57" i="1"/>
  <c r="AV58" i="1"/>
  <c r="AV59" i="1"/>
  <c r="AV60" i="1"/>
  <c r="AV61" i="1"/>
  <c r="AV62" i="1"/>
  <c r="AV63" i="1"/>
  <c r="AV64" i="1"/>
  <c r="AV65" i="1"/>
  <c r="AV66" i="1"/>
  <c r="AV67" i="1"/>
  <c r="AV68" i="1"/>
  <c r="AV69" i="1"/>
  <c r="AV70" i="1"/>
  <c r="AV71" i="1"/>
  <c r="AV72" i="1"/>
  <c r="AV73" i="1"/>
  <c r="AV74" i="1"/>
  <c r="AV75" i="1"/>
  <c r="AV76" i="1"/>
  <c r="AV77" i="1"/>
  <c r="AV78" i="1"/>
  <c r="AV79" i="1"/>
  <c r="AV80" i="1"/>
  <c r="AV81" i="1"/>
  <c r="AV82" i="1"/>
  <c r="AV83" i="1"/>
  <c r="AV84" i="1"/>
  <c r="AV85" i="1"/>
  <c r="AV86" i="1"/>
  <c r="AV87" i="1"/>
  <c r="AV88" i="1"/>
  <c r="AV89" i="1"/>
  <c r="AV90" i="1"/>
  <c r="AV91" i="1"/>
  <c r="AV92" i="1"/>
  <c r="AV93" i="1"/>
  <c r="AV94" i="1"/>
  <c r="AV95" i="1"/>
  <c r="AV96" i="1"/>
  <c r="AV97" i="1"/>
  <c r="AV98" i="1"/>
  <c r="AV99" i="1"/>
  <c r="AV100" i="1"/>
  <c r="AV101" i="1"/>
  <c r="AV102" i="1"/>
  <c r="AV103" i="1"/>
  <c r="AV104" i="1"/>
  <c r="AV105" i="1"/>
  <c r="AV106" i="1"/>
  <c r="AV107" i="1"/>
  <c r="AV108" i="1"/>
  <c r="AV109" i="1"/>
  <c r="AV110" i="1"/>
  <c r="AV111" i="1"/>
  <c r="AV1063" i="1"/>
  <c r="AV112" i="1"/>
  <c r="AV113" i="1"/>
  <c r="AV114" i="1"/>
  <c r="AV115" i="1"/>
  <c r="AV116" i="1"/>
  <c r="AV117" i="1"/>
  <c r="AV118" i="1"/>
  <c r="AV119" i="1"/>
  <c r="AV120" i="1"/>
  <c r="AV121" i="1"/>
  <c r="AV122" i="1"/>
  <c r="AV123" i="1"/>
  <c r="AV124" i="1"/>
  <c r="AV125" i="1"/>
  <c r="AV126" i="1"/>
  <c r="AV127" i="1"/>
  <c r="AV128" i="1"/>
  <c r="AV129" i="1"/>
  <c r="AV130" i="1"/>
  <c r="AV131" i="1"/>
  <c r="AV132" i="1"/>
  <c r="AV133" i="1"/>
  <c r="AV134" i="1"/>
  <c r="AV135" i="1"/>
  <c r="AV136" i="1"/>
  <c r="AV137" i="1"/>
  <c r="AV138" i="1"/>
  <c r="AV139" i="1"/>
  <c r="AV140" i="1"/>
  <c r="AV141" i="1"/>
  <c r="AV142" i="1"/>
  <c r="AV143" i="1"/>
  <c r="AV1064" i="1"/>
  <c r="AV144" i="1"/>
  <c r="AV145" i="1"/>
  <c r="AV1065" i="1"/>
  <c r="AV146" i="1"/>
  <c r="AV147" i="1"/>
  <c r="AV148" i="1"/>
  <c r="AV149" i="1"/>
  <c r="AV150" i="1"/>
  <c r="AV151" i="1"/>
  <c r="AV152" i="1"/>
  <c r="AV153" i="1"/>
  <c r="AV154" i="1"/>
  <c r="AV155" i="1"/>
  <c r="AV156" i="1"/>
  <c r="AV157" i="1"/>
  <c r="AV158" i="1"/>
  <c r="AV159" i="1"/>
  <c r="AV160" i="1"/>
  <c r="AV161" i="1"/>
  <c r="AV162" i="1"/>
  <c r="AV163" i="1"/>
  <c r="AV164" i="1"/>
  <c r="AV165" i="1"/>
  <c r="AV166" i="1"/>
  <c r="AV167" i="1"/>
  <c r="AV168" i="1"/>
  <c r="AV169" i="1"/>
  <c r="AV170" i="1"/>
  <c r="AV171" i="1"/>
  <c r="AV172" i="1"/>
  <c r="AV173" i="1"/>
  <c r="AV174" i="1"/>
  <c r="AV175" i="1"/>
  <c r="AV176" i="1"/>
  <c r="AV177" i="1"/>
  <c r="AV1066" i="1"/>
  <c r="AV178" i="1"/>
  <c r="AV179" i="1"/>
  <c r="AV180" i="1"/>
  <c r="AV181" i="1"/>
  <c r="AV182" i="1"/>
  <c r="AV183" i="1"/>
  <c r="AV184" i="1"/>
  <c r="AV185" i="1"/>
  <c r="AV186" i="1"/>
  <c r="AV187" i="1"/>
  <c r="AV188" i="1"/>
  <c r="AV189" i="1"/>
  <c r="AV190" i="1"/>
  <c r="AV191" i="1"/>
  <c r="AV192" i="1"/>
  <c r="AV193" i="1"/>
  <c r="AV194" i="1"/>
  <c r="AV195" i="1"/>
  <c r="AV196" i="1"/>
  <c r="AV197" i="1"/>
  <c r="AV198" i="1"/>
  <c r="AV199" i="1"/>
  <c r="AV200" i="1"/>
  <c r="AV201" i="1"/>
  <c r="AV202" i="1"/>
  <c r="AV203" i="1"/>
  <c r="AV204" i="1"/>
  <c r="AV205" i="1"/>
  <c r="AV206" i="1"/>
  <c r="AV207" i="1"/>
  <c r="AV208" i="1"/>
  <c r="AV209" i="1"/>
  <c r="AV210" i="1"/>
  <c r="AV211" i="1"/>
  <c r="AV212" i="1"/>
  <c r="AV213" i="1"/>
  <c r="AV214" i="1"/>
  <c r="AV215" i="1"/>
  <c r="AV216" i="1"/>
  <c r="AV217" i="1"/>
  <c r="AV218" i="1"/>
  <c r="AV219" i="1"/>
  <c r="AV220" i="1"/>
  <c r="AV221" i="1"/>
  <c r="AV222" i="1"/>
  <c r="AV223" i="1"/>
  <c r="AV224" i="1"/>
  <c r="AV225" i="1"/>
  <c r="AV226" i="1"/>
  <c r="AV227" i="1"/>
  <c r="AV228" i="1"/>
  <c r="AV229" i="1"/>
  <c r="AV230" i="1"/>
  <c r="AV231" i="1"/>
  <c r="AV232" i="1"/>
  <c r="AV233" i="1"/>
  <c r="AV1067" i="1"/>
  <c r="AV1068" i="1"/>
  <c r="AV234" i="1"/>
  <c r="AV235" i="1"/>
  <c r="AV236" i="1"/>
  <c r="AV237" i="1"/>
  <c r="AV238" i="1"/>
  <c r="AV239" i="1"/>
  <c r="AV240" i="1"/>
  <c r="AV241" i="1"/>
  <c r="AV242" i="1"/>
  <c r="AV243" i="1"/>
  <c r="AV244" i="1"/>
  <c r="AV245" i="1"/>
  <c r="AV246" i="1"/>
  <c r="AV247" i="1"/>
  <c r="AV248" i="1"/>
  <c r="AV249" i="1"/>
  <c r="AV250" i="1"/>
  <c r="AV251" i="1"/>
  <c r="AV252" i="1"/>
  <c r="AV253" i="1"/>
  <c r="AV254" i="1"/>
  <c r="AV255" i="1"/>
  <c r="AV256" i="1"/>
  <c r="AV257" i="1"/>
  <c r="AV258" i="1"/>
  <c r="AV259" i="1"/>
  <c r="AV260" i="1"/>
  <c r="AV261" i="1"/>
  <c r="AV262" i="1"/>
  <c r="AV263" i="1"/>
  <c r="AV264" i="1"/>
  <c r="AV265" i="1"/>
  <c r="AV266" i="1"/>
  <c r="AV267" i="1"/>
  <c r="AV268" i="1"/>
  <c r="AV269" i="1"/>
  <c r="AV270" i="1"/>
  <c r="AV271" i="1"/>
  <c r="AV272" i="1"/>
  <c r="AV273" i="1"/>
  <c r="AV274" i="1"/>
  <c r="AV275" i="1"/>
  <c r="AV276" i="1"/>
  <c r="AV277" i="1"/>
  <c r="AV278" i="1"/>
  <c r="AV279" i="1"/>
  <c r="AV280" i="1"/>
  <c r="AV281" i="1"/>
  <c r="AV282" i="1"/>
  <c r="AV283" i="1"/>
  <c r="AV284" i="1"/>
  <c r="AV285" i="1"/>
  <c r="AV286" i="1"/>
  <c r="AV287" i="1"/>
  <c r="AV288" i="1"/>
  <c r="AV289" i="1"/>
  <c r="AV290" i="1"/>
  <c r="AV291" i="1"/>
  <c r="AV292" i="1"/>
  <c r="AV293" i="1"/>
  <c r="AV294" i="1"/>
  <c r="AV295" i="1"/>
  <c r="AV296" i="1"/>
  <c r="AV297" i="1"/>
  <c r="AV298" i="1"/>
  <c r="AV299" i="1"/>
  <c r="AV300" i="1"/>
  <c r="AV301" i="1"/>
  <c r="AV302" i="1"/>
  <c r="AV303" i="1"/>
  <c r="AV304" i="1"/>
  <c r="AV305" i="1"/>
  <c r="AV306" i="1"/>
  <c r="AV307" i="1"/>
  <c r="AV308" i="1"/>
  <c r="AV309" i="1"/>
  <c r="AV310" i="1"/>
  <c r="AV311" i="1"/>
  <c r="AV312" i="1"/>
  <c r="AV313" i="1"/>
  <c r="AV314" i="1"/>
  <c r="AV315" i="1"/>
  <c r="AV316" i="1"/>
  <c r="AV317" i="1"/>
  <c r="AV318" i="1"/>
  <c r="AV319" i="1"/>
  <c r="AV320" i="1"/>
  <c r="AV321" i="1"/>
  <c r="AV322" i="1"/>
  <c r="AV323" i="1"/>
  <c r="AV324" i="1"/>
  <c r="AV325" i="1"/>
  <c r="AV326" i="1"/>
  <c r="AV327" i="1"/>
  <c r="AV328" i="1"/>
  <c r="AV329" i="1"/>
  <c r="AV330" i="1"/>
  <c r="AV331" i="1"/>
  <c r="AV332" i="1"/>
  <c r="AV333" i="1"/>
  <c r="AV334" i="1"/>
  <c r="AV335" i="1"/>
  <c r="AV336" i="1"/>
  <c r="AV337" i="1"/>
  <c r="AV338" i="1"/>
  <c r="AV339" i="1"/>
  <c r="AV340" i="1"/>
  <c r="AV341" i="1"/>
  <c r="AV342" i="1"/>
  <c r="AV343" i="1"/>
  <c r="AV344" i="1"/>
  <c r="AV345" i="1"/>
  <c r="AV346" i="1"/>
  <c r="AV347" i="1"/>
  <c r="AV348" i="1"/>
  <c r="AV349" i="1"/>
  <c r="AV350" i="1"/>
  <c r="AV351" i="1"/>
  <c r="AV352" i="1"/>
  <c r="AV353" i="1"/>
  <c r="AV354" i="1"/>
  <c r="AV355" i="1"/>
  <c r="AV356" i="1"/>
  <c r="AV357" i="1"/>
  <c r="AV358" i="1"/>
  <c r="AV359" i="1"/>
  <c r="AV360" i="1"/>
  <c r="AV361" i="1"/>
  <c r="AV362" i="1"/>
  <c r="AV363" i="1"/>
  <c r="AV364" i="1"/>
  <c r="AV365" i="1"/>
  <c r="AV366" i="1"/>
  <c r="AV367" i="1"/>
  <c r="AV368" i="1"/>
  <c r="AV369" i="1"/>
  <c r="AV1069" i="1"/>
  <c r="AV370" i="1"/>
  <c r="AV371" i="1"/>
  <c r="AV372" i="1"/>
  <c r="AV373" i="1"/>
  <c r="AV374" i="1"/>
  <c r="AV1070" i="1"/>
  <c r="AV375" i="1"/>
  <c r="AV376" i="1"/>
  <c r="AV377" i="1"/>
  <c r="AV1071" i="1"/>
  <c r="AV378" i="1"/>
  <c r="AV379" i="1"/>
  <c r="AV380" i="1"/>
  <c r="AV381" i="1"/>
  <c r="AV382" i="1"/>
  <c r="AV383" i="1"/>
  <c r="AV384" i="1"/>
  <c r="AV385" i="1"/>
  <c r="AV386" i="1"/>
  <c r="AV387" i="1"/>
  <c r="AV388" i="1"/>
  <c r="AV389" i="1"/>
  <c r="AV390" i="1"/>
  <c r="AV391" i="1"/>
  <c r="AV392" i="1"/>
  <c r="AV393" i="1"/>
  <c r="AV394" i="1"/>
  <c r="AV395" i="1"/>
  <c r="AV396" i="1"/>
  <c r="AV397" i="1"/>
  <c r="AV398" i="1"/>
  <c r="AV399" i="1"/>
  <c r="AV400" i="1"/>
  <c r="AV401" i="1"/>
  <c r="AV402" i="1"/>
  <c r="AV403" i="1"/>
  <c r="AV404" i="1"/>
  <c r="AV405" i="1"/>
  <c r="AV406" i="1"/>
  <c r="AV407" i="1"/>
  <c r="AV408" i="1"/>
  <c r="AV409" i="1"/>
  <c r="AV410" i="1"/>
  <c r="AV411" i="1"/>
  <c r="AV412" i="1"/>
  <c r="AV413" i="1"/>
  <c r="AV414" i="1"/>
  <c r="AV415" i="1"/>
  <c r="AV1072" i="1"/>
  <c r="AV416" i="1"/>
  <c r="AV417" i="1"/>
  <c r="AV418" i="1"/>
  <c r="AV419" i="1"/>
  <c r="AV420" i="1"/>
  <c r="AV421" i="1"/>
  <c r="AV422" i="1"/>
  <c r="AV423" i="1"/>
  <c r="AV424" i="1"/>
  <c r="AV425" i="1"/>
  <c r="AV426" i="1"/>
  <c r="AV427" i="1"/>
  <c r="AV428" i="1"/>
  <c r="AV429" i="1"/>
  <c r="AV430" i="1"/>
  <c r="AV431" i="1"/>
  <c r="AV432" i="1"/>
  <c r="AV433" i="1"/>
  <c r="AV434" i="1"/>
  <c r="AV435" i="1"/>
  <c r="AV436" i="1"/>
  <c r="AV437" i="1"/>
  <c r="AV438" i="1"/>
  <c r="AV439" i="1"/>
  <c r="AV440" i="1"/>
  <c r="AV441" i="1"/>
  <c r="AV442" i="1"/>
  <c r="AV443" i="1"/>
  <c r="AV444" i="1"/>
  <c r="AV445" i="1"/>
  <c r="AV446" i="1"/>
  <c r="AV447" i="1"/>
  <c r="AV448" i="1"/>
  <c r="AV449" i="1"/>
  <c r="AV450" i="1"/>
  <c r="AV451" i="1"/>
  <c r="AV452" i="1"/>
  <c r="AV453" i="1"/>
  <c r="AV454" i="1"/>
  <c r="AV455" i="1"/>
  <c r="AV456" i="1"/>
  <c r="AV457" i="1"/>
  <c r="AV458" i="1"/>
  <c r="AV459" i="1"/>
  <c r="AV460" i="1"/>
  <c r="AV461" i="1"/>
  <c r="AV462" i="1"/>
  <c r="AV463" i="1"/>
  <c r="AV464" i="1"/>
  <c r="AV465" i="1"/>
  <c r="AV466" i="1"/>
  <c r="AV467" i="1"/>
  <c r="AV468" i="1"/>
  <c r="AV469" i="1"/>
  <c r="AV470" i="1"/>
  <c r="AV471" i="1"/>
  <c r="AV472" i="1"/>
  <c r="AV473" i="1"/>
  <c r="AV474" i="1"/>
  <c r="AV475" i="1"/>
  <c r="AV476" i="1"/>
  <c r="AV477" i="1"/>
  <c r="AV478" i="1"/>
  <c r="AV479" i="1"/>
  <c r="AV480" i="1"/>
  <c r="AV481" i="1"/>
  <c r="AV482" i="1"/>
  <c r="AV483" i="1"/>
  <c r="AV484" i="1"/>
  <c r="AV485" i="1"/>
  <c r="AV486" i="1"/>
  <c r="AV487" i="1"/>
  <c r="AV488" i="1"/>
  <c r="AV489" i="1"/>
  <c r="AV490" i="1"/>
  <c r="AV491" i="1"/>
  <c r="AV492" i="1"/>
  <c r="AV493" i="1"/>
  <c r="AV494" i="1"/>
  <c r="AV495" i="1"/>
  <c r="AV496" i="1"/>
  <c r="AV497" i="1"/>
  <c r="AV498" i="1"/>
  <c r="AV499" i="1"/>
  <c r="AV500" i="1"/>
  <c r="AV501" i="1"/>
  <c r="AV1073" i="1"/>
  <c r="AV1074" i="1"/>
  <c r="AV1075" i="1"/>
  <c r="AV1076" i="1"/>
  <c r="AV1077" i="1"/>
  <c r="AV1078" i="1"/>
  <c r="AV1079" i="1"/>
  <c r="AV1080" i="1"/>
  <c r="AV1081" i="1"/>
  <c r="AV1082" i="1"/>
  <c r="AV1083" i="1"/>
  <c r="AV1084" i="1"/>
  <c r="AV1085" i="1"/>
  <c r="AV1086" i="1"/>
  <c r="AV1087" i="1"/>
  <c r="AV1088" i="1"/>
  <c r="AV1089" i="1"/>
  <c r="AV1090" i="1"/>
  <c r="AV1091" i="1"/>
  <c r="AV1092" i="1"/>
  <c r="AV1093" i="1"/>
  <c r="AV1094" i="1"/>
  <c r="AV502" i="1"/>
  <c r="AV503" i="1"/>
  <c r="AV504" i="1"/>
  <c r="AV505" i="1"/>
  <c r="AV506" i="1"/>
  <c r="AV507" i="1"/>
  <c r="AV508" i="1"/>
  <c r="AV509" i="1"/>
  <c r="AV510" i="1"/>
  <c r="AV511" i="1"/>
  <c r="AV512" i="1"/>
  <c r="AV513" i="1"/>
  <c r="AV514" i="1"/>
  <c r="AV515" i="1"/>
  <c r="AV1095" i="1"/>
  <c r="AV1096" i="1"/>
  <c r="AV516" i="1"/>
  <c r="AV517" i="1"/>
  <c r="AV518" i="1"/>
  <c r="AV519" i="1"/>
  <c r="AV520" i="1"/>
  <c r="AV521" i="1"/>
  <c r="AV522" i="1"/>
  <c r="AV523" i="1"/>
  <c r="AV524" i="1"/>
  <c r="AV525" i="1"/>
  <c r="AV526" i="1"/>
  <c r="AV527" i="1"/>
  <c r="AV528" i="1"/>
  <c r="AV529" i="1"/>
  <c r="AV530" i="1"/>
  <c r="AV531" i="1"/>
  <c r="AV532" i="1"/>
  <c r="AV533" i="1"/>
  <c r="AV534" i="1"/>
  <c r="AV535" i="1"/>
  <c r="AV536" i="1"/>
  <c r="AV537" i="1"/>
  <c r="AV538" i="1"/>
  <c r="AV539" i="1"/>
  <c r="AV540" i="1"/>
  <c r="AV541" i="1"/>
  <c r="AV542" i="1"/>
  <c r="AV543" i="1"/>
  <c r="AV544" i="1"/>
  <c r="AV545" i="1"/>
  <c r="AV546" i="1"/>
  <c r="AV547" i="1"/>
  <c r="AV548" i="1"/>
  <c r="AV549" i="1"/>
  <c r="AV550" i="1"/>
  <c r="AV551" i="1"/>
  <c r="AV552" i="1"/>
  <c r="AV553" i="1"/>
  <c r="AV554" i="1"/>
  <c r="AV555" i="1"/>
  <c r="AV556" i="1"/>
  <c r="AV557" i="1"/>
  <c r="AV558" i="1"/>
  <c r="AV559" i="1"/>
  <c r="AV560" i="1"/>
  <c r="AV561" i="1"/>
  <c r="AV562" i="1"/>
  <c r="AV563" i="1"/>
  <c r="AV564" i="1"/>
  <c r="AV565" i="1"/>
  <c r="AV566" i="1"/>
  <c r="AV567" i="1"/>
  <c r="AV568" i="1"/>
  <c r="AV569" i="1"/>
  <c r="AV570" i="1"/>
  <c r="AV571" i="1"/>
  <c r="AV572" i="1"/>
  <c r="AV573" i="1"/>
  <c r="AV574" i="1"/>
  <c r="AV575" i="1"/>
  <c r="AV576" i="1"/>
  <c r="AV577" i="1"/>
  <c r="AV578" i="1"/>
  <c r="AV579" i="1"/>
  <c r="AV580" i="1"/>
  <c r="AV581" i="1"/>
  <c r="AV582" i="1"/>
  <c r="AV583" i="1"/>
  <c r="AV584" i="1"/>
  <c r="AV585" i="1"/>
  <c r="AV586" i="1"/>
  <c r="AV587" i="1"/>
  <c r="AV588" i="1"/>
  <c r="AV589" i="1"/>
  <c r="AV590" i="1"/>
  <c r="AV591" i="1"/>
  <c r="AV592" i="1"/>
  <c r="AV593" i="1"/>
  <c r="AV594" i="1"/>
  <c r="AV595" i="1"/>
  <c r="AV596" i="1"/>
  <c r="AV597" i="1"/>
  <c r="AV598" i="1"/>
  <c r="AV599" i="1"/>
  <c r="AV600" i="1"/>
  <c r="AV601" i="1"/>
  <c r="AV602" i="1"/>
  <c r="AV603" i="1"/>
  <c r="AV604" i="1"/>
  <c r="AV605" i="1"/>
  <c r="AV606" i="1"/>
  <c r="AV607" i="1"/>
  <c r="AV608" i="1"/>
  <c r="AV609" i="1"/>
  <c r="AV610" i="1"/>
  <c r="AV611" i="1"/>
  <c r="AV612" i="1"/>
  <c r="AV613" i="1"/>
  <c r="AV614" i="1"/>
  <c r="AV615" i="1"/>
  <c r="AV616" i="1"/>
  <c r="AV617" i="1"/>
  <c r="AV618" i="1"/>
  <c r="AV619" i="1"/>
  <c r="AV620" i="1"/>
  <c r="AV621" i="1"/>
  <c r="AV622" i="1"/>
  <c r="AV623" i="1"/>
  <c r="AV624" i="1"/>
  <c r="AV625" i="1"/>
  <c r="AV626" i="1"/>
  <c r="AV627" i="1"/>
  <c r="AV628" i="1"/>
  <c r="AV629" i="1"/>
  <c r="AV630" i="1"/>
  <c r="AV631" i="1"/>
  <c r="AV632" i="1"/>
  <c r="AV633" i="1"/>
  <c r="AV634" i="1"/>
  <c r="AV635" i="1"/>
  <c r="AV636" i="1"/>
  <c r="AV637" i="1"/>
  <c r="AV638" i="1"/>
  <c r="AV639" i="1"/>
  <c r="AV640" i="1"/>
  <c r="AV641" i="1"/>
  <c r="AV642" i="1"/>
  <c r="AV643" i="1"/>
  <c r="AV644" i="1"/>
  <c r="AV645" i="1"/>
  <c r="AV646" i="1"/>
  <c r="AV1097" i="1"/>
  <c r="AV1098" i="1"/>
  <c r="AV1099" i="1"/>
  <c r="AV647" i="1"/>
  <c r="AV648" i="1"/>
  <c r="AV649" i="1"/>
  <c r="AV650" i="1"/>
  <c r="AV651" i="1"/>
  <c r="AV652" i="1"/>
  <c r="AV653" i="1"/>
  <c r="AV654" i="1"/>
  <c r="AV655" i="1"/>
  <c r="AV656" i="1"/>
  <c r="AV657" i="1"/>
  <c r="AV658" i="1"/>
  <c r="AV659" i="1"/>
  <c r="AV660" i="1"/>
  <c r="AV661" i="1"/>
  <c r="AV662" i="1"/>
  <c r="AV663" i="1"/>
  <c r="AV664" i="1"/>
  <c r="AV665" i="1"/>
  <c r="AV666" i="1"/>
  <c r="AV667" i="1"/>
  <c r="AV668" i="1"/>
  <c r="AV669" i="1"/>
  <c r="AV670" i="1"/>
  <c r="AV671" i="1"/>
  <c r="AV672" i="1"/>
  <c r="AV673" i="1"/>
  <c r="AV674" i="1"/>
  <c r="AV675" i="1"/>
  <c r="AV676" i="1"/>
  <c r="AV1100" i="1"/>
  <c r="AV1101" i="1"/>
  <c r="AV1102" i="1"/>
  <c r="AV1103" i="1"/>
  <c r="AV1104" i="1"/>
  <c r="AV1105" i="1"/>
  <c r="AV1106" i="1"/>
  <c r="AV1107" i="1"/>
  <c r="AV1108" i="1"/>
  <c r="AV1109" i="1"/>
  <c r="AV677" i="1"/>
  <c r="AV678" i="1"/>
  <c r="AV679" i="1"/>
  <c r="AV680" i="1"/>
  <c r="AV681" i="1"/>
  <c r="AV682" i="1"/>
  <c r="AV683" i="1"/>
  <c r="AV684" i="1"/>
  <c r="AV685" i="1"/>
  <c r="AV686" i="1"/>
  <c r="AV687" i="1"/>
  <c r="AV688" i="1"/>
  <c r="AV689" i="1"/>
  <c r="AV690" i="1"/>
  <c r="AV691" i="1"/>
  <c r="AV692" i="1"/>
  <c r="AV693" i="1"/>
  <c r="AV694" i="1"/>
  <c r="AV695" i="1"/>
  <c r="AV1110" i="1"/>
  <c r="AV1111" i="1"/>
  <c r="AV1112" i="1"/>
  <c r="AV1113" i="1"/>
  <c r="AV1114" i="1"/>
  <c r="AV1115" i="1"/>
  <c r="AV1116" i="1"/>
  <c r="AV1117" i="1"/>
  <c r="AV1118" i="1"/>
  <c r="AV1119" i="1"/>
  <c r="AV1120" i="1"/>
  <c r="AV1121" i="1"/>
  <c r="AV1122" i="1"/>
  <c r="AV1123" i="1"/>
  <c r="AV1124" i="1"/>
  <c r="AV1125" i="1"/>
  <c r="AV1126" i="1"/>
  <c r="AV696" i="1"/>
  <c r="AV697" i="1"/>
  <c r="AV698" i="1"/>
  <c r="AV699" i="1"/>
  <c r="AV700" i="1"/>
  <c r="AV701" i="1"/>
  <c r="AV702" i="1"/>
  <c r="AV703" i="1"/>
  <c r="AV704" i="1"/>
  <c r="AV705" i="1"/>
  <c r="AV706" i="1"/>
  <c r="AV707" i="1"/>
  <c r="AV708" i="1"/>
  <c r="AV709" i="1"/>
  <c r="AV710" i="1"/>
  <c r="AV711" i="1"/>
  <c r="AV712" i="1"/>
  <c r="AV713" i="1"/>
  <c r="AV714" i="1"/>
  <c r="AV715" i="1"/>
  <c r="AV716" i="1"/>
  <c r="AV717" i="1"/>
  <c r="AV718" i="1"/>
  <c r="AV719" i="1"/>
  <c r="AV720" i="1"/>
  <c r="AV721" i="1"/>
  <c r="AV722" i="1"/>
  <c r="AV723" i="1"/>
  <c r="AV724" i="1"/>
  <c r="AV725" i="1"/>
  <c r="AV726" i="1"/>
  <c r="AV727" i="1"/>
  <c r="AV728" i="1"/>
  <c r="AV729" i="1"/>
  <c r="AV730" i="1"/>
  <c r="AV731" i="1"/>
  <c r="AV732" i="1"/>
  <c r="AV733" i="1"/>
  <c r="AV734" i="1"/>
  <c r="AV735" i="1"/>
  <c r="AV736" i="1"/>
  <c r="AV737" i="1"/>
  <c r="AV738" i="1"/>
  <c r="AV739" i="1"/>
  <c r="AV740" i="1"/>
  <c r="AV741" i="1"/>
  <c r="AV742" i="1"/>
  <c r="AV743" i="1"/>
  <c r="AV744" i="1"/>
  <c r="AV745" i="1"/>
  <c r="AV746" i="1"/>
  <c r="AV747" i="1"/>
  <c r="AV748" i="1"/>
  <c r="AV749" i="1"/>
  <c r="AV750" i="1"/>
  <c r="AV751" i="1"/>
  <c r="AV752" i="1"/>
  <c r="AV753" i="1"/>
  <c r="AV754" i="1"/>
  <c r="AV755" i="1"/>
  <c r="AV756" i="1"/>
  <c r="AV757" i="1"/>
  <c r="AV758" i="1"/>
  <c r="AV759" i="1"/>
  <c r="AV760" i="1"/>
  <c r="AV761" i="1"/>
  <c r="AV762" i="1"/>
  <c r="AV763" i="1"/>
  <c r="AV764" i="1"/>
  <c r="AV765" i="1"/>
  <c r="AV766" i="1"/>
  <c r="AV767" i="1"/>
  <c r="AV768" i="1"/>
  <c r="AV769" i="1"/>
  <c r="AV770" i="1"/>
  <c r="AV771" i="1"/>
  <c r="AV772" i="1"/>
  <c r="AV773" i="1"/>
  <c r="AV774" i="1"/>
  <c r="AV775" i="1"/>
  <c r="AV776" i="1"/>
  <c r="AV777" i="1"/>
  <c r="AV778" i="1"/>
  <c r="AV779" i="1"/>
  <c r="AV780" i="1"/>
  <c r="AV781" i="1"/>
  <c r="AV782" i="1"/>
  <c r="AV783" i="1"/>
  <c r="AV784" i="1"/>
  <c r="AV785" i="1"/>
  <c r="AV786" i="1"/>
  <c r="AV787" i="1"/>
  <c r="AV788" i="1"/>
  <c r="AV789" i="1"/>
  <c r="AV790" i="1"/>
  <c r="AV791" i="1"/>
  <c r="AV792" i="1"/>
  <c r="AV793" i="1"/>
  <c r="AV794" i="1"/>
  <c r="AV795" i="1"/>
  <c r="AV796" i="1"/>
  <c r="AV797" i="1"/>
  <c r="AV798" i="1"/>
  <c r="AV799" i="1"/>
  <c r="AV800" i="1"/>
  <c r="AV801" i="1"/>
  <c r="AV802" i="1"/>
  <c r="AV803" i="1"/>
  <c r="AV804" i="1"/>
  <c r="AV805" i="1"/>
  <c r="AV806" i="1"/>
  <c r="AV807" i="1"/>
  <c r="AV808" i="1"/>
  <c r="AV1127" i="1"/>
  <c r="AV1128" i="1"/>
  <c r="AV1129" i="1"/>
  <c r="AV1130" i="1"/>
  <c r="AV1131" i="1"/>
  <c r="AV1132" i="1"/>
  <c r="AV1133" i="1"/>
  <c r="AV1134" i="1"/>
  <c r="AV1135" i="1"/>
  <c r="AV1136" i="1"/>
  <c r="AV1137" i="1"/>
  <c r="AV1138" i="1"/>
  <c r="AV1139" i="1"/>
  <c r="AV1140" i="1"/>
  <c r="AV809" i="1"/>
  <c r="AV810" i="1"/>
  <c r="AV811" i="1"/>
  <c r="AV812" i="1"/>
  <c r="AV813" i="1"/>
  <c r="AV814" i="1"/>
  <c r="AV815" i="1"/>
  <c r="AV816" i="1"/>
  <c r="AV817" i="1"/>
  <c r="AV818" i="1"/>
  <c r="AV819" i="1"/>
  <c r="AV820" i="1"/>
  <c r="AV821" i="1"/>
  <c r="AV822" i="1"/>
  <c r="AV823" i="1"/>
  <c r="AV824" i="1"/>
  <c r="AV825" i="1"/>
  <c r="AV826" i="1"/>
  <c r="AV827" i="1"/>
  <c r="AV828" i="1"/>
  <c r="AV829" i="1"/>
  <c r="AV830" i="1"/>
  <c r="AV831" i="1"/>
  <c r="AV832" i="1"/>
  <c r="AV833" i="1"/>
  <c r="AV1141" i="1"/>
  <c r="AV1142" i="1"/>
  <c r="AV1143" i="1"/>
  <c r="AV1144" i="1"/>
  <c r="AV1145" i="1"/>
  <c r="AV1146" i="1"/>
  <c r="AV834" i="1"/>
  <c r="AV835" i="1"/>
  <c r="AV836" i="1"/>
  <c r="AV837" i="1"/>
  <c r="AV838" i="1"/>
  <c r="AV839" i="1"/>
  <c r="AV840" i="1"/>
  <c r="AV841" i="1"/>
  <c r="AV842" i="1"/>
  <c r="AV843" i="1"/>
  <c r="AV844" i="1"/>
  <c r="AV845" i="1"/>
  <c r="AV846" i="1"/>
  <c r="AV847" i="1"/>
  <c r="AV848" i="1"/>
  <c r="AV849" i="1"/>
  <c r="AV850" i="1"/>
  <c r="AV851" i="1"/>
  <c r="AV852" i="1"/>
  <c r="AV853" i="1"/>
  <c r="AV854" i="1"/>
  <c r="AV855" i="1"/>
  <c r="AV856" i="1"/>
  <c r="AV857" i="1"/>
  <c r="AV858" i="1"/>
  <c r="AV859" i="1"/>
  <c r="AV860" i="1"/>
  <c r="AV861" i="1"/>
  <c r="AV862" i="1"/>
  <c r="AV863" i="1"/>
  <c r="AV864" i="1"/>
  <c r="AV865" i="1"/>
  <c r="AV866" i="1"/>
  <c r="AV867" i="1"/>
  <c r="AV868" i="1"/>
  <c r="AV869" i="1"/>
  <c r="AV870" i="1"/>
  <c r="AV871" i="1"/>
  <c r="AV872" i="1"/>
  <c r="AV873" i="1"/>
  <c r="AV874" i="1"/>
  <c r="AV875" i="1"/>
  <c r="AV876" i="1"/>
  <c r="AV877" i="1"/>
  <c r="AV1147" i="1"/>
  <c r="AV878" i="1"/>
  <c r="AV879" i="1"/>
  <c r="AV880" i="1"/>
  <c r="AV881" i="1"/>
  <c r="AV882" i="1"/>
  <c r="AV883" i="1"/>
  <c r="AV884" i="1"/>
  <c r="AV885" i="1"/>
  <c r="AV886" i="1"/>
  <c r="AV887" i="1"/>
  <c r="AV888" i="1"/>
  <c r="AV889" i="1"/>
  <c r="AV890" i="1"/>
  <c r="AV891" i="1"/>
  <c r="AV892" i="1"/>
  <c r="AV893" i="1"/>
  <c r="AV894" i="1"/>
  <c r="AV895" i="1"/>
  <c r="AV896" i="1"/>
  <c r="AV897" i="1"/>
  <c r="AV898" i="1"/>
  <c r="AV899" i="1"/>
  <c r="AV900" i="1"/>
  <c r="AV901" i="1"/>
  <c r="AV902" i="1"/>
  <c r="AV903" i="1"/>
  <c r="AV904" i="1"/>
  <c r="AV905" i="1"/>
  <c r="AV906" i="1"/>
  <c r="AV907" i="1"/>
  <c r="AV908" i="1"/>
  <c r="AV1148" i="1"/>
  <c r="AV1149" i="1"/>
  <c r="AV909" i="1"/>
  <c r="AV910" i="1"/>
  <c r="AV911" i="1"/>
  <c r="AV912" i="1"/>
  <c r="AV913" i="1"/>
  <c r="AV914" i="1"/>
  <c r="AV915" i="1"/>
  <c r="AV916" i="1"/>
  <c r="AV917" i="1"/>
  <c r="AV918" i="1"/>
  <c r="AV919" i="1"/>
  <c r="AV920" i="1"/>
  <c r="AV921" i="1"/>
  <c r="AV922" i="1"/>
  <c r="AV923" i="1"/>
  <c r="AV924" i="1"/>
  <c r="AV925" i="1"/>
  <c r="AV926" i="1"/>
  <c r="AV927" i="1"/>
  <c r="AV928" i="1"/>
  <c r="AV929" i="1"/>
  <c r="AV930" i="1"/>
  <c r="AV931" i="1"/>
  <c r="AV932" i="1"/>
  <c r="AV933" i="1"/>
  <c r="AV934" i="1"/>
  <c r="AV935" i="1"/>
  <c r="AV936" i="1"/>
  <c r="AV937" i="1"/>
  <c r="AV938" i="1"/>
  <c r="AV939" i="1"/>
  <c r="AV1150" i="1"/>
  <c r="AV1151" i="1"/>
  <c r="AV1152" i="1"/>
  <c r="AV1153" i="1"/>
  <c r="AV1154" i="1"/>
  <c r="AV1155" i="1"/>
  <c r="AV1156" i="1"/>
  <c r="AV1157" i="1"/>
  <c r="AV1158" i="1"/>
  <c r="AV1159" i="1"/>
  <c r="AV1160" i="1"/>
  <c r="AV1161" i="1"/>
  <c r="AV1162" i="1"/>
  <c r="AV1163" i="1"/>
  <c r="AV1164" i="1"/>
  <c r="AV1165" i="1"/>
  <c r="AV1166" i="1"/>
  <c r="AV1167" i="1"/>
  <c r="AV1168" i="1"/>
  <c r="AV1169" i="1"/>
  <c r="AV1170" i="1"/>
  <c r="AV1171" i="1"/>
  <c r="AV1172" i="1"/>
  <c r="AV1173" i="1"/>
  <c r="AV1174" i="1"/>
  <c r="AV1175" i="1"/>
  <c r="AV1176" i="1"/>
  <c r="AV1177" i="1"/>
  <c r="AV1178" i="1"/>
  <c r="AV1179" i="1"/>
  <c r="AV1180" i="1"/>
  <c r="AV1181" i="1"/>
  <c r="AV940" i="1"/>
  <c r="AV941" i="1"/>
  <c r="AV942" i="1"/>
  <c r="AV943" i="1"/>
  <c r="AV1182" i="1"/>
  <c r="AV1183" i="1"/>
  <c r="AV1184" i="1"/>
  <c r="AV1185" i="1"/>
  <c r="AV944" i="1"/>
  <c r="AV945" i="1"/>
  <c r="AV946" i="1"/>
  <c r="AV947" i="1"/>
  <c r="AV948" i="1"/>
  <c r="AV949" i="1"/>
  <c r="AV950" i="1"/>
  <c r="AV951" i="1"/>
  <c r="AV952" i="1"/>
  <c r="AV953" i="1"/>
  <c r="AV954" i="1"/>
  <c r="AV955" i="1"/>
  <c r="AV1186" i="1"/>
  <c r="AV1187" i="1"/>
  <c r="AV1188" i="1"/>
  <c r="AV956" i="1"/>
  <c r="AV957" i="1"/>
  <c r="AV958" i="1"/>
  <c r="AV959" i="1"/>
  <c r="AV960" i="1"/>
  <c r="AV961" i="1"/>
  <c r="AV962" i="1"/>
  <c r="AV963" i="1"/>
  <c r="AV964" i="1"/>
  <c r="AV965" i="1"/>
  <c r="AV966" i="1"/>
  <c r="AV967" i="1"/>
  <c r="AV968" i="1"/>
  <c r="AV969" i="1"/>
  <c r="AV970" i="1"/>
  <c r="AV971" i="1"/>
  <c r="AV972" i="1"/>
  <c r="AV973" i="1"/>
  <c r="AV974" i="1"/>
  <c r="AV975" i="1"/>
  <c r="AV976" i="1"/>
  <c r="AV977" i="1"/>
  <c r="AV978" i="1"/>
  <c r="AV979" i="1"/>
  <c r="AV980" i="1"/>
  <c r="AV981" i="1"/>
  <c r="AV982" i="1"/>
  <c r="AV983" i="1"/>
  <c r="AV984" i="1"/>
  <c r="AV985" i="1"/>
  <c r="AV986" i="1"/>
  <c r="AV1189" i="1"/>
  <c r="AV1190" i="1"/>
  <c r="AV1191" i="1"/>
  <c r="AV1192" i="1"/>
  <c r="AV1193" i="1"/>
  <c r="AV987" i="1"/>
  <c r="AV988" i="1"/>
  <c r="AV989" i="1"/>
  <c r="AV990" i="1"/>
  <c r="AV991" i="1"/>
  <c r="AV992" i="1"/>
  <c r="AV993" i="1"/>
  <c r="AV994" i="1"/>
  <c r="AV995" i="1"/>
  <c r="AV996" i="1"/>
  <c r="AV997" i="1"/>
  <c r="AV998" i="1"/>
  <c r="AV999" i="1"/>
  <c r="AV1194" i="1"/>
  <c r="AV1195" i="1"/>
  <c r="AV1196" i="1"/>
  <c r="AV1197" i="1"/>
  <c r="AV1198" i="1"/>
  <c r="AV1199" i="1"/>
  <c r="AV1000" i="1"/>
  <c r="AV1001" i="1"/>
  <c r="AV1002" i="1"/>
  <c r="AV1003" i="1"/>
  <c r="AV1004" i="1"/>
  <c r="AV1005" i="1"/>
  <c r="AV1006" i="1"/>
  <c r="AV1007" i="1"/>
  <c r="AV1008" i="1"/>
  <c r="AV1009" i="1"/>
  <c r="AV1010" i="1"/>
  <c r="AV1011" i="1"/>
  <c r="AV1012" i="1"/>
  <c r="AV1013" i="1"/>
  <c r="AV1014" i="1"/>
  <c r="AV1015" i="1"/>
  <c r="AV1016" i="1"/>
  <c r="AV1017" i="1"/>
  <c r="AV1018" i="1"/>
  <c r="AV1019" i="1"/>
  <c r="AV1020" i="1"/>
  <c r="AV1021" i="1"/>
  <c r="AV1022" i="1"/>
  <c r="AV1023" i="1"/>
  <c r="AV1024" i="1"/>
  <c r="AV1025" i="1"/>
  <c r="AV1026" i="1"/>
  <c r="AV1027" i="1"/>
  <c r="AV1028" i="1"/>
  <c r="AV1029" i="1"/>
  <c r="AV1030" i="1"/>
  <c r="AV1031" i="1"/>
  <c r="AV1032" i="1"/>
  <c r="AV1033" i="1"/>
  <c r="AV1034" i="1"/>
  <c r="AV1035" i="1"/>
  <c r="AV1036" i="1"/>
  <c r="AV1037" i="1"/>
  <c r="AV1038" i="1"/>
  <c r="AV1039" i="1"/>
  <c r="AV1040" i="1"/>
  <c r="AV1041" i="1"/>
  <c r="AV1042" i="1"/>
  <c r="AV1200" i="1"/>
  <c r="AV1201" i="1"/>
  <c r="AV1202" i="1"/>
  <c r="AV1043" i="1"/>
  <c r="AV1044" i="1"/>
  <c r="AV1045" i="1"/>
  <c r="AV1203" i="1"/>
  <c r="AV1204" i="1"/>
  <c r="AV1205" i="1"/>
  <c r="AV1046" i="1"/>
  <c r="AV1047" i="1"/>
  <c r="AV1048" i="1"/>
  <c r="AV1049" i="1"/>
  <c r="AV1050" i="1"/>
  <c r="AV1051" i="1"/>
  <c r="AV1052" i="1"/>
  <c r="AV1053" i="1"/>
  <c r="AV1054" i="1"/>
  <c r="AV1055" i="1"/>
  <c r="AV1056" i="1"/>
  <c r="AV1057" i="1"/>
  <c r="AV2" i="1"/>
  <c r="AU231" i="1"/>
  <c r="AU230" i="1"/>
  <c r="AU229" i="1"/>
  <c r="AU228" i="1"/>
  <c r="AU227" i="1"/>
  <c r="AU226" i="1"/>
  <c r="AU225" i="1"/>
  <c r="AU224" i="1"/>
  <c r="AU223" i="1"/>
  <c r="AU222" i="1"/>
  <c r="AU221" i="1"/>
  <c r="AU220" i="1"/>
  <c r="AU219" i="1"/>
  <c r="AU218" i="1"/>
  <c r="AU217" i="1"/>
  <c r="AU216" i="1"/>
  <c r="AU215" i="1"/>
  <c r="AU214" i="1"/>
  <c r="AU213" i="1"/>
  <c r="AU212" i="1"/>
  <c r="AU211" i="1"/>
  <c r="AU210" i="1"/>
  <c r="AU209" i="1"/>
  <c r="AU208" i="1"/>
  <c r="AU207" i="1"/>
  <c r="AU206" i="1"/>
  <c r="AU205" i="1"/>
  <c r="AU204" i="1"/>
  <c r="AU203" i="1"/>
  <c r="AU202" i="1"/>
  <c r="AU201" i="1"/>
  <c r="AU200" i="1"/>
  <c r="AU199" i="1"/>
  <c r="AU198" i="1"/>
  <c r="AU197" i="1"/>
  <c r="AU196" i="1"/>
  <c r="AU195" i="1"/>
  <c r="AU194" i="1"/>
  <c r="AU193" i="1"/>
  <c r="AU192" i="1"/>
  <c r="AU191" i="1"/>
  <c r="AU190" i="1"/>
  <c r="AU189" i="1"/>
  <c r="AU188" i="1"/>
  <c r="AU187" i="1"/>
  <c r="AU186" i="1"/>
  <c r="AU185" i="1"/>
  <c r="AU184" i="1"/>
  <c r="AU183" i="1"/>
  <c r="AU182" i="1"/>
  <c r="AU181" i="1"/>
  <c r="AU180" i="1"/>
  <c r="AU179" i="1"/>
  <c r="AU178" i="1"/>
  <c r="AU1066" i="1"/>
  <c r="AU177" i="1"/>
  <c r="AU176" i="1"/>
  <c r="AU175" i="1"/>
  <c r="AU174" i="1"/>
  <c r="AU173" i="1"/>
  <c r="AU172" i="1"/>
  <c r="AU171" i="1"/>
  <c r="AU170" i="1"/>
  <c r="AU169" i="1"/>
  <c r="AU168" i="1"/>
  <c r="AU167" i="1"/>
  <c r="AU166" i="1"/>
  <c r="AU165" i="1"/>
  <c r="AU164" i="1"/>
  <c r="AU163" i="1"/>
  <c r="AU162" i="1"/>
  <c r="AU161" i="1"/>
  <c r="AU160" i="1"/>
  <c r="AU159" i="1"/>
  <c r="AU158" i="1"/>
  <c r="AU157" i="1"/>
  <c r="AU156" i="1"/>
  <c r="AU155" i="1"/>
  <c r="AU154" i="1"/>
  <c r="AU153" i="1"/>
  <c r="AU152" i="1"/>
  <c r="AU151" i="1"/>
  <c r="AU150" i="1"/>
  <c r="AU149" i="1"/>
  <c r="AU148" i="1"/>
  <c r="AU147" i="1"/>
  <c r="AU146" i="1"/>
  <c r="AU1065" i="1"/>
  <c r="AU145" i="1"/>
  <c r="AU144" i="1"/>
  <c r="AU1064" i="1"/>
  <c r="AU143" i="1"/>
  <c r="AU142" i="1"/>
  <c r="AU141" i="1"/>
  <c r="AU140" i="1"/>
  <c r="AU139" i="1"/>
  <c r="AU138" i="1"/>
  <c r="AU137" i="1"/>
  <c r="AU136" i="1"/>
  <c r="AU135" i="1"/>
  <c r="AU134" i="1"/>
  <c r="AU133" i="1"/>
  <c r="AU132" i="1"/>
  <c r="AU131" i="1"/>
  <c r="AU130" i="1"/>
  <c r="AU129" i="1"/>
  <c r="AU128" i="1"/>
  <c r="AU127" i="1"/>
  <c r="AU126" i="1"/>
  <c r="AU125" i="1"/>
  <c r="AU124" i="1"/>
  <c r="AU123" i="1"/>
  <c r="AU122" i="1"/>
  <c r="AU121" i="1"/>
  <c r="AU120" i="1"/>
  <c r="AU119" i="1"/>
  <c r="AU118" i="1"/>
  <c r="AU117" i="1"/>
  <c r="AU116" i="1"/>
  <c r="AU115" i="1"/>
  <c r="AU114" i="1"/>
  <c r="AU113" i="1"/>
  <c r="AU112" i="1"/>
  <c r="AU1063" i="1"/>
  <c r="AU111" i="1"/>
  <c r="AU110" i="1"/>
  <c r="AU109" i="1"/>
  <c r="AU108" i="1"/>
  <c r="AU107" i="1"/>
  <c r="AU106" i="1"/>
  <c r="AU105" i="1"/>
  <c r="AU104" i="1"/>
  <c r="AU103" i="1"/>
  <c r="AU102" i="1"/>
  <c r="AU101" i="1"/>
  <c r="AU100" i="1"/>
  <c r="AU99" i="1"/>
  <c r="AU98" i="1"/>
  <c r="AU97" i="1"/>
  <c r="AU96" i="1"/>
  <c r="AU95" i="1"/>
  <c r="AU94" i="1"/>
  <c r="AU93" i="1"/>
  <c r="AU92" i="1"/>
  <c r="AU91" i="1"/>
  <c r="AU90" i="1"/>
  <c r="AU89" i="1"/>
  <c r="AU88" i="1"/>
  <c r="AU87" i="1"/>
  <c r="AU86" i="1"/>
  <c r="AU85" i="1"/>
  <c r="AU84" i="1"/>
  <c r="AU83" i="1"/>
  <c r="AU82" i="1"/>
  <c r="AU81" i="1"/>
  <c r="AU80" i="1"/>
  <c r="AU79" i="1"/>
  <c r="AU78" i="1"/>
  <c r="AU77" i="1"/>
  <c r="AU76" i="1"/>
  <c r="AU75" i="1"/>
  <c r="AU74" i="1"/>
  <c r="AU73" i="1"/>
  <c r="AU72" i="1"/>
  <c r="AU71" i="1"/>
  <c r="AU70" i="1"/>
  <c r="AU69" i="1"/>
  <c r="AU68" i="1"/>
  <c r="AU67" i="1"/>
  <c r="AU66" i="1"/>
  <c r="AU65" i="1"/>
  <c r="AU64" i="1"/>
  <c r="AU63" i="1"/>
  <c r="AU62" i="1"/>
  <c r="AU61" i="1"/>
  <c r="AU60" i="1"/>
  <c r="AU59" i="1"/>
  <c r="AU58" i="1"/>
  <c r="AU57" i="1"/>
  <c r="AU56" i="1"/>
  <c r="AU55" i="1"/>
  <c r="AU54" i="1"/>
  <c r="AU53" i="1"/>
  <c r="AU52" i="1"/>
  <c r="AU51" i="1"/>
  <c r="AU50" i="1"/>
  <c r="AU49" i="1"/>
  <c r="AU48" i="1"/>
  <c r="AU47" i="1"/>
  <c r="AU46" i="1"/>
  <c r="AU45" i="1"/>
  <c r="AU44" i="1"/>
  <c r="AU43" i="1"/>
  <c r="AU42" i="1"/>
  <c r="AU41" i="1"/>
  <c r="AU40" i="1"/>
  <c r="AU39" i="1"/>
  <c r="AU38" i="1"/>
  <c r="AU37" i="1"/>
  <c r="AU36" i="1"/>
  <c r="AU35" i="1"/>
  <c r="AU34" i="1"/>
  <c r="AU33" i="1"/>
  <c r="AU32" i="1"/>
  <c r="AU31" i="1"/>
  <c r="AU30" i="1"/>
  <c r="AU29" i="1"/>
  <c r="AU28" i="1"/>
  <c r="AU27" i="1"/>
  <c r="AU26" i="1"/>
  <c r="AU25" i="1"/>
  <c r="AU24" i="1"/>
  <c r="AU1062" i="1"/>
  <c r="AU1061" i="1"/>
  <c r="AU1060" i="1"/>
  <c r="AU1059" i="1"/>
  <c r="AU23" i="1"/>
  <c r="AU22" i="1"/>
  <c r="AU21" i="1"/>
  <c r="AU20" i="1"/>
  <c r="AU19" i="1"/>
  <c r="AU18" i="1"/>
  <c r="AU17" i="1"/>
  <c r="AU16" i="1"/>
  <c r="AU15" i="1"/>
  <c r="AU14" i="1"/>
  <c r="AU13" i="1"/>
  <c r="AU12" i="1"/>
  <c r="AU11" i="1"/>
  <c r="AU10" i="1"/>
  <c r="AU9" i="1"/>
  <c r="AU8" i="1"/>
  <c r="AU7" i="1"/>
  <c r="AU6" i="1"/>
  <c r="AU5" i="1"/>
  <c r="AU4" i="1"/>
  <c r="AU1058" i="1"/>
  <c r="AU3" i="1"/>
  <c r="AU2" i="1"/>
  <c r="AU3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AU17" i="2"/>
  <c r="AU18" i="2"/>
  <c r="AU19" i="2"/>
  <c r="AU20" i="2"/>
  <c r="AU21" i="2"/>
  <c r="AU22" i="2"/>
  <c r="AU23" i="2"/>
  <c r="AU24" i="2"/>
  <c r="AU25" i="2"/>
  <c r="AU26" i="2"/>
  <c r="AU27" i="2"/>
  <c r="AU28" i="2"/>
  <c r="AU29" i="2"/>
  <c r="AU30" i="2"/>
  <c r="AU31" i="2"/>
  <c r="AU32" i="2"/>
  <c r="AU33" i="2"/>
  <c r="AU34" i="2"/>
  <c r="AU35" i="2"/>
  <c r="AU36" i="2"/>
  <c r="AU37" i="2"/>
  <c r="AU38" i="2"/>
  <c r="AU39" i="2"/>
  <c r="AU40" i="2"/>
  <c r="AU41" i="2"/>
  <c r="AU42" i="2"/>
  <c r="AU43" i="2"/>
  <c r="AU44" i="2"/>
  <c r="AU45" i="2"/>
  <c r="AU46" i="2"/>
  <c r="AU47" i="2"/>
  <c r="AU48" i="2"/>
  <c r="AU49" i="2"/>
  <c r="AU50" i="2"/>
  <c r="AU51" i="2"/>
  <c r="AU52" i="2"/>
  <c r="AU53" i="2"/>
  <c r="AU54" i="2"/>
  <c r="AU55" i="2"/>
  <c r="AU56" i="2"/>
  <c r="AU57" i="2"/>
  <c r="AU58" i="2"/>
  <c r="AU59" i="2"/>
  <c r="AU60" i="2"/>
  <c r="AU61" i="2"/>
  <c r="AU62" i="2"/>
  <c r="AU63" i="2"/>
  <c r="AU64" i="2"/>
  <c r="AU65" i="2"/>
  <c r="AU66" i="2"/>
  <c r="AU67" i="2"/>
  <c r="AU68" i="2"/>
  <c r="AU69" i="2"/>
  <c r="AU70" i="2"/>
  <c r="AU71" i="2"/>
  <c r="AU72" i="2"/>
  <c r="AU73" i="2"/>
  <c r="AU74" i="2"/>
  <c r="AU75" i="2"/>
  <c r="AU76" i="2"/>
  <c r="AU77" i="2"/>
  <c r="AU78" i="2"/>
  <c r="AU79" i="2"/>
  <c r="AU80" i="2"/>
  <c r="AU81" i="2"/>
  <c r="AU82" i="2"/>
  <c r="AU83" i="2"/>
  <c r="AU84" i="2"/>
  <c r="AU85" i="2"/>
  <c r="AU86" i="2"/>
  <c r="AU87" i="2"/>
  <c r="AU88" i="2"/>
  <c r="AU89" i="2"/>
  <c r="AU90" i="2"/>
  <c r="AU91" i="2"/>
  <c r="AU92" i="2"/>
  <c r="AU93" i="2"/>
  <c r="AU94" i="2"/>
  <c r="AU95" i="2"/>
  <c r="AU96" i="2"/>
  <c r="AU97" i="2"/>
  <c r="AU98" i="2"/>
  <c r="AU99" i="2"/>
  <c r="AU100" i="2"/>
  <c r="AU101" i="2"/>
  <c r="AU102" i="2"/>
  <c r="AU103" i="2"/>
  <c r="AU104" i="2"/>
  <c r="AU105" i="2"/>
  <c r="AU106" i="2"/>
  <c r="AU107" i="2"/>
  <c r="AU108" i="2"/>
  <c r="AU109" i="2"/>
  <c r="AU110" i="2"/>
  <c r="AU111" i="2"/>
  <c r="AU112" i="2"/>
  <c r="AU113" i="2"/>
  <c r="AU114" i="2"/>
  <c r="AU115" i="2"/>
  <c r="AU116" i="2"/>
  <c r="AU117" i="2"/>
  <c r="AU118" i="2"/>
  <c r="AU119" i="2"/>
  <c r="AU120" i="2"/>
  <c r="AU121" i="2"/>
  <c r="AU122" i="2"/>
  <c r="AU123" i="2"/>
  <c r="AU124" i="2"/>
  <c r="AU125" i="2"/>
  <c r="AU126" i="2"/>
  <c r="AU127" i="2"/>
  <c r="AU128" i="2"/>
  <c r="AU129" i="2"/>
  <c r="AU130" i="2"/>
  <c r="AU131" i="2"/>
  <c r="AU132" i="2"/>
  <c r="AU133" i="2"/>
  <c r="AU134" i="2"/>
  <c r="AU135" i="2"/>
  <c r="AU136" i="2"/>
  <c r="AU137" i="2"/>
  <c r="AU138" i="2"/>
  <c r="AU139" i="2"/>
  <c r="AU140" i="2"/>
  <c r="AU141" i="2"/>
  <c r="AU142" i="2"/>
  <c r="AU143" i="2"/>
  <c r="AU144" i="2"/>
  <c r="AU145" i="2"/>
  <c r="AU146" i="2"/>
  <c r="AU147" i="2"/>
  <c r="AU148" i="2"/>
  <c r="AU149" i="2"/>
  <c r="AU150" i="2"/>
  <c r="AU151" i="2"/>
  <c r="AU152" i="2"/>
  <c r="AU153" i="2"/>
  <c r="AU154" i="2"/>
  <c r="AU155" i="2"/>
  <c r="AU156" i="2"/>
  <c r="AU157" i="2"/>
  <c r="AU158" i="2"/>
  <c r="AU159" i="2"/>
  <c r="AU160" i="2"/>
  <c r="AU161" i="2"/>
  <c r="AU162" i="2"/>
  <c r="AU163" i="2"/>
  <c r="AU164" i="2"/>
  <c r="AU165" i="2"/>
  <c r="AU166" i="2"/>
  <c r="AU167" i="2"/>
  <c r="AU168" i="2"/>
  <c r="AU169" i="2"/>
  <c r="AU170" i="2"/>
  <c r="AU171" i="2"/>
  <c r="AU172" i="2"/>
  <c r="AU173" i="2"/>
  <c r="AU174" i="2"/>
  <c r="AU175" i="2"/>
  <c r="AU176" i="2"/>
  <c r="AU177" i="2"/>
  <c r="AU178" i="2"/>
  <c r="AU179" i="2"/>
  <c r="AU180" i="2"/>
  <c r="AU181" i="2"/>
  <c r="AU182" i="2"/>
  <c r="AU183" i="2"/>
  <c r="AU184" i="2"/>
  <c r="AU185" i="2"/>
  <c r="AU186" i="2"/>
  <c r="AU187" i="2"/>
  <c r="AU188" i="2"/>
  <c r="AU189" i="2"/>
  <c r="AU190" i="2"/>
  <c r="AU191" i="2"/>
  <c r="AU192" i="2"/>
  <c r="AU193" i="2"/>
  <c r="AU194" i="2"/>
  <c r="AU195" i="2"/>
  <c r="AU196" i="2"/>
  <c r="AU197" i="2"/>
  <c r="AU198" i="2"/>
  <c r="AU199" i="2"/>
  <c r="AU200" i="2"/>
  <c r="AU201" i="2"/>
  <c r="AU202" i="2"/>
  <c r="AU203" i="2"/>
  <c r="AU204" i="2"/>
  <c r="AU205" i="2"/>
  <c r="AU206" i="2"/>
  <c r="AU207" i="2"/>
  <c r="AU208" i="2"/>
  <c r="AU209" i="2"/>
  <c r="AU210" i="2"/>
  <c r="AU211" i="2"/>
  <c r="AU212" i="2"/>
  <c r="AU213" i="2"/>
  <c r="AU214" i="2"/>
  <c r="AU215" i="2"/>
  <c r="AU216" i="2"/>
  <c r="AU217" i="2"/>
  <c r="AU218" i="2"/>
  <c r="AU219" i="2"/>
  <c r="AU220" i="2"/>
  <c r="AU221" i="2"/>
  <c r="AU222" i="2"/>
  <c r="AU223" i="2"/>
  <c r="AU224" i="2"/>
  <c r="AU225" i="2"/>
  <c r="AU226" i="2"/>
  <c r="AU227" i="2"/>
  <c r="AU228" i="2"/>
  <c r="AU229" i="2"/>
  <c r="AU230" i="2"/>
  <c r="AU231" i="2"/>
  <c r="AU232" i="2"/>
  <c r="AU233" i="2"/>
  <c r="AU234" i="2"/>
  <c r="AU235" i="2"/>
  <c r="AU236" i="2"/>
  <c r="AU237" i="2"/>
  <c r="AU238" i="2"/>
  <c r="AU239" i="2"/>
  <c r="AU240" i="2"/>
  <c r="AU2" i="2"/>
  <c r="AU3" i="3"/>
  <c r="AU4" i="3"/>
  <c r="AU5" i="3"/>
  <c r="AU6" i="3"/>
  <c r="AU7" i="3"/>
  <c r="AU8" i="3"/>
  <c r="AU9" i="3"/>
  <c r="AU10" i="3"/>
  <c r="AU11" i="3"/>
  <c r="AU12" i="3"/>
  <c r="AU13" i="3"/>
  <c r="AU14" i="3"/>
  <c r="AU15" i="3"/>
  <c r="AU16" i="3"/>
  <c r="AU17" i="3"/>
  <c r="AU18" i="3"/>
  <c r="AU19" i="3"/>
  <c r="AU20" i="3"/>
  <c r="AU21" i="3"/>
  <c r="AU22" i="3"/>
  <c r="AU23" i="3"/>
  <c r="AU24" i="3"/>
  <c r="AU25" i="3"/>
  <c r="AU26" i="3"/>
  <c r="AU27" i="3"/>
  <c r="AU28" i="3"/>
  <c r="AU29" i="3"/>
  <c r="AU30" i="3"/>
  <c r="AU31" i="3"/>
  <c r="AU32" i="3"/>
  <c r="AU33" i="3"/>
  <c r="AU34" i="3"/>
  <c r="AU35" i="3"/>
  <c r="AU36" i="3"/>
  <c r="AU37" i="3"/>
  <c r="AU38" i="3"/>
  <c r="AU39" i="3"/>
  <c r="AU40" i="3"/>
  <c r="AU41" i="3"/>
  <c r="AU42" i="3"/>
  <c r="AU43" i="3"/>
  <c r="AU44" i="3"/>
  <c r="AU45" i="3"/>
  <c r="AU46" i="3"/>
  <c r="AU47" i="3"/>
  <c r="AU48" i="3"/>
  <c r="AU49" i="3"/>
  <c r="AU50" i="3"/>
  <c r="AU51" i="3"/>
  <c r="AU52" i="3"/>
  <c r="AU53" i="3"/>
  <c r="AU54" i="3"/>
  <c r="AU55" i="3"/>
  <c r="AU56" i="3"/>
  <c r="AU57" i="3"/>
  <c r="AU58" i="3"/>
  <c r="AU59" i="3"/>
  <c r="AU60" i="3"/>
  <c r="AU61" i="3"/>
  <c r="AU62" i="3"/>
  <c r="AU63" i="3"/>
  <c r="AU64" i="3"/>
  <c r="AU65" i="3"/>
  <c r="AU66" i="3"/>
  <c r="AU67" i="3"/>
  <c r="AU68" i="3"/>
  <c r="AU69" i="3"/>
  <c r="AU70" i="3"/>
  <c r="AU71" i="3"/>
  <c r="AU72" i="3"/>
  <c r="AU73" i="3"/>
  <c r="AU74" i="3"/>
  <c r="AU75" i="3"/>
  <c r="AU76" i="3"/>
  <c r="AU77" i="3"/>
  <c r="AU78" i="3"/>
  <c r="AU79" i="3"/>
  <c r="AU80" i="3"/>
  <c r="AU81" i="3"/>
  <c r="AU82" i="3"/>
  <c r="AU83" i="3"/>
  <c r="AU84" i="3"/>
  <c r="AU85" i="3"/>
  <c r="AU86" i="3"/>
  <c r="AU87" i="3"/>
  <c r="AU88" i="3"/>
  <c r="AU89" i="3"/>
  <c r="AU90" i="3"/>
  <c r="AU91" i="3"/>
  <c r="AU92" i="3"/>
  <c r="AU93" i="3"/>
  <c r="AU94" i="3"/>
  <c r="AU95" i="3"/>
  <c r="AU96" i="3"/>
  <c r="AU97" i="3"/>
  <c r="AU98" i="3"/>
  <c r="AU99" i="3"/>
  <c r="AU100" i="3"/>
  <c r="AU101" i="3"/>
  <c r="AU102" i="3"/>
  <c r="AU103" i="3"/>
  <c r="AU104" i="3"/>
  <c r="AU105" i="3"/>
  <c r="AU106" i="3"/>
  <c r="AU107" i="3"/>
  <c r="AU108" i="3"/>
  <c r="AU109" i="3"/>
  <c r="AU110" i="3"/>
  <c r="AU111" i="3"/>
  <c r="AU112" i="3"/>
  <c r="AU113" i="3"/>
  <c r="AU114" i="3"/>
  <c r="AU115" i="3"/>
  <c r="AU116" i="3"/>
  <c r="AU117" i="3"/>
  <c r="AU118" i="3"/>
  <c r="AU119" i="3"/>
  <c r="AU120" i="3"/>
  <c r="AU121" i="3"/>
  <c r="AU122" i="3"/>
  <c r="AU123" i="3"/>
  <c r="AU124" i="3"/>
  <c r="AU125" i="3"/>
  <c r="AU126" i="3"/>
  <c r="AU127" i="3"/>
  <c r="AU128" i="3"/>
  <c r="AU129" i="3"/>
  <c r="AU130" i="3"/>
  <c r="AU131" i="3"/>
  <c r="AU132" i="3"/>
  <c r="AU133" i="3"/>
  <c r="AU134" i="3"/>
  <c r="AU135" i="3"/>
  <c r="AU136" i="3"/>
  <c r="AU137" i="3"/>
  <c r="AU138" i="3"/>
  <c r="AU139" i="3"/>
  <c r="AU140" i="3"/>
  <c r="AU141" i="3"/>
  <c r="AU142" i="3"/>
  <c r="AU143" i="3"/>
  <c r="AU144" i="3"/>
  <c r="AU145" i="3"/>
  <c r="AU146" i="3"/>
  <c r="AU147" i="3"/>
  <c r="AU148" i="3"/>
  <c r="AU149" i="3"/>
  <c r="AU150" i="3"/>
  <c r="AU151" i="3"/>
  <c r="AU152" i="3"/>
  <c r="AU153" i="3"/>
  <c r="AU154" i="3"/>
  <c r="AU155" i="3"/>
  <c r="AU156" i="3"/>
  <c r="AU157" i="3"/>
  <c r="AU158" i="3"/>
  <c r="AU159" i="3"/>
  <c r="AU160" i="3"/>
  <c r="AU161" i="3"/>
  <c r="AU162" i="3"/>
  <c r="AU163" i="3"/>
  <c r="AU164" i="3"/>
  <c r="AU165" i="3"/>
  <c r="AU166" i="3"/>
  <c r="AU167" i="3"/>
  <c r="AU168" i="3"/>
  <c r="AU169" i="3"/>
  <c r="AU170" i="3"/>
  <c r="AU171" i="3"/>
  <c r="AU172" i="3"/>
  <c r="AU173" i="3"/>
  <c r="AU174" i="3"/>
  <c r="AU175" i="3"/>
  <c r="AU176" i="3"/>
  <c r="AU177" i="3"/>
  <c r="AU178" i="3"/>
  <c r="AU179" i="3"/>
  <c r="AU180" i="3"/>
  <c r="AU181" i="3"/>
  <c r="AU182" i="3"/>
  <c r="AU183" i="3"/>
  <c r="AU184" i="3"/>
  <c r="AU185" i="3"/>
  <c r="AU186" i="3"/>
  <c r="AU187" i="3"/>
  <c r="AU188" i="3"/>
  <c r="AU189" i="3"/>
  <c r="AU190" i="3"/>
  <c r="AU191" i="3"/>
  <c r="AU192" i="3"/>
  <c r="AU193" i="3"/>
  <c r="AU194" i="3"/>
  <c r="AU195" i="3"/>
  <c r="AU196" i="3"/>
  <c r="AU197" i="3"/>
  <c r="AU198" i="3"/>
  <c r="AU199" i="3"/>
  <c r="AU200" i="3"/>
  <c r="AU201" i="3"/>
  <c r="AU202" i="3"/>
  <c r="AU203" i="3"/>
  <c r="AU204" i="3"/>
  <c r="AU205" i="3"/>
  <c r="AU206" i="3"/>
  <c r="AU207" i="3"/>
  <c r="AU208" i="3"/>
  <c r="AU209" i="3"/>
  <c r="AU210" i="3"/>
  <c r="AU211" i="3"/>
  <c r="AU212" i="3"/>
  <c r="AU213" i="3"/>
  <c r="AU214" i="3"/>
  <c r="AU215" i="3"/>
  <c r="AU216" i="3"/>
  <c r="AU217" i="3"/>
  <c r="AU218" i="3"/>
  <c r="AU219" i="3"/>
  <c r="AU220" i="3"/>
  <c r="AU221" i="3"/>
  <c r="AU222" i="3"/>
  <c r="AU223" i="3"/>
  <c r="AU224" i="3"/>
  <c r="AU225" i="3"/>
  <c r="AU226" i="3"/>
  <c r="AU227" i="3"/>
  <c r="AU228" i="3"/>
  <c r="AU229" i="3"/>
  <c r="AU230" i="3"/>
  <c r="AU231" i="3"/>
  <c r="AU232" i="3"/>
  <c r="AU233" i="3"/>
  <c r="AU234" i="3"/>
  <c r="AU235" i="3"/>
  <c r="AU236" i="3"/>
  <c r="AU237" i="3"/>
  <c r="AU238" i="3"/>
  <c r="AU239" i="3"/>
  <c r="AU240" i="3"/>
  <c r="AU241" i="3"/>
  <c r="AU242" i="3"/>
  <c r="AU243" i="3"/>
  <c r="AU244" i="3"/>
  <c r="AU245" i="3"/>
  <c r="AU246" i="3"/>
  <c r="AU247" i="3"/>
  <c r="AU248" i="3"/>
  <c r="AU249" i="3"/>
  <c r="AU250" i="3"/>
  <c r="AU251" i="3"/>
  <c r="AU252" i="3"/>
  <c r="AU253" i="3"/>
  <c r="AU254" i="3"/>
  <c r="AU255" i="3"/>
  <c r="AU256" i="3"/>
  <c r="AU257" i="3"/>
  <c r="AU258" i="3"/>
  <c r="AU259" i="3"/>
  <c r="AU260" i="3"/>
  <c r="AU261" i="3"/>
  <c r="AU262" i="3"/>
  <c r="AU263" i="3"/>
  <c r="AU264" i="3"/>
  <c r="AU265" i="3"/>
  <c r="AU266" i="3"/>
  <c r="AU267" i="3"/>
  <c r="AU268" i="3"/>
  <c r="AU269" i="3"/>
  <c r="AU270" i="3"/>
  <c r="AU271" i="3"/>
  <c r="AU272" i="3"/>
  <c r="AU273" i="3"/>
  <c r="AU274" i="3"/>
  <c r="AU275" i="3"/>
  <c r="AU276" i="3"/>
  <c r="AU277" i="3"/>
  <c r="AU278" i="3"/>
  <c r="AU279" i="3"/>
  <c r="AU280" i="3"/>
  <c r="AU281" i="3"/>
  <c r="AU282" i="3"/>
  <c r="AU283" i="3"/>
  <c r="AU284" i="3"/>
  <c r="AU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wagon196-PC</author>
  </authors>
  <commentList>
    <comment ref="V1" authorId="0" shapeId="0" xr:uid="{0DBD3979-C215-447B-BC21-DE78579FEAED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(1=压力加工态)</t>
        </r>
      </text>
    </comment>
    <comment ref="W1" authorId="0" shapeId="0" xr:uid="{122E9792-245C-4857-95FF-58D411C34B53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Def_Temp: 变形温度 (℃) -&gt; 缺失填 0</t>
        </r>
      </text>
    </comment>
    <comment ref="X1" authorId="0" shapeId="0" xr:uid="{88970078-61B7-41B5-9EE2-DED7E6E637F8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变形量 (%) -&gt; 缺失填 0</t>
        </r>
      </text>
    </comment>
    <comment ref="Y1" authorId="0" shapeId="0" xr:uid="{DE09604B-7BB2-4467-8A5C-DAC51790B866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(1=铸态/粉末冶金/3D打印)</t>
        </r>
      </text>
    </comment>
    <comment ref="Z1" authorId="0" shapeId="0" xr:uid="{627AC2E7-DD6A-4697-B0CA-D42B7EAB4F5D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(1=轧制)</t>
        </r>
      </text>
    </comment>
    <comment ref="AA1" authorId="0" shapeId="0" xr:uid="{8D1FD706-88B4-4543-B657-8C29A5100AC4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(1=锻造)</t>
        </r>
      </text>
    </comment>
    <comment ref="AB1" authorId="0" shapeId="0" xr:uid="{38227DE1-9F2A-4EDD-8A0E-2EA8D2ED45EB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(1=挤压)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wagon196-PC</author>
  </authors>
  <commentList>
    <comment ref="V1" authorId="0" shapeId="0" xr:uid="{890F04EA-3919-4769-8721-AF20B10FD6E2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(0=铸态/粉末冶金/3D打印, 1=压力加工态)</t>
        </r>
      </text>
    </comment>
    <comment ref="W1" authorId="0" shapeId="0" xr:uid="{EADFDCE0-0A23-41AD-96AE-F9D794365215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Def_Temp: 变形温度 (℃) -&gt; 缺失填 0</t>
        </r>
      </text>
    </comment>
    <comment ref="X1" authorId="0" shapeId="0" xr:uid="{66E43AA2-99D8-457A-A3CE-BD09689244BC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变形量 (%) -&gt; 缺失填 0</t>
        </r>
      </text>
    </comment>
    <comment ref="Y1" authorId="0" shapeId="0" xr:uid="{2F1AEDDD-C972-4949-9361-D45CC9DA9CCD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(1=铸态/粉末冶金/3D打印)</t>
        </r>
      </text>
    </comment>
    <comment ref="Z1" authorId="0" shapeId="0" xr:uid="{05645026-4172-40F5-BA45-7288868438CB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(1=轧制)</t>
        </r>
      </text>
    </comment>
    <comment ref="AA1" authorId="0" shapeId="0" xr:uid="{40588B07-3351-44BC-9565-B7DBCADD4587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(1=锻造)</t>
        </r>
      </text>
    </comment>
    <comment ref="AB1" authorId="0" shapeId="0" xr:uid="{C60D7F4E-7CBA-4B83-9B86-9207C13A6BBF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(1=挤压)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wagon196-PC</author>
  </authors>
  <commentList>
    <comment ref="V1" authorId="0" shapeId="0" xr:uid="{5A8BC300-07E8-4A35-A0D5-96765E333076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(0=铸态/粉末冶金/3D打印, 1=压力加工态)</t>
        </r>
      </text>
    </comment>
    <comment ref="W1" authorId="0" shapeId="0" xr:uid="{BC59589D-BF86-4795-8293-0CDD3F8B8284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Def_Temp: 变形温度 (℃) -&gt; 缺失填 0</t>
        </r>
      </text>
    </comment>
    <comment ref="X1" authorId="0" shapeId="0" xr:uid="{5A4E2BE5-B14C-4489-8C93-6C0B73EACAE2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变形量 (%) -&gt; 缺失填 0</t>
        </r>
      </text>
    </comment>
    <comment ref="Y1" authorId="0" shapeId="0" xr:uid="{D8D5FDF8-5C27-489E-8711-BF7E382D5484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(0=铸态/粉末冶金/3D打印, 1=压力加工态)</t>
        </r>
      </text>
    </comment>
    <comment ref="Z1" authorId="0" shapeId="0" xr:uid="{02DBACA1-B8E4-41B8-83C7-795CA8977C06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(1=轧制)</t>
        </r>
      </text>
    </comment>
    <comment ref="AA1" authorId="0" shapeId="0" xr:uid="{C6208919-5C8A-418F-A92F-E3831322920C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(1=锻造)</t>
        </r>
      </text>
    </comment>
    <comment ref="AB1" authorId="0" shapeId="0" xr:uid="{3016D3FC-25FD-45E8-BB85-7AE376CADEB2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(1=挤压)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wagon196-PC</author>
  </authors>
  <commentList>
    <comment ref="V1" authorId="0" shapeId="0" xr:uid="{DB64802E-535C-454F-9F5F-769C268B6089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(0=铸态/粉末冶金/3D打印, 1=压力加工态)</t>
        </r>
      </text>
    </comment>
    <comment ref="W1" authorId="0" shapeId="0" xr:uid="{DCD1395F-2864-4378-9CC6-82E8FFBBA912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Def_Temp: 变形温度 (℃) -&gt; 缺失填 0</t>
        </r>
      </text>
    </comment>
    <comment ref="X1" authorId="0" shapeId="0" xr:uid="{E5591D4A-31C4-46D0-A0B3-17AD74358B7D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变形量 (%) -&gt; 缺失填 0</t>
        </r>
      </text>
    </comment>
    <comment ref="Y1" authorId="0" shapeId="0" xr:uid="{03AA8E41-DA1B-4AD3-B900-C1CCE97549D5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  <comment ref="Z1" authorId="0" shapeId="0" xr:uid="{68271D77-C4CA-4207-BE53-9A92E4804513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(1=轧制)</t>
        </r>
      </text>
    </comment>
    <comment ref="AA1" authorId="0" shapeId="0" xr:uid="{E6CB52CD-2BEC-4260-9A18-D5EF55C1EA28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(1=锻造)</t>
        </r>
      </text>
    </comment>
    <comment ref="AB1" authorId="0" shapeId="0" xr:uid="{F4084F3D-36EA-464C-BC2E-5FB5C7D20BF3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(1=挤压)</t>
        </r>
      </text>
    </comment>
  </commentList>
</comments>
</file>

<file path=xl/sharedStrings.xml><?xml version="1.0" encoding="utf-8"?>
<sst xmlns="http://schemas.openxmlformats.org/spreadsheetml/2006/main" count="4369" uniqueCount="650">
  <si>
    <t>id</t>
    <phoneticPr fontId="1" type="noConversion"/>
  </si>
  <si>
    <t>Ti</t>
  </si>
  <si>
    <t>Al</t>
  </si>
  <si>
    <t>V</t>
  </si>
  <si>
    <t>Cr</t>
  </si>
  <si>
    <t>Mn</t>
  </si>
  <si>
    <t>Fe</t>
  </si>
  <si>
    <t>Cu</t>
  </si>
  <si>
    <t>Zr</t>
  </si>
  <si>
    <t>Nb</t>
  </si>
  <si>
    <t>Mo</t>
  </si>
  <si>
    <t>Sn</t>
  </si>
  <si>
    <t>Hf</t>
  </si>
  <si>
    <t>Ta</t>
  </si>
  <si>
    <t>W</t>
  </si>
  <si>
    <t>Si</t>
  </si>
  <si>
    <t>C</t>
  </si>
  <si>
    <t>N</t>
  </si>
  <si>
    <t>O</t>
  </si>
  <si>
    <t>Sc</t>
  </si>
  <si>
    <t>Def_Temp</t>
  </si>
  <si>
    <t>Def_Strain</t>
  </si>
  <si>
    <t>Def_Type_Rolling</t>
  </si>
  <si>
    <t>Def_Type_Forging</t>
  </si>
  <si>
    <t>Def_Type_Extrusion</t>
  </si>
  <si>
    <t>HT1_Temp</t>
  </si>
  <si>
    <t>HT1_Time</t>
  </si>
  <si>
    <t>HT2_Temp</t>
  </si>
  <si>
    <t>HT2_Time</t>
  </si>
  <si>
    <t>HT1_Quench</t>
    <phoneticPr fontId="1" type="noConversion"/>
  </si>
  <si>
    <t>HT1_Air</t>
    <phoneticPr fontId="1" type="noConversion"/>
  </si>
  <si>
    <t>HT1_Furnace</t>
    <phoneticPr fontId="1" type="noConversion"/>
  </si>
  <si>
    <t>HT2_Quench</t>
    <phoneticPr fontId="1" type="noConversion"/>
  </si>
  <si>
    <t>HT2_Air</t>
    <phoneticPr fontId="1" type="noConversion"/>
  </si>
  <si>
    <t>HT2_Furnace</t>
    <phoneticPr fontId="1" type="noConversion"/>
  </si>
  <si>
    <t>Phase_Alpha</t>
  </si>
  <si>
    <t>Phase_Beta</t>
  </si>
  <si>
    <t>Phase_Alpha_Prime</t>
  </si>
  <si>
    <t>Phase_Alpha_Double_Prime</t>
  </si>
  <si>
    <t>Phase_Omega</t>
  </si>
  <si>
    <t>Phase_Intermetallic</t>
  </si>
  <si>
    <t>YM</t>
  </si>
  <si>
    <t>YS</t>
  </si>
  <si>
    <t>YS</t>
    <phoneticPr fontId="1" type="noConversion"/>
  </si>
  <si>
    <t>UTS</t>
  </si>
  <si>
    <t>UTS</t>
    <phoneticPr fontId="1" type="noConversion"/>
  </si>
  <si>
    <t>El</t>
    <phoneticPr fontId="1" type="noConversion"/>
  </si>
  <si>
    <t>Activated</t>
    <phoneticPr fontId="1" type="noConversion"/>
  </si>
  <si>
    <t>Reference</t>
    <phoneticPr fontId="1" type="noConversion"/>
  </si>
  <si>
    <t>Effects of oxygen content on Charpy impact properties and crack resistance of α titanium alloys</t>
  </si>
  <si>
    <t>Strengthening effects of Al element on strength and impact toughness in titanium alloy</t>
  </si>
  <si>
    <t>Influence of Zr content on phase transformation, microstructure and mechanical properties of Ti75−xNb25Zrx (x = 0–6) alloys</t>
  </si>
  <si>
    <t>Martensitic transformation, shape memory effect and superelasticity of Ti–Nb binary alloys</t>
  </si>
  <si>
    <t>Microstructure, Mechanical Properties, and Cytotoxicity of β-Type Ti-Nb-Cr Alloys Designed by Electron Paramete</t>
  </si>
  <si>
    <t>In-situ investigation of stress-induced martensitic transformation in Ti–Nb binary alloys with low Young's modulus</t>
  </si>
  <si>
    <t>Effect of Nb content on the microstructure and mechanical properties of binary Ti-Nb alloys</t>
  </si>
  <si>
    <t>The roles of oxygen content on microstructural transformation, mechanical properties and corrosion resistance of Ti-Nb-based biomedical alloys with different &lt;a6&gt;&lt;c2&gt; stabilities</t>
  </si>
  <si>
    <t>The roles of oxygen content on microstructural transformation, mechanical properties and corrosion resistance of Ti-Nb-based biomedical alloys with different &lt;a6&gt;&lt;c3&gt; stabilities</t>
  </si>
  <si>
    <t>The roles of oxygen content on microstructural transformation, mechanical properties and corrosion resistance of Ti-Nb-based biomedical alloys with different &lt;a6&gt;&lt;c4&gt; stabilities</t>
  </si>
  <si>
    <t>Partition of Nb element on microstructure, tensile and impact properties of a near α Ti–4Nb alloy</t>
  </si>
  <si>
    <t>A compilation of experimental dataon the mechanical properties and microstructural features of Ti-alloys</t>
  </si>
  <si>
    <t>Effect of Solution Treatment Time on Structure and Mechanical Properties of Fast-Cooled Ti–7.5Mo Alloy</t>
  </si>
  <si>
    <t>A comparison of tensile properties and corrosion behavior of cast Ti&lt;a8&gt;C7.5Mo with c.p. Ti, Ti&lt;a8&gt;C15Mo and Ti&lt;a8&gt;C6Al&lt;a8&gt;C4V alloys</t>
  </si>
  <si>
    <t>A comparison of tensile properties and corrosion behavior of cast Ti&lt;a8&gt;C7.5Mo with c.p. Ti, Ti&lt;a8&gt;C15Mo and Ti&lt;a8&gt;C6Al&lt;a8&gt;C5V alloys</t>
  </si>
  <si>
    <t>Superelastic metastable Ti-Mo-Sn alloys with high elastic admissible strain for potential bio-implant applications</t>
  </si>
  <si>
    <t>The effect of molybdenum content on the microstructural evolution and tensile properties of as-cast Ti-Mo alloys</t>
  </si>
  <si>
    <t>Beta type Ti&lt;a8&gt;CMo alloys with changeable Young&lt;a1&gt;&lt;af&gt;s modulus for spinal fixation applications</t>
  </si>
  <si>
    <t>Beta type Ti&lt;a8&gt;CMo alloys with changeable Young&lt;a2&gt;&lt;af&gt;s modulus for spinal fixation applications</t>
  </si>
  <si>
    <t>Beta type Ti&lt;a8&gt;CMo alloys with changeable Young&lt;a3&gt;&lt;af&gt;s modulus for spinal fixation applications</t>
  </si>
  <si>
    <t>Beta type Ti&lt;a8&gt;CMo alloys with changeable Young&lt;a4&gt;&lt;af&gt;s modulus for spinal fixation applications</t>
  </si>
  <si>
    <t>Enhancement of impact toughness of β-type Ti–Mo alloy by {332}&lt;113&gt; twinning</t>
  </si>
  <si>
    <t>Optimization of Cr content of metastable β-type Ti–Cr alloys with changeable Young’s modulus for spinal fixation applications</t>
  </si>
  <si>
    <t>Self-adjustment of Young's modulus in biomedical titanium alloys during orthopaedic operation</t>
  </si>
  <si>
    <t>Optimization of Cr content of metastable &lt;a6&gt;&lt;c2&gt;-type Ti&lt;a8&gt;CCr alloys with changeable Young&lt;a1&gt;&lt;af&gt;s modulus for spinal fixation applications</t>
  </si>
  <si>
    <t>Optimization of Cr content of metastable &lt;a6&gt;&lt;c2&gt;-type Ti&lt;a8&gt;CCr alloys with changeable Young&lt;a2&gt;&lt;af&gt;s modulus for spinal fixation applications</t>
  </si>
  <si>
    <t>Optimization of Cr content of metastable &lt;a6&gt;&lt;c2&gt;-type Ti&lt;a8&gt;CCr alloys with changeable Young&lt;a3&gt;&lt;af&gt;s modulus for spinal fixation applications</t>
  </si>
  <si>
    <t>Optimization of Cr content of metastable &lt;a6&gt;&lt;c2&gt;-type Ti&lt;a8&gt;CCr alloys with changeable Young&lt;a4&gt;&lt;af&gt;s modulus for spinal fixation applications</t>
  </si>
  <si>
    <t>Optimization of Cr content of metastable &lt;a6&gt;&lt;c2&gt;-type Ti&lt;a8&gt;CCr alloys with changeable Young&lt;a5&gt;&lt;af&gt;s modulus for spinal fixation applications</t>
  </si>
  <si>
    <t>Toughening effects of Mo and Nb addition on impact toughness and crack resistance of titanium alloys</t>
  </si>
  <si>
    <t>Shape memory characteristics of Ti–22Nb–(2–9)Zr(at.%) biomedical alloys</t>
  </si>
  <si>
    <t>Shape memory characteristics of Ti–22Nb–(2–10)Zr(at.%) biomedical alloys</t>
  </si>
  <si>
    <t>Shape memory characteristics of Ti–22Nb–(2–11)Zr(at.%) biomedical alloys</t>
  </si>
  <si>
    <t>The role of heat treatment on microstructure and mechanical properties of Ti–13Zr–13Nb alloy for biomedical load bearing applications</t>
  </si>
  <si>
    <t>Design and mechanical properties of new β type titanium alloys for implant materials</t>
  </si>
  <si>
    <t>Microstructural and mechanical characterization of biomedical Ti–Nb–Zr(–Ta) alloys</t>
  </si>
  <si>
    <t>Cold rolling deformation and annealing behavior of a &lt;a6&gt;&lt;c2&gt;-type Ti&lt;a8&gt;C34Nb&lt;a8&gt;C25Zr titanium alloy for biomedical applications</t>
  </si>
  <si>
    <t>Cold rolling deformation and annealing behavior of a &lt;a6&gt;&lt;c2&gt;-type Ti&lt;a8&gt;C34Nb&lt;a8&gt;C26Zr titanium alloy for biomedical applications</t>
  </si>
  <si>
    <t>Cold rolling deformation and annealing behavior of a &lt;a6&gt;&lt;c2&gt;-type Ti&lt;a8&gt;C34Nb&lt;a8&gt;C27Zr titanium alloy for biomedical applications</t>
  </si>
  <si>
    <t>Cold rolling deformation and annealing behavior of a &lt;a6&gt;&lt;c2&gt;-type Ti&lt;a8&gt;C34Nb&lt;a8&gt;C28Zr titanium alloy for biomedical applications</t>
  </si>
  <si>
    <t>Cold rolling deformation and annealing behavior of a &lt;a6&gt;&lt;c2&gt;-type Ti&lt;a8&gt;C34Nb&lt;a8&gt;C29Zr titanium alloy for biomedical applications</t>
  </si>
  <si>
    <t>Cold rolling deformation and annealing behavior of a &lt;a6&gt;&lt;c2&gt;-type Ti&lt;a8&gt;C34Nb&lt;a8&gt;C30Zr titanium alloy for biomedical applications</t>
  </si>
  <si>
    <t>Charpy impact behaviors of metastable β-Ti alloys: Transformation induce plasticity versus twining induce plasticity</t>
  </si>
  <si>
    <t>Coupling effect of loading mode and temperature on the deformation behaviors of TWIP β Ti alloy: From superior tensile strength-ductility synergy to low Charpy impact toughness</t>
  </si>
  <si>
    <t>ω phase strengthened 1.2GPa metastable β titanium alloy with high ductility</t>
  </si>
  <si>
    <t>Microstructure and Mechanical Properties of Ti-12Mo-8Nb Alloy Hot Swaged and Treated for Orthopedic Applications</t>
  </si>
  <si>
    <t>Relationship between various deformation-induced products and mechanical properties in metastable Ti–30Zr–Mo alloys for biomedical applications</t>
  </si>
  <si>
    <t>Microstructure, mechanical properties, and cytotoxicity of low Young’s modulus Ti–Nb–Fe–Sn alloys</t>
  </si>
  <si>
    <t>Relationship between various deformation-induced products and mechanical properties in metastable Ti&lt;a8&gt;C30Zr&lt;a11&gt;CMo alloys for biomedical applications</t>
  </si>
  <si>
    <t>Mechanical properties and corrosion resistance improvement of TiAlSnMo alloys via Mo addition - ScienceDirect</t>
  </si>
  <si>
    <t>Beta TiNbSn Alloys with Low Young&lt;a1&gt;&lt;af&gt;s Modulus and High Strength</t>
  </si>
  <si>
    <t>Beta TiNbSn Alloys with Low Young&lt;a2&gt;&lt;af&gt;s Modulus and High Strength</t>
  </si>
  <si>
    <t>Beta TiNbSn Alloys with Low Young&lt;a3&gt;&lt;af&gt;s Modulus and High Strength</t>
  </si>
  <si>
    <t>Beta TiNbSn Alloys with Low Young&lt;a4&gt;&lt;af&gt;s Modulus and High Strength</t>
  </si>
  <si>
    <t>Beta TiNbSn Alloys with Low Young&lt;a5&gt;&lt;af&gt;s Modulus and High Strength</t>
  </si>
  <si>
    <t>Beta TiNbSn Alloys with Low Young&lt;a6&gt;&lt;af&gt;s Modulus and High Strength</t>
  </si>
  <si>
    <t>Controlled nanoscale precipitation to enhance the mechanical and biological performances of a metastable &lt;a6&gt;&lt;c2&gt; Ti-Nb-Sn alloy for orthopedic applications</t>
  </si>
  <si>
    <t>Controlled nanoscale precipitation to enhance the mechanical and biological performances of a metastable &lt;a6&gt;&lt;c3&gt; Ti-Nb-Sn alloy for orthopedic applications</t>
  </si>
  <si>
    <t>Controlled nanoscale precipitation to enhance the mechanical and biological performances of a metastable &lt;a6&gt;&lt;c4&gt; Ti-Nb-Sn alloy for orthopedic applications</t>
  </si>
  <si>
    <t>收集于西工大硕博论文，未公开</t>
  </si>
  <si>
    <t>Decomposition of martensite α″ during aging treatments and resulting mechanical properties of Ti−Ta alloys</t>
  </si>
  <si>
    <t>Beta type Ti–Mo alloys with changeable Young’s modulus for spinal fixation applications</t>
  </si>
  <si>
    <t>Shape memory characteristics of Ti–22Nb–(2–8)Zr(at.%) biomedical alloys</t>
  </si>
  <si>
    <t>A β-titanium alloy with extra high strain-hardening rate: Design and mechanical properties</t>
  </si>
  <si>
    <t>Mechanical Characterization of Ti–12mo–13nb Alloy for Biomedical Application Hot Swaged and Aged</t>
  </si>
  <si>
    <t>Mechanical properties and corrosion resistance improvement of TiAlSnMo alloys via Mo addition</t>
  </si>
  <si>
    <t>A comparison of tensile properties and corrosion behavior of cast Ti&lt;a8&gt;C7.5Mo with c.p. Ti, Ti&lt;a8&gt;C15Mo and Ti&lt;a8&gt;C6Al&lt;a8&gt;C6V alloys</t>
  </si>
  <si>
    <t>Study of low-temperature impact deformation behavior of Ti–6Al–4V alloy</t>
  </si>
  <si>
    <t>Effect of Nb on microstructure and mechanical properties of Ti-xNb-4Zr&lt;a8&gt;C8Sn alloys</t>
  </si>
  <si>
    <t>Mechanical properties of biomedical titanium alloys</t>
  </si>
  <si>
    <t>Effect of annealing temperature on the notch impact toughness of a laser melting deposited titanium alloy Ti–4Al–1.5Mn</t>
  </si>
  <si>
    <t>α′ Martensite Ti–V–Sn alloys with low Young's modulus and high strength</t>
  </si>
  <si>
    <t>Tailoring the microstructure and mechanical properties of metastable Ti–29Nb–13Ta-4.6Zr alloy for self-expansible stent applications</t>
  </si>
  <si>
    <t>时效温度对Ti-35Nb-5Ta-7Zr合金α相特征及力学性能和腐蚀行为的影响</t>
  </si>
  <si>
    <t>Effect of Various Annealing Temperature on Microstructure and Properties of Metastable β-Type Ti-35Nb-2Ta-3Zr Alloy for Biomedical Applications</t>
  </si>
  <si>
    <t>固溶温度对Ti-6Al-4V-4Mo合金组织与力学性能的影响</t>
  </si>
  <si>
    <t>热处理工艺对TB6钛合金棒材微观组织和力学性能的影响</t>
  </si>
  <si>
    <t>Study on the Hot Processing Parameters-Impact Toughness Correlation of Ti-6Al-4V Alloy</t>
  </si>
  <si>
    <t xml:space="preserve">Impact toughness and deformation modes of Ti–6Al–4V alloy with different microstructures </t>
  </si>
  <si>
    <t>Effect of microstructure on impact fracture mechanism of a high-strength Ti-5Al-7.5V-0.5Si-0.25Fe-0.2O alloy</t>
  </si>
  <si>
    <t>Microstructural evolution and mechanical properties of powder metallurgy Ti–6Al–4V alloy based on heat response</t>
  </si>
  <si>
    <t>Effect of heat treatment on microstructures and properties of vacuum laser welding Ti–6Al–4V titanium alloy</t>
  </si>
  <si>
    <t>Microstructure, texture evolution and mechanical properties of cold rolled Ti-32.5Nb-6.8Zr-2.7Sn biomedical beta titanium alloy</t>
  </si>
  <si>
    <t>Characterization of the martensitic transformation in the superelastic Ti–24Nb–4Zr–8Sn alloy by in situ synchrotron X-ray diffraction and dynamic mechanical analysis</t>
  </si>
  <si>
    <t>Effect of Nb on microstructure and mechanical properties of Ti-xNb-4Zr&lt;a8&gt;C9Sn alloys</t>
  </si>
  <si>
    <t>Effect of Nb on microstructure and mechanical properties of Ti-xNb-4Zr&lt;a8&gt;C10Sn alloys</t>
  </si>
  <si>
    <t>Effect of Nb on microstructure and mechanical properties of Ti-xNb-4Zr&lt;a8&gt;C11Sn alloys</t>
  </si>
  <si>
    <t>Effect of Nb on microstructure and mechanical properties of Ti-xNb-4Zr&lt;a8&gt;C12Sn alloys</t>
  </si>
  <si>
    <t>Effect of Nb on microstructure and mechanical properties of Ti-xNb-4Zr&lt;a8&gt;C13Sn alloys</t>
  </si>
  <si>
    <t>Microstructure, texture evolution and mechanical properties of cold rolled Ti-32.5Nb-6.8Zr-2.8Sn biomedical beta titanium alloy</t>
  </si>
  <si>
    <t>Microstructure, texture evolution and mechanical properties of cold rolled Ti-32.5Nb-6.8Zr-2.9Sn biomedical beta titanium alloy</t>
  </si>
  <si>
    <t>Development of a new β Ti alloy with low modulus and favorable plasticity for implant material</t>
  </si>
  <si>
    <t>Development of a new &lt;a6&gt;&lt;c2&gt; Ti alloy with low modulus and favorable plasticity for implant material</t>
  </si>
  <si>
    <t>Development of a new &lt;a6&gt;&lt;c3&gt; Ti alloy with low modulus and favorable plasticity for implant material</t>
  </si>
  <si>
    <t>A Novel Metastable Ti-25Nb-2Mo-4Sn Alloy with High Strength and Low Young’s Modulus</t>
  </si>
  <si>
    <t>Relationship between various deformation-induced products and mechanical properties in metastable Ti&lt;a8&gt;C30Zr&lt;a12&gt;CMo alloys for biomedical applications</t>
  </si>
  <si>
    <t>Relationship between various deformation-induced products and mechanical properties in metastable Ti&lt;a8&gt;C30Zr&lt;a13&gt;CMo alloys for biomedical applications</t>
  </si>
  <si>
    <t>Relationship between various deformation-induced products and mechanical properties in metastable Ti&lt;a8&gt;C30Zr&lt;a14&gt;CMo alloys for biomedical applications</t>
  </si>
  <si>
    <t>Relationship between various deformation-induced products and mechanical properties in metastable Ti&lt;a8&gt;C30Zr&lt;a15&gt;CMo alloys for biomedical applications</t>
  </si>
  <si>
    <t>High-strength Ti-Al-V-Zr cast alloys designed using α and β cluster formulas</t>
  </si>
  <si>
    <t>High-strength Ti-Al-V-Zr cast alloys designed using α and β cluster formulas | China Foundry (springer.com)</t>
  </si>
  <si>
    <t>Relationship between various deformation-induced products and mechanical properties in metastable Ti&lt;a8&gt;C30Zr&lt;a8&gt;CMo alloys for biomedical applications</t>
  </si>
  <si>
    <t>Relationship between various deformation-induced products and mechanical properties in metastable Ti&lt;a8&gt;C30Zr&lt;a9&gt;CMo alloys for biomedical applications</t>
  </si>
  <si>
    <t>Relationship between various deformation-induced products and mechanical properties in metastable Ti&lt;a8&gt;C30Zr&lt;a10&gt;CMo alloys for biomedical applications</t>
  </si>
  <si>
    <t>High impact toughness of CT20 alloy induced by multi-factor coupling</t>
  </si>
  <si>
    <t>Microstructure and mechanical properties of friction welds of an α+β titanium alloy</t>
  </si>
  <si>
    <t>Effect of annealing temperature on the microstructures and impact toughness of Ti-6Al-4V-0.5Ni-0.5Nb titanium alloy plates</t>
  </si>
  <si>
    <t>Effect of annealing temperature on microstructures and mechanical properties of a hot-rolled Ti-6Al-4V-0.5Ni-0.5Nb alloy for offshore applications</t>
  </si>
  <si>
    <t>Comparative research on Charpy impact behaviors of a novel TRIP Ti alloy with single β and α + β dual phase</t>
  </si>
  <si>
    <t>Design of new biomedical titanium alloy based on d-electron alloy design theory and JMatPro software</t>
  </si>
  <si>
    <t>Effects of Nb and Zr on structural stabilities of Ti-Mo-Sn-based alloys with low modulus</t>
  </si>
  <si>
    <t>Effects of cold deformation on microstructure and mechanical properties of Ti-35Nb-9Zr-6Mo-4Sn alloy for biomedical applications</t>
  </si>
  <si>
    <t>Effects of cold deformation on microstructure and mechanical properties of Ti-35Nb-9Zr-6Mo-5Sn alloy for biomedical applications</t>
  </si>
  <si>
    <t>Effects of cold deformation on microstructure and mechanical properties of Ti-35Nb-9Zr-6Mo-6Sn alloy for biomedical applications</t>
  </si>
  <si>
    <t>Effects of cold deformation on microstructure and mechanical properties of Ti-35Nb-9Zr-6Mo-7Sn alloy for biomedical applications</t>
  </si>
  <si>
    <t>Effects of cold deformation on microstructure and mechanical properties of Ti-35Nb-9Zr-6Mo-8Sn alloy for biomedical applications</t>
  </si>
  <si>
    <t>Effect of solution temperature on microstructures and tensile properties of high strength Ti&lt;a8&gt;C6Cr&lt;a8&gt;C5Mo&lt;a8&gt;C5V&lt;a8&gt;C4Al alloy</t>
  </si>
  <si>
    <t>Effect of solution temperature on microstructures and tensile properties of high strength Ti&lt;a8&gt;C6Cr&lt;a8&gt;C5Mo&lt;a8&gt;C5V&lt;a8&gt;C5Al alloy</t>
  </si>
  <si>
    <t>Effect of solution temperature on microstructures and tensile properties of high strength Ti&lt;a8&gt;C6Cr&lt;a8&gt;C5Mo&lt;a8&gt;C5V&lt;a8&gt;C6Al alloy</t>
  </si>
  <si>
    <t>Effect of solution temperature on microstructures and tensile properties of high strength Ti&lt;a8&gt;C6Cr&lt;a8&gt;C5Mo&lt;a8&gt;C5V&lt;a8&gt;C7Al alloy</t>
  </si>
  <si>
    <t>Effect of solution temperature on microstructures and tensile properties of high strength Ti&lt;a8&gt;C6Cr&lt;a8&gt;C5Mo&lt;a8&gt;C5V&lt;a8&gt;C8Al alloy</t>
  </si>
  <si>
    <t>Effect of solution temperature on microstructures and tensile properties of high strength Ti&lt;a8&gt;C6Cr&lt;a8&gt;C5Mo&lt;a8&gt;C5V&lt;a8&gt;C9Al alloy</t>
  </si>
  <si>
    <t>Effect of solution temperature on microstructures and tensile properties of high strength Ti&lt;a8&gt;C6Cr&lt;a8&gt;C5Mo&lt;a8&gt;C5V&lt;a8&gt;C10Al alloy</t>
  </si>
  <si>
    <t>Effect of solution temperature on microstructures and tensile properties of high strength Ti&lt;a8&gt;C6Cr&lt;a8&gt;C5Mo&lt;a8&gt;C5V&lt;a8&gt;C11Al alloy</t>
  </si>
  <si>
    <t>Effect of solution temperature on microstructures and tensile properties of high strength Ti&lt;a8&gt;C6Cr&lt;a8&gt;C5Mo&lt;a8&gt;C5V&lt;a8&gt;C12Al alloy</t>
  </si>
  <si>
    <t>Effect of solution temperature on microstructures and tensile properties of high strength Ti&lt;a8&gt;C6Cr&lt;a8&gt;C5Mo&lt;a8&gt;C5V&lt;a8&gt;C13Al alloy</t>
  </si>
  <si>
    <t>Effect of solution temperature on microstructures and tensile properties of high strength Ti&lt;a8&gt;C6Cr&lt;a8&gt;C5Mo&lt;a8&gt;C5V&lt;a8&gt;C14Al alloy</t>
  </si>
  <si>
    <t>Effect of solution temperature on microstructures and tensile properties of high strength Ti&lt;a8&gt;C6Cr&lt;a8&gt;C5Mo&lt;a8&gt;C5V&lt;a8&gt;C15Al alloy</t>
  </si>
  <si>
    <t>Effect of solution temperature on microstructures and tensile properties of high strength Ti&lt;a8&gt;C6Cr&lt;a8&gt;C5Mo&lt;a8&gt;C5V&lt;a8&gt;C16Al alloy</t>
  </si>
  <si>
    <t>Effect of solution temperature on microstructures and tensile properties of high strength Ti&lt;a8&gt;C6Cr&lt;a8&gt;C5Mo&lt;a8&gt;C5V&lt;a8&gt;C17Al alloy</t>
  </si>
  <si>
    <t>Effect of solution temperature on microstructures and tensile properties of high strength Ti&lt;a8&gt;C6Cr&lt;a8&gt;C5Mo&lt;a8&gt;C5V&lt;a8&gt;C18Al alloy</t>
  </si>
  <si>
    <t>Effect of solution temperature on microstructures and tensile properties of high strength Ti&lt;a8&gt;C6Cr&lt;a8&gt;C5Mo&lt;a8&gt;C5V&lt;a8&gt;C19Al alloy</t>
  </si>
  <si>
    <t>Effect of solution temperature on microstructures and tensile properties of high strength Ti&lt;a8&gt;C6Cr&lt;a8&gt;C5Mo&lt;a8&gt;C5V&lt;a8&gt;C20Al alloy</t>
  </si>
  <si>
    <t>Effect of solution temperature on microstructures and tensile properties of high strength Ti&lt;a8&gt;C6Cr&lt;a8&gt;C5Mo&lt;a8&gt;C5V&lt;a8&gt;C21Al alloy</t>
  </si>
  <si>
    <t>Effect of solution temperature on microstructures and tensile properties of high strength Ti&lt;a8&gt;C6Cr&lt;a8&gt;C5Mo&lt;a8&gt;C5V&lt;a8&gt;C22Al alloy</t>
  </si>
  <si>
    <t>Effect of solution temperature on microstructures and tensile properties of high strength Ti&lt;a8&gt;C6Cr&lt;a8&gt;C5Mo&lt;a8&gt;C5V&lt;a8&gt;C23Al alloy</t>
  </si>
  <si>
    <t>Crack propagation during Charpy impact toughness testing of Ti−Al−V−Mo−Zr alloy tubes containing equiaxed and lamellar microstructures</t>
  </si>
  <si>
    <t>Drastic improvement in elongation and impact toughness of Ti–Al–V–Mo–Zr alloy tube via three-step heat treatment</t>
  </si>
  <si>
    <t>Grain misorientation induced low-temperature impact toughness deterioration and its deformation mechanism of Ti6321 titanium alloy</t>
  </si>
  <si>
    <t>Low-temperature impact toughness and deformation mechanism of CT20 titanium alloy</t>
  </si>
  <si>
    <t>Dot-dash grain boundary α: A new strategy for improving impact toughness of dual-phase Ti-652 alloy</t>
  </si>
  <si>
    <t>Effect of germanium and silicon additions on the mechanical properties of a near-α titanium alloy</t>
  </si>
  <si>
    <t>Mechanical behavior and impact toughness of the ultrafine-grained VT8M-1 alloy</t>
  </si>
  <si>
    <t>Study on the microstructure and impact toughness of TC11 titanium alloy by a novel electromagnetic shocking treatment</t>
  </si>
  <si>
    <t>Mechanical behavior and impact toughness of the ultrafine-grained Grade 5 Ti alloy processed by ECAP</t>
  </si>
  <si>
    <t>热处理对TC18钛合金组织定量分析及性能影响规律研究</t>
  </si>
  <si>
    <t>不同尺寸的α相对亚稳β钛合金Ti-5.5Cr-5Al-4Mo-3Nb-2Zr拉伸性能的影响</t>
  </si>
  <si>
    <t>Effect of microstructure on the tensile properties and impact toughness of TC21G titanium alloy</t>
  </si>
  <si>
    <t>冷轧及热处理对一种亚稳β型钛合金组织及性能的影响</t>
  </si>
  <si>
    <t>Impact Toughness of As-Built and Heat-Treated Near-β Ti–5Al–5Mo–5V–3Cr–1Zr Alloys Fabricated by Selective Laser Melting and Electron Beam Melting</t>
  </si>
  <si>
    <t>Tensile performance and impact toughness of Ti-55531 alloy with multilevel lamellar microstructure</t>
  </si>
  <si>
    <t>Influence of annealing on the microstructure and Charpy impact toughness of wire arc additive manufactured Ti5111 alloy</t>
  </si>
  <si>
    <t>Research on the related between microstructures and impact toughness of Ti80 alloy</t>
  </si>
  <si>
    <t>Twinning-induced high impact toughness of titanium alloy at cryogenic temperature</t>
  </si>
  <si>
    <t>固溶温度对TC21钛合金微观组织与力学性能的影响</t>
  </si>
  <si>
    <t>固溶时效对铸造Ti-6Al-2Sn-2Zr-2Cr-2Mo-2Nb钛合金组织和性能的影响</t>
  </si>
  <si>
    <t>Study on the intrinsic factors determining impact toughness of TC21 alloy</t>
  </si>
  <si>
    <t>Microstructures and mechanical properties of a titanium alloy thick plate joint after electron beam welding plus solution-aging</t>
  </si>
  <si>
    <t>Relationships between microstructure and mechanical properties of Ti-5Al-5Mo-5V-3Cr-1Zr alloy</t>
  </si>
  <si>
    <t>Effect of Annealing Temperature on the Strength and Toughness of Ti-55531 Titanium Alloy After Multiple Heat Treatment</t>
  </si>
  <si>
    <t>Influence of Heat Treatment on Microstructure and Mechanical Characteristics of the Titanium Alloy Ti-5Al-5 V-2Mo-Cr with Metastable β-Phase</t>
  </si>
  <si>
    <t>Microstructure Evolution and Mechanical Properties of Linear Friction Welded Ti-5Al-2Sn-2Zr-4Mo-4Cr (Ti17)Titanium Alloy Joints</t>
  </si>
  <si>
    <t>Effect of microstructure evolution of the lamellar alpha on impact toughness in a two-phase titanium alloy</t>
  </si>
  <si>
    <t>Research on the microstructural evolution mechanism and impact toughness of Ti-17 alloy with an initial basket-weave microstructure</t>
  </si>
  <si>
    <t>Microstructure and mechanical properties of a newly developed Ti-6Al-2Mo-2Sn-2Zr-2Cr-2V alloy fabricated by laser directed energy deposition</t>
  </si>
  <si>
    <t>Microstructure tailoring and impact toughness of a newly developed high strength Ti-5Al-3Mo-3V-2Cr-2Zr-1Nb-1Fe alloy</t>
  </si>
  <si>
    <t>Effect of annealing temperature on microstructures and mechanical properties of a hot-rolled Ti-6Al-4V-0.5Ni-0.5Nb alloy for offshore applications</t>
    <phoneticPr fontId="1" type="noConversion"/>
  </si>
  <si>
    <t xml:space="preserve"> </t>
  </si>
  <si>
    <t>HV</t>
  </si>
  <si>
    <t>HV</t>
    <phoneticPr fontId="1" type="noConversion"/>
  </si>
  <si>
    <t>doi</t>
    <phoneticPr fontId="1" type="noConversion"/>
  </si>
  <si>
    <t>10.1016/j.matpr.2020.05.315</t>
  </si>
  <si>
    <t>10.1016/j.matpr.2020.05.316</t>
  </si>
  <si>
    <t>10.1016/j.matchar.2021.111122</t>
  </si>
  <si>
    <t>10.1016/j.matchar.2021.111123</t>
  </si>
  <si>
    <t>10.1016/j.matchar.2021.111124</t>
  </si>
  <si>
    <t>10.1016/j.jallcom.2007.10.054</t>
  </si>
  <si>
    <t>10.1016/j.jallcom.2007.10.055</t>
  </si>
  <si>
    <t>10.1016/j.jmst.2023.01.061</t>
  </si>
  <si>
    <t>10.1016/j.mtcomm.2021.102347</t>
  </si>
  <si>
    <t>10.1016/j.mtcomm.2021.102348</t>
  </si>
  <si>
    <t>10.1016/j.mtcomm.2021.102349</t>
  </si>
  <si>
    <t>10.1016/j.mtcomm.2021.102350</t>
  </si>
  <si>
    <t>10.1016/j.actbio.2012.02.004</t>
  </si>
  <si>
    <t>10.1016/j.actbio.2012.02.005</t>
  </si>
  <si>
    <t>10.1016/j.actbio.2012.02.006</t>
  </si>
  <si>
    <t>10.1016/j.actbio.2012.02.007</t>
  </si>
  <si>
    <t>10.1016/j.matlet.2010.11.006</t>
  </si>
  <si>
    <t>10.1016/j.actbio.2012.02.010</t>
  </si>
  <si>
    <t>10.1016/j.actbio.2012.02.011</t>
  </si>
  <si>
    <t>10.1016/j.actbio.2012.02.012</t>
  </si>
  <si>
    <t>10.1016/j.actbio.2012.02.013</t>
  </si>
  <si>
    <t>10.1016/j.actbio.2012.02.014</t>
  </si>
  <si>
    <t>10.1016/S0921-5093(97)00808-3</t>
  </si>
  <si>
    <t>10.1016/j.msea.2006.06.013</t>
  </si>
  <si>
    <t>10.1016/j.jmrt.2019.12.062</t>
  </si>
  <si>
    <t>10.1016/j.jmrt.2019.12.063</t>
  </si>
  <si>
    <t>10.1016/j.jmrt.2019.12.064</t>
  </si>
  <si>
    <t>10.1016/j.jmrt.2019.12.065</t>
  </si>
  <si>
    <t>10.1016/j.jmrt.2019.12.066</t>
  </si>
  <si>
    <t>10.1016/j.jmrt.2019.12.067</t>
  </si>
  <si>
    <t>10.1016/j.scriptamat.2018.10.043</t>
  </si>
  <si>
    <t>10.1007/s10853-022-06984-5</t>
  </si>
  <si>
    <t>10.1016/j.jallcom.2024.175752</t>
  </si>
  <si>
    <t>10.2320/matertrans.46.1070</t>
  </si>
  <si>
    <t>10.2320/matertrans.46.1071</t>
  </si>
  <si>
    <t>10.2320/matertrans.46.1072</t>
  </si>
  <si>
    <t>10.2320/matertrans.46.1073</t>
  </si>
  <si>
    <t>10.2320/matertrans.46.1074</t>
  </si>
  <si>
    <t>10.2320/matertrans.46.1075</t>
  </si>
  <si>
    <t>10.1016/j.matdes.2017.04.014</t>
  </si>
  <si>
    <t>10.1016/j.matdes.2017.04.015</t>
  </si>
  <si>
    <t>10.1016/j.matdes.2017.04.016</t>
  </si>
  <si>
    <t>10.1016/j.jallcom.2007.10.056</t>
  </si>
  <si>
    <t>10.1016/j.jmst.2023.01.062</t>
  </si>
  <si>
    <t>10.1016/j.jmst.2023.01.063</t>
  </si>
  <si>
    <t>10.1016/j.jmst.2023.01.064</t>
  </si>
  <si>
    <t>10.1016/j.jmst.2023.01.065</t>
  </si>
  <si>
    <t>10.1016/j.jmst.2023.01.066</t>
  </si>
  <si>
    <t>10.1016/j.jmst.2023.01.067</t>
  </si>
  <si>
    <t>10.1016/j.msea.2021.141741</t>
  </si>
  <si>
    <t>10.1016/S0921-5093(97)00806-X</t>
  </si>
  <si>
    <t>10.1016/S0921-5093(97)00807-X</t>
  </si>
  <si>
    <t>10.1016/j.msea.2006.11.022</t>
  </si>
  <si>
    <t>10.1016/j.msea.2006.11.023</t>
  </si>
  <si>
    <t>10.1016/j.msea.2006.11.024</t>
  </si>
  <si>
    <t>10.1016/j.msea.2006.11.025</t>
  </si>
  <si>
    <t>10.3389/fmats.2020.00077</t>
  </si>
  <si>
    <t>10.1016/j.msea.2021.141742</t>
  </si>
  <si>
    <t>10.1016/j.msea.2021.141743</t>
  </si>
  <si>
    <t>10.1016/j.msea.2021.141744</t>
  </si>
  <si>
    <t>10.1016/j.msea.2021.141745</t>
  </si>
  <si>
    <t>10.1016/j.msea.2021.141746</t>
  </si>
  <si>
    <t>10.1016/j.jmst.2017.04.017</t>
  </si>
  <si>
    <t>10.1016/j.jmst.2017.04.018</t>
  </si>
  <si>
    <t>10.1016/j.jmst.2017.04.019</t>
  </si>
  <si>
    <t>10.1016/j.msec.2015.12.076</t>
  </si>
  <si>
    <t>10.1016/j.msec.2015.12.077</t>
  </si>
  <si>
    <t>10.1007/s10853-022-06984-6</t>
  </si>
  <si>
    <t>10.1007/s10853-022-06984-7</t>
  </si>
  <si>
    <t>10.1007/s10853-022-06984-8</t>
  </si>
  <si>
    <t>10.1007/s10853-022-06984-9</t>
  </si>
  <si>
    <t>10.1016/j.jallcom.2024.175753</t>
  </si>
  <si>
    <t>10.1016/j.jallcom.2024.175754</t>
  </si>
  <si>
    <t>10.1016/j.jallcom.2024.175755</t>
  </si>
  <si>
    <t>10.1007/s41230-023-2071-0</t>
  </si>
  <si>
    <t>10.1007/s41230-023-2071-1</t>
  </si>
  <si>
    <t>10.1007/s41230-023-2071-2</t>
  </si>
  <si>
    <t>10.1007/s41230-023-2071-3</t>
  </si>
  <si>
    <t>10.1007/s41230-023-2071-4</t>
  </si>
  <si>
    <t>10.1007/s41230-023-2071-5</t>
  </si>
  <si>
    <t>10.1007/s41230-023-2071-6</t>
  </si>
  <si>
    <t>10.1016/j.jmbbm.2011.06.020</t>
  </si>
  <si>
    <t>10.1016/j.jmbbm.2011.06.021</t>
  </si>
  <si>
    <t>10.1016/j.jmbbm.2011.06.022</t>
  </si>
  <si>
    <t>10.1016/j.msea.2017.01.047</t>
  </si>
  <si>
    <t>10.1016/j.msea.2017.01.048</t>
  </si>
  <si>
    <t>10.1016/j.msea.2017.01.049</t>
  </si>
  <si>
    <t>10.1016/j.msea.2017.01.050</t>
  </si>
  <si>
    <t>10.1016/j.msea.2017.01.051</t>
  </si>
  <si>
    <t>10.1016/j.msea.2017.01.052</t>
  </si>
  <si>
    <t>10.1016/j.msea.2013.03.032</t>
  </si>
  <si>
    <t>10.1016/j.msea.2013.03.033</t>
  </si>
  <si>
    <t>10.1016/j.msea.2013.03.034</t>
  </si>
  <si>
    <t>10.1016/j.msea.2013.03.035</t>
  </si>
  <si>
    <t>10.1016/j.msea.2013.03.036</t>
  </si>
  <si>
    <t>10.1016/j.jallcom.2007.10.057</t>
  </si>
  <si>
    <t>10.1016/j.jallcom.2007.10.058</t>
  </si>
  <si>
    <t>10.1016/j.jallcom.2007.10.059</t>
  </si>
  <si>
    <t>10.1016/j.jallcom.2007.10.060</t>
  </si>
  <si>
    <t>10.1016/j.jallcom.2007.10.061</t>
  </si>
  <si>
    <t>10.1016/j.jallcom.2007.10.062</t>
  </si>
  <si>
    <t>10.1016/j.jallcom.2007.10.063</t>
  </si>
  <si>
    <t>10.1016/j.jallcom.2007.10.064</t>
  </si>
  <si>
    <t>10.1016/j.jallcom.2007.10.065</t>
  </si>
  <si>
    <t>10.1016/j.jallcom.2007.10.066</t>
  </si>
  <si>
    <t>10.1016/j.jallcom.2007.10.067</t>
  </si>
  <si>
    <t>10.1016/j.jallcom.2007.10.068</t>
  </si>
  <si>
    <t>10.1016/j.jallcom.2007.10.069</t>
  </si>
  <si>
    <t>10.1016/j.jallcom.2007.10.070</t>
  </si>
  <si>
    <t>10.1016/j.jallcom.2007.10.071</t>
  </si>
  <si>
    <t>10.1016/j.jallcom.2007.10.072</t>
  </si>
  <si>
    <t>10.1016/j.jallcom.2007.10.073</t>
  </si>
  <si>
    <t>10.1016/j.jallcom.2007.10.074</t>
  </si>
  <si>
    <t>10.1016/j.jallcom.2007.10.075</t>
  </si>
  <si>
    <t>10.1016/j.jallcom.2007.10.076</t>
  </si>
  <si>
    <t>10.1016/j.jallcom.2009.07.006</t>
  </si>
  <si>
    <t>10.1016/j.actamat.2006.01.019</t>
  </si>
  <si>
    <t>10.1007/s11665-022-06586-x</t>
  </si>
  <si>
    <t>10.1016/j.msea.2015.11.005</t>
  </si>
  <si>
    <t>10.1016/j.msea.2004.05.084</t>
  </si>
  <si>
    <t>10.1002/adem.201300281</t>
  </si>
  <si>
    <t>10.1016/j.msea.2005.05.050</t>
  </si>
  <si>
    <t>10.1016/j.jmbbm.2011.03.023</t>
  </si>
  <si>
    <t>10.1016/j.scriptamat.2015.11.020</t>
  </si>
  <si>
    <t xml:space="preserve">10.1590/1516-1439.329614 </t>
  </si>
  <si>
    <t>10.1590/1980-5373-MR-2017-0637</t>
  </si>
  <si>
    <t>10.1016/j.jallcom.2019.06.049</t>
  </si>
  <si>
    <t>10.13289/j.issn.1009-6264.2023-0603</t>
  </si>
  <si>
    <t>10.14158/j.cnki.1001-3814.20211806</t>
  </si>
  <si>
    <t>10.14158/j.cnki.1001-3814.20220293</t>
  </si>
  <si>
    <t>10.1016/j.actamat.2015.01.039</t>
  </si>
  <si>
    <t>10.1007/s11661-012-1324-0</t>
  </si>
  <si>
    <t>10.1016/S1003-6326(13)62829-0</t>
  </si>
  <si>
    <t>10.14024/j.cnki.1004-244x.20240905.001</t>
  </si>
  <si>
    <t>10.12442/j.issn.1002-185X.20230791</t>
  </si>
  <si>
    <t>1002-185X(2023)01-0238-07</t>
  </si>
  <si>
    <t>10.15980/j.tzzz.2024.11.017</t>
  </si>
  <si>
    <t>Mo_eq</t>
  </si>
  <si>
    <t>Mo_eq</t>
    <phoneticPr fontId="1" type="noConversion"/>
  </si>
  <si>
    <t>Ehtemam-Haghighi et al., 2016</t>
  </si>
  <si>
    <t xml:space="preserve">Ehtemam-Haghighi, 2016 </t>
  </si>
  <si>
    <t xml:space="preserve">Fernandes Santos et al., 2016 </t>
  </si>
  <si>
    <t>Pedro Fernandes Santos et al., 2016</t>
  </si>
  <si>
    <t>Fernandes Santos et al., 2016</t>
  </si>
  <si>
    <t>Pedro Fernandes Santos et al., 2015</t>
  </si>
  <si>
    <t>Nthabiseng Abigail Moshokoa et al., 2021</t>
  </si>
  <si>
    <t>M L Raganya et al., 2019</t>
  </si>
  <si>
    <t>Wei-dong Zhang  et al., 2015</t>
  </si>
  <si>
    <t>Wen-Fu Ho, 2008</t>
  </si>
  <si>
    <t>Yu-Po Peng et al, 2015</t>
  </si>
  <si>
    <t>Lerato Raganya et al., 2021</t>
  </si>
  <si>
    <t>Aline Raquel Vieira Nunes et al., 2017</t>
  </si>
  <si>
    <t>C. Sutowo et al, 2019</t>
  </si>
  <si>
    <t>Kai-Yang Liu et al., 2022</t>
  </si>
  <si>
    <t>C Sutowo et al., 2019</t>
  </si>
  <si>
    <t>Paul S Nnamchi et al., 2015</t>
  </si>
  <si>
    <t>D. M. Gordin et al., 2004+Ravikant Sharma et al., 2019</t>
  </si>
  <si>
    <t>D. M. Gordin et al., 2004</t>
  </si>
  <si>
    <t>Changli Zhao et al., 2011</t>
  </si>
  <si>
    <t>Shuji Hanada et al., 1982</t>
  </si>
  <si>
    <t>Yongzhong Zhan et al., 2012</t>
  </si>
  <si>
    <t>Ranxi Duan et al., 2021</t>
  </si>
  <si>
    <t>R. Boyer et al., 1994</t>
  </si>
  <si>
    <t>Qiang Li et al., 2019</t>
  </si>
  <si>
    <t>https://www.sciencedirect.com/science/article/pii/S1751616116301151</t>
  </si>
  <si>
    <t>https://www.sciencedirect.com/science/article/pii/S1751616116301152</t>
  </si>
  <si>
    <t>Ajit Panigrahi et al., 2016</t>
  </si>
  <si>
    <t>Shima Ehtemam-Haghighi et al., 2016</t>
  </si>
  <si>
    <t>Camilo A.F. Salvador et al., 2017</t>
  </si>
  <si>
    <t>Qiang Li et al., 2022</t>
  </si>
  <si>
    <t>Peiyou Li et al., 2020</t>
  </si>
  <si>
    <t>Yu, Z et al., 2012</t>
  </si>
  <si>
    <t>Fangxia Xie et al., 2022</t>
  </si>
  <si>
    <t>Peiyou Li et al., 2019</t>
  </si>
  <si>
    <t>Y.P. Hou et al., 2016</t>
  </si>
  <si>
    <t>Mohsin Talib Mohammed et al.,2014</t>
  </si>
  <si>
    <t>Hiroaki Matsumoto et alj., 20045</t>
  </si>
  <si>
    <t>Athos H. Plaine et alk., 2019</t>
  </si>
  <si>
    <t>Beibei Jiang et al., 2017</t>
  </si>
  <si>
    <t>Beibei Jiang  et al., 2017</t>
  </si>
  <si>
    <t>Yuanyao Cheng et al., 2022</t>
  </si>
  <si>
    <t>Chun-Te Wu et al., 2022</t>
  </si>
  <si>
    <t>Chun-Te Wu et al., 2023</t>
  </si>
  <si>
    <t>Y.L. Hao et al., 2007</t>
  </si>
  <si>
    <t>Xia Li et al., 2019</t>
  </si>
  <si>
    <t>Chun-Te Wu et al., 2020</t>
  </si>
  <si>
    <t xml:space="preserve">E. Bertrand et al., 2010 </t>
  </si>
  <si>
    <t>Daisuke Kuroda et al., 1998</t>
  </si>
  <si>
    <t>Vitor Eduardo Pinotti  et al., 2021</t>
  </si>
  <si>
    <t>Fei Yang et al. 2020</t>
  </si>
  <si>
    <t>Mohsin Talib Mohammed et al., 2014</t>
  </si>
  <si>
    <t>P. Laheurte et al., 2010</t>
  </si>
  <si>
    <t>G.L.G.S.B. Srinivas Kumar et al., 2019</t>
  </si>
  <si>
    <t>Chuanyuan Mao et al., 2022</t>
  </si>
  <si>
    <t>Chen, Juan et al., 2019</t>
  </si>
  <si>
    <t>Xingjun Liu et al., 2022</t>
  </si>
  <si>
    <t>Schneider, S.G et al., 2020</t>
  </si>
  <si>
    <t>Magdalen H.C. Tan et al., 2019</t>
  </si>
  <si>
    <t>L.M. Elias et al., 2006</t>
  </si>
  <si>
    <t>Camilo A F Salvador et al., 2021</t>
  </si>
  <si>
    <t>WenFang Cui et al., 2010</t>
  </si>
  <si>
    <t>Salikh Omarov, et al., 2021</t>
  </si>
  <si>
    <t>Aline Raquel Vieira Nunes
 et al., 2019</t>
  </si>
  <si>
    <t>Josef Stráský  et al., 2022</t>
  </si>
  <si>
    <t>Chun Bo Lan et al., 2017</t>
  </si>
  <si>
    <t>Shunxing Liang et al., 2020</t>
  </si>
  <si>
    <t>Ambreen Azmat et al., 2021</t>
  </si>
  <si>
    <t>Josef Stráský et al., 2017</t>
  </si>
  <si>
    <t>Jithin Vishnu  et al., 2020</t>
  </si>
  <si>
    <t>Jithin Vishnu et al., 2020</t>
  </si>
  <si>
    <t>T.L.M. Morgado et al., 2019</t>
  </si>
  <si>
    <t>Ying-Long Zhou et al., 2004</t>
  </si>
  <si>
    <t>Lamei Yan et al., 2016</t>
  </si>
  <si>
    <t>Xiaoli Zhao et al., 2011</t>
  </si>
  <si>
    <t>Davidson, J.et al., 2011</t>
  </si>
  <si>
    <t>Mohammed et al., 2014</t>
  </si>
  <si>
    <t>10.1007/s10853-021-06002-0</t>
  </si>
  <si>
    <t>10.1016/j.matdes.2018.10.040</t>
  </si>
  <si>
    <t>10.1016/j.jmbbm.2016.09.024</t>
  </si>
  <si>
    <t>10.1007/s11661-016-3411-0</t>
  </si>
  <si>
    <t>10.1016/j.actbio.2015.12.010</t>
  </si>
  <si>
    <t>10.1016/j.msea.2019.138190</t>
  </si>
  <si>
    <t>10.1016/j.matchar.2015.10.005</t>
  </si>
  <si>
    <t>10.1016/j.actbio.2015.03.023</t>
  </si>
  <si>
    <t>10.1016/j.msea.2009.08.057</t>
  </si>
  <si>
    <t>10.1016/j.msec.2015.02.004</t>
  </si>
  <si>
    <t>10.1007/s12613-017-1477-3</t>
  </si>
  <si>
    <t>10.1016/j.jmbbm.2017.07.011</t>
  </si>
  <si>
    <t>10.1016/j.matdes.2016.02.110</t>
  </si>
  <si>
    <t>10.1179/1743284712Y.0000000128</t>
  </si>
  <si>
    <t>10.1016/j.pnsc.2015.09.008</t>
  </si>
  <si>
    <t>10.1016/S0142-9612(03)00069-3</t>
  </si>
  <si>
    <t>10.1016/j.msea.2017.02.045</t>
  </si>
  <si>
    <t>10.1520/F1813-13.2</t>
  </si>
  <si>
    <t>10.1520/F0136-12A.2</t>
  </si>
  <si>
    <t>10.1520/F0562-13.2</t>
  </si>
  <si>
    <t>10.1016/j.msea.2003.12.011</t>
  </si>
  <si>
    <t>10.1016/j.matdes.2016.02.094</t>
  </si>
  <si>
    <t>10.1016/j.matdes.2014.04.015</t>
  </si>
  <si>
    <t>10.1016/j.matchar.2011.07.010</t>
  </si>
  <si>
    <t>10.1016/j.bioactmat.2020.04.012</t>
  </si>
  <si>
    <t>10.1016/j.jmst.2019.03.044</t>
  </si>
  <si>
    <t>10.1016/j.msea.2017.03.027</t>
  </si>
  <si>
    <t>10.1016/j.msea.2009.11.059</t>
  </si>
  <si>
    <t>10.2320/matertrans.45.1549</t>
  </si>
  <si>
    <t>10.1016/j.msea.2018.09.002</t>
  </si>
  <si>
    <t>10.1016/j.matdes.2015.03.028</t>
  </si>
  <si>
    <t>10.1016/j.matdes.2017.02.043</t>
  </si>
  <si>
    <t>10.1016/j.scriptamat.2017.10.017</t>
  </si>
  <si>
    <t>10.1016/j.jallcom.2015.12.199</t>
  </si>
  <si>
    <t>10.2320/matertrans.M2018021</t>
  </si>
  <si>
    <t>10.1016/j.jallcom.2011.05.090</t>
  </si>
  <si>
    <t>10.1016/j.jmbbm.2010.06.007</t>
  </si>
  <si>
    <t>10.1016/j.msea.2021.141750</t>
  </si>
  <si>
    <t>10.1520/F0067-13R17</t>
  </si>
  <si>
    <t>10.1016/j.msec.2015.11.072</t>
  </si>
  <si>
    <t>10.1016/j.matdes.2018.05.035</t>
  </si>
  <si>
    <t>10.1016/j.msea.2018.07.031</t>
  </si>
  <si>
    <t>10.1016/j.actbio.2015.08.015</t>
  </si>
  <si>
    <t>10.2320/matertrans.M2016286</t>
  </si>
  <si>
    <t>10.1016/j.msec.2016.11.101</t>
  </si>
  <si>
    <t>10.1016/j.scriptamat.2008.05.022</t>
  </si>
  <si>
    <t>10.1016/j.matchar.2018.03.031</t>
  </si>
  <si>
    <t>10.1016/j.matdes.2013.10.067</t>
  </si>
  <si>
    <t>10.1016/j.scriptamat.2014.09.005</t>
  </si>
  <si>
    <t>10.1016/j.actamat.2013.07.019</t>
  </si>
  <si>
    <t>10.1016/j.actbio.2006.11.002</t>
  </si>
  <si>
    <t>10.1016/j.scriptamat.2009.02.044</t>
  </si>
  <si>
    <t>10.1016/j.actamat.2010.09.015</t>
  </si>
  <si>
    <t>10.1016/j.jallcom.2010.05.134</t>
  </si>
  <si>
    <t>10.1016/j.actbio.2021.07.061</t>
  </si>
  <si>
    <t>10.1007/s11661-013-2134-8</t>
  </si>
  <si>
    <t>10.1016/j.msec.2015.11.043</t>
  </si>
  <si>
    <t>10.1016/j.jmbbm.2015.06.035</t>
  </si>
  <si>
    <t>10.1007/BF01106518</t>
  </si>
  <si>
    <t>10.1016/j.msea.2010.03.044</t>
  </si>
  <si>
    <t>10.1016/j.actamat.2010.02.010</t>
  </si>
  <si>
    <t>10.1016/j.jallcom.2020.155391</t>
  </si>
  <si>
    <t>10.1016/j.msec.2016.12.057</t>
  </si>
  <si>
    <t>10.1016/j.jmbbm.2015.12.023</t>
  </si>
  <si>
    <t>10.1016/j.msea.2012.09.012</t>
  </si>
  <si>
    <t>10.1016/j.msea.2011.12.103</t>
  </si>
  <si>
    <t>10.1016/j.actamat.2011.06.006</t>
  </si>
  <si>
    <t>10.1126/science.1081957</t>
  </si>
  <si>
    <t>10.1016/j.msea.2015.08.028</t>
  </si>
  <si>
    <t>10.2320/matertrans.M2011153</t>
  </si>
  <si>
    <t>10.3390/ma14133467</t>
  </si>
  <si>
    <t>10.1080/21663831.2017.1350211</t>
  </si>
  <si>
    <t>10.1038/srep37901</t>
  </si>
  <si>
    <t>10.1179/174328408X385773</t>
  </si>
  <si>
    <t>10.1038/s41598-018-25899-3</t>
  </si>
  <si>
    <t>10.1038/s41598-018-37865-0</t>
  </si>
  <si>
    <t>10.1016/j.matdes.2013.10.050</t>
  </si>
  <si>
    <t>10.1016/j.msea.2009.12.050</t>
  </si>
  <si>
    <t>10.1016/j.jallcom.2012.09.140</t>
  </si>
  <si>
    <t>10.1016/j.jmbbm.2012.01.011</t>
  </si>
  <si>
    <t>10.1016/j.jmbbm.2013.07.007</t>
  </si>
  <si>
    <t>10.1016/j.jmbbm.2015.02.030</t>
  </si>
  <si>
    <t>10.1016/S0142-9612(01)00233-2</t>
  </si>
  <si>
    <t>10.1016/j.msec.2005.04.004</t>
  </si>
  <si>
    <t>10.1002/adem.201901229</t>
  </si>
  <si>
    <t>10.1088/2053-1591/abcb3e</t>
  </si>
  <si>
    <t>10.1016/j.jallcom.2019.153078</t>
  </si>
  <si>
    <t>10.1016/j.jallcom.2011.11.035</t>
  </si>
  <si>
    <t>10.1007/s11837-004-0253-9</t>
  </si>
  <si>
    <t>10.1016/j.jallcom.2019.152412</t>
  </si>
  <si>
    <t>10.1016/j.matlet.2014.11.162</t>
  </si>
  <si>
    <t>10.1016/j.matlet.2014.05.134</t>
  </si>
  <si>
    <t>10.1016/j.jallcom.2011.02.171</t>
  </si>
  <si>
    <t>10.1016/j.jallcom.2019.01.346</t>
  </si>
  <si>
    <t>10.1016/j.msea.2017.08.060</t>
  </si>
  <si>
    <t>salvador2021</t>
  </si>
  <si>
    <t>dalbo2018</t>
  </si>
  <si>
    <t>salvador2017</t>
  </si>
  <si>
    <t>lopes2016</t>
  </si>
  <si>
    <t>biesiekierski2016</t>
  </si>
  <si>
    <t>mello2019</t>
  </si>
  <si>
    <t>mello2015</t>
  </si>
  <si>
    <t>ozan2015</t>
  </si>
  <si>
    <t>majumdar2011</t>
  </si>
  <si>
    <t>cui2009</t>
  </si>
  <si>
    <t>xue2015</t>
  </si>
  <si>
    <t>nocivin2017</t>
  </si>
  <si>
    <t>bahl2017</t>
  </si>
  <si>
    <t>ozan2017</t>
  </si>
  <si>
    <t>abd-elrhman2016</t>
  </si>
  <si>
    <t>golosova2013</t>
  </si>
  <si>
    <t>guo2015</t>
  </si>
  <si>
    <t>niinomi2003</t>
  </si>
  <si>
    <t>jiang2017</t>
  </si>
  <si>
    <t>lan2017</t>
  </si>
  <si>
    <t>guo2012</t>
  </si>
  <si>
    <t>astmF1813</t>
  </si>
  <si>
    <t>astmF0136</t>
  </si>
  <si>
    <t>astmF0562</t>
  </si>
  <si>
    <t>zhou2004</t>
  </si>
  <si>
    <t>matsumoto2005</t>
  </si>
  <si>
    <t>kuroda1998</t>
  </si>
  <si>
    <t>haghighi2016</t>
  </si>
  <si>
    <t>shekhar2014</t>
  </si>
  <si>
    <t>zhou2011</t>
  </si>
  <si>
    <t>xu2020</t>
  </si>
  <si>
    <t>wang2019</t>
  </si>
  <si>
    <t>li2017</t>
  </si>
  <si>
    <t>kent2010</t>
  </si>
  <si>
    <t>zhou2004b</t>
  </si>
  <si>
    <t>vajpai2018</t>
  </si>
  <si>
    <t>haghighi2015</t>
  </si>
  <si>
    <t>sadeghpour2017</t>
  </si>
  <si>
    <t>sadeghpour2018</t>
  </si>
  <si>
    <t>liang2016</t>
  </si>
  <si>
    <t>li2018</t>
  </si>
  <si>
    <t>zhao2011</t>
  </si>
  <si>
    <t>bertrand2010</t>
  </si>
  <si>
    <t>santos2021</t>
  </si>
  <si>
    <t>astmF0067</t>
  </si>
  <si>
    <t>rabadia2018</t>
  </si>
  <si>
    <t>rabadia2018b</t>
  </si>
  <si>
    <t>santos2015</t>
  </si>
  <si>
    <t>santos2017</t>
  </si>
  <si>
    <t>wang2017</t>
  </si>
  <si>
    <t>talling2008</t>
  </si>
  <si>
    <t>lan2018</t>
  </si>
  <si>
    <t>zhang2018</t>
  </si>
  <si>
    <t>griza2014</t>
  </si>
  <si>
    <t>brozek2016</t>
  </si>
  <si>
    <t>sun2015</t>
  </si>
  <si>
    <t>sun2013</t>
  </si>
  <si>
    <t>hao2007</t>
  </si>
  <si>
    <t>talling2009</t>
  </si>
  <si>
    <t>obbard2011</t>
  </si>
  <si>
    <t>souza2010</t>
  </si>
  <si>
    <t>tong2021</t>
  </si>
  <si>
    <t>hu2014</t>
  </si>
  <si>
    <t>kopova2016</t>
  </si>
  <si>
    <t>tavares2015</t>
  </si>
  <si>
    <t>hanada1986</t>
  </si>
  <si>
    <t>sun2010</t>
  </si>
  <si>
    <t>obbard2010</t>
  </si>
  <si>
    <t>xu2020b</t>
  </si>
  <si>
    <t>wang2017b</t>
  </si>
  <si>
    <t>nnamchi2016</t>
  </si>
  <si>
    <t>zhang2013</t>
  </si>
  <si>
    <t>li2012</t>
  </si>
  <si>
    <t>besse2011</t>
  </si>
  <si>
    <t>saito2003</t>
  </si>
  <si>
    <t>li2015</t>
  </si>
  <si>
    <t>wadood2011</t>
  </si>
  <si>
    <t>gao2018</t>
  </si>
  <si>
    <t>nocivin2021</t>
  </si>
  <si>
    <t>sun2017</t>
  </si>
  <si>
    <t>lin2016</t>
  </si>
  <si>
    <t>neelakantan2009</t>
  </si>
  <si>
    <t>gao2018b</t>
  </si>
  <si>
    <t>mantri2019</t>
  </si>
  <si>
    <t>hayama2014</t>
  </si>
  <si>
    <t>min2010</t>
  </si>
  <si>
    <t>li2013</t>
  </si>
  <si>
    <t>narita2012</t>
  </si>
  <si>
    <t>kent2013</t>
  </si>
  <si>
    <t>chaves2015</t>
  </si>
  <si>
    <t>lin2002</t>
  </si>
  <si>
    <t>kuroda2005</t>
  </si>
  <si>
    <t>manshadi2020</t>
  </si>
  <si>
    <t>nunes2020</t>
  </si>
  <si>
    <t>gabriel2012</t>
  </si>
  <si>
    <t>qazi2004</t>
  </si>
  <si>
    <t>zhao2011b</t>
  </si>
  <si>
    <t>li2020</t>
  </si>
  <si>
    <t>stepanov2015</t>
  </si>
  <si>
    <t>wu2014</t>
  </si>
  <si>
    <t>senkov2011</t>
  </si>
  <si>
    <t>li2019</t>
  </si>
  <si>
    <t>zhao2017</t>
  </si>
  <si>
    <t>Al_eq</t>
    <phoneticPr fontId="1" type="noConversion"/>
  </si>
  <si>
    <t>Phase_Intermetallic</t>
    <phoneticPr fontId="1" type="noConversion"/>
  </si>
  <si>
    <t>Def_Type_Rolling</t>
    <phoneticPr fontId="1" type="noConversion"/>
  </si>
  <si>
    <t>Def_Type_Casting</t>
    <phoneticPr fontId="1" type="noConversion"/>
  </si>
  <si>
    <t>beta_transform_T</t>
    <phoneticPr fontId="1" type="noConversion"/>
  </si>
  <si>
    <t>Def_Type_Casting</t>
  </si>
  <si>
    <t>Is_Wrought</t>
    <phoneticPr fontId="1" type="noConversion"/>
  </si>
  <si>
    <t>Phase_Info</t>
    <phoneticPr fontId="1" type="noConversion"/>
  </si>
  <si>
    <t>Phase_Info</t>
    <phoneticPr fontId="1" type="noConversion"/>
  </si>
  <si>
    <t>HT1</t>
    <phoneticPr fontId="1" type="noConversion"/>
  </si>
  <si>
    <t>HT2</t>
    <phoneticPr fontId="1" type="noConversion"/>
  </si>
  <si>
    <t>YM</t>
    <phoneticPr fontId="1" type="noConversion"/>
  </si>
  <si>
    <t>YS</t>
    <phoneticPr fontId="1" type="noConversion"/>
  </si>
  <si>
    <t>UTS</t>
    <phoneticPr fontId="1" type="noConversion"/>
  </si>
  <si>
    <t>El</t>
    <phoneticPr fontId="1" type="noConversion"/>
  </si>
  <si>
    <t>HV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</si>
</sst>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2" borderId="0" xfId="0" applyFont="1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2" fillId="3" borderId="0" xfId="0" applyFont="1" applyFill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91345-9CE2-4256-9977-84D8B4ABA20F}">
  <dimension ref="A1:AX1727"/>
  <sheetViews>
    <sheetView tabSelected="1" zoomScaleNormal="100" workbookViewId="0">
      <pane ySplit="1" topLeftCell="A2" activePane="bottomLeft" state="frozen"/>
      <selection activeCell="AU1" sqref="AU1"/>
      <selection pane="bottomLeft" activeCell="B1" sqref="B1:B1048576"/>
    </sheetView>
  </sheetViews>
  <sheetFormatPr defaultRowHeight="14" x14ac:dyDescent="0.45"/>
  <cols>
    <col min="1" max="1" width="6.46875" bestFit="1" customWidth="1"/>
    <col min="2" max="2" width="9.234375" bestFit="1" customWidth="1"/>
    <col min="3" max="5" width="8.46875" bestFit="1" customWidth="1"/>
    <col min="6" max="6" width="5.46875" bestFit="1" customWidth="1"/>
    <col min="7" max="7" width="6.46875" bestFit="1" customWidth="1"/>
    <col min="8" max="8" width="8.46875" bestFit="1" customWidth="1"/>
    <col min="9" max="9" width="5.5859375" bestFit="1" customWidth="1"/>
    <col min="10" max="15" width="8.46875" bestFit="1" customWidth="1"/>
    <col min="16" max="16" width="5.17578125" customWidth="1"/>
    <col min="17" max="20" width="7.46875" bestFit="1" customWidth="1"/>
    <col min="21" max="21" width="5.3515625" bestFit="1" customWidth="1"/>
    <col min="22" max="22" width="12.9375" bestFit="1" customWidth="1"/>
    <col min="23" max="23" width="11.64453125" bestFit="1" customWidth="1"/>
    <col min="24" max="24" width="12.64453125" bestFit="1" customWidth="1"/>
    <col min="25" max="25" width="19.5859375" bestFit="1" customWidth="1"/>
    <col min="26" max="26" width="17.9375" bestFit="1" customWidth="1"/>
    <col min="27" max="27" width="18.5859375" bestFit="1" customWidth="1"/>
    <col min="28" max="28" width="19.9375" bestFit="1" customWidth="1"/>
    <col min="29" max="29" width="6.41015625" bestFit="1" customWidth="1"/>
    <col min="30" max="31" width="12.64453125" bestFit="1" customWidth="1"/>
    <col min="32" max="32" width="13.9375" bestFit="1" customWidth="1"/>
    <col min="33" max="33" width="9.64453125" bestFit="1" customWidth="1"/>
    <col min="34" max="34" width="14.05859375" bestFit="1" customWidth="1"/>
    <col min="35" max="35" width="6.41015625" bestFit="1" customWidth="1"/>
    <col min="36" max="36" width="12.234375" bestFit="1" customWidth="1"/>
    <col min="37" max="37" width="12.64453125" bestFit="1" customWidth="1"/>
    <col min="38" max="38" width="13.9375" bestFit="1" customWidth="1"/>
    <col min="39" max="39" width="9.64453125" bestFit="1" customWidth="1"/>
    <col min="40" max="40" width="14.05859375" bestFit="1" customWidth="1"/>
    <col min="41" max="42" width="12.64453125" bestFit="1" customWidth="1"/>
    <col min="43" max="43" width="18.234375" bestFit="1" customWidth="1"/>
    <col min="44" max="44" width="7.46875" bestFit="1" customWidth="1"/>
    <col min="45" max="45" width="9.46875" bestFit="1" customWidth="1"/>
    <col min="46" max="47" width="10.46875" bestFit="1" customWidth="1"/>
    <col min="48" max="48" width="7.46875" bestFit="1" customWidth="1"/>
    <col min="49" max="49" width="7.46875" customWidth="1"/>
  </cols>
  <sheetData>
    <row r="1" spans="1:50" x14ac:dyDescent="0.45">
      <c r="A1" s="1" t="s">
        <v>0</v>
      </c>
      <c r="B1" s="1" t="s">
        <v>47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7" t="s">
        <v>640</v>
      </c>
      <c r="W1" s="3" t="s">
        <v>20</v>
      </c>
      <c r="X1" s="3" t="s">
        <v>21</v>
      </c>
      <c r="Y1" s="3" t="s">
        <v>637</v>
      </c>
      <c r="Z1" s="3" t="s">
        <v>636</v>
      </c>
      <c r="AA1" s="3" t="s">
        <v>23</v>
      </c>
      <c r="AB1" s="3" t="s">
        <v>24</v>
      </c>
      <c r="AC1" s="6" t="s">
        <v>643</v>
      </c>
      <c r="AD1" s="6" t="s">
        <v>25</v>
      </c>
      <c r="AE1" s="6" t="s">
        <v>26</v>
      </c>
      <c r="AF1" s="6" t="s">
        <v>29</v>
      </c>
      <c r="AG1" s="6" t="s">
        <v>30</v>
      </c>
      <c r="AH1" s="6" t="s">
        <v>31</v>
      </c>
      <c r="AI1" s="6" t="s">
        <v>644</v>
      </c>
      <c r="AJ1" s="6" t="s">
        <v>27</v>
      </c>
      <c r="AK1" s="6" t="s">
        <v>28</v>
      </c>
      <c r="AL1" s="6" t="s">
        <v>32</v>
      </c>
      <c r="AM1" s="6" t="s">
        <v>33</v>
      </c>
      <c r="AN1" s="6" t="s">
        <v>34</v>
      </c>
      <c r="AO1" s="4" t="s">
        <v>358</v>
      </c>
      <c r="AP1" s="4" t="s">
        <v>634</v>
      </c>
      <c r="AQ1" s="4" t="s">
        <v>638</v>
      </c>
      <c r="AR1" s="5" t="s">
        <v>645</v>
      </c>
      <c r="AS1" s="5" t="s">
        <v>646</v>
      </c>
      <c r="AT1" s="5" t="s">
        <v>647</v>
      </c>
      <c r="AU1" s="5" t="s">
        <v>648</v>
      </c>
      <c r="AV1" s="5" t="s">
        <v>649</v>
      </c>
      <c r="AW1" t="s">
        <v>219</v>
      </c>
      <c r="AX1" t="s">
        <v>48</v>
      </c>
    </row>
    <row r="2" spans="1:50" x14ac:dyDescent="0.45">
      <c r="A2">
        <v>10001</v>
      </c>
      <c r="B2">
        <v>1</v>
      </c>
      <c r="C2">
        <v>99.837000000000003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Y2">
        <v>1</v>
      </c>
      <c r="Z2">
        <v>0</v>
      </c>
      <c r="AA2">
        <v>0</v>
      </c>
      <c r="AB2">
        <v>0</v>
      </c>
      <c r="AC2">
        <v>1</v>
      </c>
      <c r="AD2">
        <v>800</v>
      </c>
      <c r="AE2">
        <v>1</v>
      </c>
      <c r="AI2">
        <v>0</v>
      </c>
      <c r="AO2">
        <v>0</v>
      </c>
      <c r="AP2">
        <v>0</v>
      </c>
      <c r="AQ2">
        <v>882</v>
      </c>
      <c r="AT2">
        <v>500</v>
      </c>
      <c r="AX2" t="s">
        <v>49</v>
      </c>
    </row>
    <row r="3" spans="1:50" x14ac:dyDescent="0.45">
      <c r="A3">
        <v>10002</v>
      </c>
      <c r="B3">
        <v>1</v>
      </c>
      <c r="C3">
        <v>99.972999999999999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Y3">
        <v>1</v>
      </c>
      <c r="Z3">
        <v>0</v>
      </c>
      <c r="AA3">
        <v>0</v>
      </c>
      <c r="AB3">
        <v>0</v>
      </c>
      <c r="AC3">
        <v>1</v>
      </c>
      <c r="AD3">
        <v>800</v>
      </c>
      <c r="AE3">
        <v>1</v>
      </c>
      <c r="AI3">
        <v>0</v>
      </c>
      <c r="AO3">
        <v>0</v>
      </c>
      <c r="AP3">
        <v>0</v>
      </c>
      <c r="AQ3">
        <v>882</v>
      </c>
      <c r="AT3">
        <v>257</v>
      </c>
      <c r="AX3" t="s">
        <v>49</v>
      </c>
    </row>
    <row r="4" spans="1:50" x14ac:dyDescent="0.45">
      <c r="A4">
        <v>10003</v>
      </c>
      <c r="B4">
        <v>1</v>
      </c>
      <c r="C4">
        <v>60.72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39.28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Y4">
        <v>1</v>
      </c>
      <c r="Z4">
        <v>0</v>
      </c>
      <c r="AA4">
        <v>0</v>
      </c>
      <c r="AB4">
        <v>0</v>
      </c>
      <c r="AC4">
        <v>1</v>
      </c>
      <c r="AD4">
        <v>850</v>
      </c>
      <c r="AE4">
        <v>1</v>
      </c>
      <c r="AF4">
        <v>1</v>
      </c>
      <c r="AG4">
        <v>0</v>
      </c>
      <c r="AH4">
        <v>0</v>
      </c>
      <c r="AI4">
        <v>0</v>
      </c>
      <c r="AO4">
        <v>10.998400000000002</v>
      </c>
      <c r="AP4">
        <v>0</v>
      </c>
      <c r="AQ4">
        <v>882</v>
      </c>
      <c r="AT4">
        <v>581.4</v>
      </c>
      <c r="AU4">
        <v>22.32</v>
      </c>
      <c r="AX4" t="s">
        <v>51</v>
      </c>
    </row>
    <row r="5" spans="1:50" x14ac:dyDescent="0.45">
      <c r="A5">
        <v>10004</v>
      </c>
      <c r="B5">
        <v>1</v>
      </c>
      <c r="C5">
        <v>59.45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40.549999999999997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1</v>
      </c>
      <c r="W5">
        <v>20</v>
      </c>
      <c r="X5">
        <v>99</v>
      </c>
      <c r="Y5">
        <v>0</v>
      </c>
      <c r="Z5">
        <v>1</v>
      </c>
      <c r="AA5">
        <v>0</v>
      </c>
      <c r="AB5">
        <v>0</v>
      </c>
      <c r="AC5">
        <v>1</v>
      </c>
      <c r="AD5">
        <v>900</v>
      </c>
      <c r="AE5">
        <v>0.5</v>
      </c>
      <c r="AF5">
        <v>1</v>
      </c>
      <c r="AG5">
        <v>0</v>
      </c>
      <c r="AH5">
        <v>0</v>
      </c>
      <c r="AI5">
        <v>0</v>
      </c>
      <c r="AO5">
        <v>11.354000000000001</v>
      </c>
      <c r="AP5">
        <v>0</v>
      </c>
      <c r="AQ5">
        <v>882</v>
      </c>
      <c r="AT5">
        <v>352</v>
      </c>
      <c r="AU5">
        <v>9.08</v>
      </c>
      <c r="AX5" t="s">
        <v>52</v>
      </c>
    </row>
    <row r="6" spans="1:50" x14ac:dyDescent="0.45">
      <c r="A6">
        <v>10005</v>
      </c>
      <c r="B6">
        <v>1</v>
      </c>
      <c r="C6">
        <v>59.45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40.549999999999997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1</v>
      </c>
      <c r="W6">
        <v>20</v>
      </c>
      <c r="X6">
        <v>99</v>
      </c>
      <c r="Y6">
        <v>0</v>
      </c>
      <c r="Z6">
        <v>1</v>
      </c>
      <c r="AA6">
        <v>0</v>
      </c>
      <c r="AB6">
        <v>0</v>
      </c>
      <c r="AC6">
        <v>1</v>
      </c>
      <c r="AD6">
        <v>900</v>
      </c>
      <c r="AE6">
        <v>0.5</v>
      </c>
      <c r="AF6">
        <v>1</v>
      </c>
      <c r="AG6">
        <v>0</v>
      </c>
      <c r="AH6">
        <v>0</v>
      </c>
      <c r="AI6">
        <v>1</v>
      </c>
      <c r="AJ6">
        <v>200</v>
      </c>
      <c r="AK6">
        <v>1</v>
      </c>
      <c r="AL6">
        <v>1</v>
      </c>
      <c r="AM6">
        <v>0</v>
      </c>
      <c r="AN6">
        <v>0</v>
      </c>
      <c r="AO6">
        <v>11.354000000000001</v>
      </c>
      <c r="AP6">
        <v>0</v>
      </c>
      <c r="AQ6">
        <v>882</v>
      </c>
      <c r="AT6">
        <v>392</v>
      </c>
      <c r="AU6">
        <v>8.07</v>
      </c>
      <c r="AX6" t="s">
        <v>52</v>
      </c>
    </row>
    <row r="7" spans="1:50" x14ac:dyDescent="0.45">
      <c r="A7">
        <v>10006</v>
      </c>
      <c r="B7">
        <v>1</v>
      </c>
      <c r="C7">
        <v>59.45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40.549999999999997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1</v>
      </c>
      <c r="W7">
        <v>20</v>
      </c>
      <c r="X7">
        <v>99</v>
      </c>
      <c r="Y7">
        <v>0</v>
      </c>
      <c r="Z7">
        <v>1</v>
      </c>
      <c r="AA7">
        <v>0</v>
      </c>
      <c r="AB7">
        <v>0</v>
      </c>
      <c r="AC7">
        <v>1</v>
      </c>
      <c r="AD7">
        <v>900</v>
      </c>
      <c r="AE7">
        <v>0.5</v>
      </c>
      <c r="AF7">
        <v>1</v>
      </c>
      <c r="AG7">
        <v>0</v>
      </c>
      <c r="AH7">
        <v>0</v>
      </c>
      <c r="AI7">
        <v>1</v>
      </c>
      <c r="AJ7">
        <v>300</v>
      </c>
      <c r="AK7">
        <v>1</v>
      </c>
      <c r="AL7">
        <v>1</v>
      </c>
      <c r="AM7">
        <v>0</v>
      </c>
      <c r="AN7">
        <v>0</v>
      </c>
      <c r="AO7">
        <v>11.354000000000001</v>
      </c>
      <c r="AP7">
        <v>0</v>
      </c>
      <c r="AQ7">
        <v>882</v>
      </c>
      <c r="AT7">
        <v>506</v>
      </c>
      <c r="AU7">
        <v>9.58</v>
      </c>
      <c r="AX7" t="s">
        <v>52</v>
      </c>
    </row>
    <row r="8" spans="1:50" x14ac:dyDescent="0.45">
      <c r="A8">
        <v>10007</v>
      </c>
      <c r="B8">
        <v>1</v>
      </c>
      <c r="C8">
        <v>59.45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40.549999999999997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1</v>
      </c>
      <c r="W8">
        <v>20</v>
      </c>
      <c r="X8">
        <v>99</v>
      </c>
      <c r="Y8">
        <v>0</v>
      </c>
      <c r="Z8">
        <v>1</v>
      </c>
      <c r="AA8">
        <v>0</v>
      </c>
      <c r="AB8">
        <v>0</v>
      </c>
      <c r="AC8">
        <v>1</v>
      </c>
      <c r="AD8">
        <v>900</v>
      </c>
      <c r="AE8">
        <v>0.5</v>
      </c>
      <c r="AF8">
        <v>1</v>
      </c>
      <c r="AG8">
        <v>0</v>
      </c>
      <c r="AH8">
        <v>0</v>
      </c>
      <c r="AI8">
        <v>1</v>
      </c>
      <c r="AJ8">
        <v>400</v>
      </c>
      <c r="AK8">
        <v>1</v>
      </c>
      <c r="AL8">
        <v>1</v>
      </c>
      <c r="AM8">
        <v>0</v>
      </c>
      <c r="AN8">
        <v>0</v>
      </c>
      <c r="AO8">
        <v>11.354000000000001</v>
      </c>
      <c r="AP8">
        <v>0</v>
      </c>
      <c r="AQ8">
        <v>882</v>
      </c>
      <c r="AT8">
        <v>435</v>
      </c>
      <c r="AU8">
        <v>8.9499999999999993</v>
      </c>
      <c r="AX8" t="s">
        <v>52</v>
      </c>
    </row>
    <row r="9" spans="1:50" x14ac:dyDescent="0.45">
      <c r="A9">
        <v>10008</v>
      </c>
      <c r="B9">
        <v>1</v>
      </c>
      <c r="C9">
        <v>59.45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40.549999999999997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1</v>
      </c>
      <c r="W9">
        <v>20</v>
      </c>
      <c r="X9">
        <v>99</v>
      </c>
      <c r="Y9">
        <v>0</v>
      </c>
      <c r="Z9">
        <v>1</v>
      </c>
      <c r="AA9">
        <v>0</v>
      </c>
      <c r="AB9">
        <v>0</v>
      </c>
      <c r="AC9">
        <v>1</v>
      </c>
      <c r="AD9">
        <v>900</v>
      </c>
      <c r="AE9">
        <v>0.5</v>
      </c>
      <c r="AF9">
        <v>1</v>
      </c>
      <c r="AG9">
        <v>0</v>
      </c>
      <c r="AH9">
        <v>0</v>
      </c>
      <c r="AI9">
        <v>1</v>
      </c>
      <c r="AJ9">
        <v>600</v>
      </c>
      <c r="AK9">
        <v>1</v>
      </c>
      <c r="AL9">
        <v>1</v>
      </c>
      <c r="AM9">
        <v>0</v>
      </c>
      <c r="AN9">
        <v>0</v>
      </c>
      <c r="AO9">
        <v>11.354000000000001</v>
      </c>
      <c r="AP9">
        <v>0</v>
      </c>
      <c r="AQ9">
        <v>882</v>
      </c>
      <c r="AT9">
        <v>370</v>
      </c>
      <c r="AU9">
        <v>10.02</v>
      </c>
      <c r="AX9" t="s">
        <v>52</v>
      </c>
    </row>
    <row r="10" spans="1:50" x14ac:dyDescent="0.45">
      <c r="A10">
        <v>10009</v>
      </c>
      <c r="B10">
        <v>1</v>
      </c>
      <c r="C10">
        <v>62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38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1</v>
      </c>
      <c r="W10">
        <v>20</v>
      </c>
      <c r="X10">
        <v>85</v>
      </c>
      <c r="Y10">
        <v>0</v>
      </c>
      <c r="Z10">
        <v>1</v>
      </c>
      <c r="AA10">
        <v>0</v>
      </c>
      <c r="AB10">
        <v>0</v>
      </c>
      <c r="AC10">
        <v>1</v>
      </c>
      <c r="AD10">
        <v>800</v>
      </c>
      <c r="AE10">
        <v>1</v>
      </c>
      <c r="AF10">
        <v>1</v>
      </c>
      <c r="AG10">
        <v>0</v>
      </c>
      <c r="AH10">
        <v>0</v>
      </c>
      <c r="AI10">
        <v>0</v>
      </c>
      <c r="AO10">
        <v>10.64</v>
      </c>
      <c r="AP10">
        <v>0</v>
      </c>
      <c r="AQ10">
        <v>882</v>
      </c>
      <c r="AT10">
        <v>411</v>
      </c>
      <c r="AU10">
        <v>36.700000000000003</v>
      </c>
      <c r="AX10" t="s">
        <v>53</v>
      </c>
    </row>
    <row r="11" spans="1:50" x14ac:dyDescent="0.45">
      <c r="A11">
        <v>10010</v>
      </c>
      <c r="B11">
        <v>1</v>
      </c>
      <c r="C11">
        <v>67.33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32.67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1</v>
      </c>
      <c r="W11">
        <v>20</v>
      </c>
      <c r="X11">
        <v>90</v>
      </c>
      <c r="Y11">
        <v>0</v>
      </c>
      <c r="Z11">
        <v>1</v>
      </c>
      <c r="AA11">
        <v>0</v>
      </c>
      <c r="AB11">
        <v>0</v>
      </c>
      <c r="AC11">
        <v>0</v>
      </c>
      <c r="AI11">
        <v>0</v>
      </c>
      <c r="AO11">
        <v>9.1476000000000006</v>
      </c>
      <c r="AP11">
        <v>0</v>
      </c>
      <c r="AQ11">
        <v>882</v>
      </c>
      <c r="AT11">
        <v>779</v>
      </c>
      <c r="AU11">
        <v>6.2</v>
      </c>
      <c r="AX11" t="s">
        <v>54</v>
      </c>
    </row>
    <row r="12" spans="1:50" x14ac:dyDescent="0.45">
      <c r="A12">
        <v>10011</v>
      </c>
      <c r="B12">
        <v>1</v>
      </c>
      <c r="C12">
        <v>67.33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32.67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1</v>
      </c>
      <c r="W12">
        <v>20</v>
      </c>
      <c r="X12">
        <v>90</v>
      </c>
      <c r="Y12">
        <v>0</v>
      </c>
      <c r="Z12">
        <v>1</v>
      </c>
      <c r="AA12">
        <v>0</v>
      </c>
      <c r="AB12">
        <v>0</v>
      </c>
      <c r="AC12">
        <v>1</v>
      </c>
      <c r="AD12">
        <v>750</v>
      </c>
      <c r="AE12">
        <v>1</v>
      </c>
      <c r="AF12">
        <v>1</v>
      </c>
      <c r="AG12">
        <v>0</v>
      </c>
      <c r="AH12">
        <v>0</v>
      </c>
      <c r="AI12">
        <v>0</v>
      </c>
      <c r="AO12">
        <v>9.1476000000000006</v>
      </c>
      <c r="AP12">
        <v>0</v>
      </c>
      <c r="AQ12">
        <v>882</v>
      </c>
      <c r="AT12">
        <v>503</v>
      </c>
      <c r="AU12">
        <v>25.8</v>
      </c>
      <c r="AX12" t="s">
        <v>54</v>
      </c>
    </row>
    <row r="13" spans="1:50" x14ac:dyDescent="0.45">
      <c r="A13">
        <v>10012</v>
      </c>
      <c r="B13">
        <v>1</v>
      </c>
      <c r="C13">
        <v>67.33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32.67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1</v>
      </c>
      <c r="W13">
        <v>20</v>
      </c>
      <c r="X13">
        <v>90</v>
      </c>
      <c r="Y13">
        <v>0</v>
      </c>
      <c r="Z13">
        <v>1</v>
      </c>
      <c r="AA13">
        <v>0</v>
      </c>
      <c r="AB13">
        <v>0</v>
      </c>
      <c r="AC13">
        <v>1</v>
      </c>
      <c r="AD13">
        <v>850</v>
      </c>
      <c r="AE13">
        <v>1</v>
      </c>
      <c r="AF13">
        <v>1</v>
      </c>
      <c r="AG13">
        <v>0</v>
      </c>
      <c r="AH13">
        <v>0</v>
      </c>
      <c r="AI13">
        <v>0</v>
      </c>
      <c r="AO13">
        <v>9.1476000000000006</v>
      </c>
      <c r="AP13">
        <v>0</v>
      </c>
      <c r="AQ13">
        <v>882</v>
      </c>
      <c r="AT13">
        <v>608</v>
      </c>
      <c r="AU13">
        <v>24.9</v>
      </c>
      <c r="AX13" t="s">
        <v>54</v>
      </c>
    </row>
    <row r="14" spans="1:50" x14ac:dyDescent="0.45">
      <c r="A14">
        <v>10013</v>
      </c>
      <c r="B14">
        <v>1</v>
      </c>
      <c r="C14">
        <v>67.33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32.67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1</v>
      </c>
      <c r="W14">
        <v>20</v>
      </c>
      <c r="X14">
        <v>90</v>
      </c>
      <c r="Y14">
        <v>0</v>
      </c>
      <c r="Z14">
        <v>1</v>
      </c>
      <c r="AA14">
        <v>0</v>
      </c>
      <c r="AB14">
        <v>0</v>
      </c>
      <c r="AC14">
        <v>1</v>
      </c>
      <c r="AD14">
        <v>950</v>
      </c>
      <c r="AE14">
        <v>1</v>
      </c>
      <c r="AF14">
        <v>1</v>
      </c>
      <c r="AG14">
        <v>0</v>
      </c>
      <c r="AH14">
        <v>0</v>
      </c>
      <c r="AI14">
        <v>0</v>
      </c>
      <c r="AO14">
        <v>9.1476000000000006</v>
      </c>
      <c r="AP14">
        <v>0</v>
      </c>
      <c r="AQ14">
        <v>882</v>
      </c>
      <c r="AT14">
        <v>623</v>
      </c>
      <c r="AU14">
        <v>16.899999999999999</v>
      </c>
      <c r="AX14" t="s">
        <v>54</v>
      </c>
    </row>
    <row r="15" spans="1:50" x14ac:dyDescent="0.45">
      <c r="A15">
        <v>10014</v>
      </c>
      <c r="B15">
        <v>1</v>
      </c>
      <c r="C15">
        <v>54.59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45.41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1</v>
      </c>
      <c r="W15">
        <v>20</v>
      </c>
      <c r="X15">
        <v>90</v>
      </c>
      <c r="Y15">
        <v>0</v>
      </c>
      <c r="Z15">
        <v>1</v>
      </c>
      <c r="AA15">
        <v>0</v>
      </c>
      <c r="AB15">
        <v>0</v>
      </c>
      <c r="AC15">
        <v>0</v>
      </c>
      <c r="AI15">
        <v>0</v>
      </c>
      <c r="AO15">
        <v>12.7148</v>
      </c>
      <c r="AP15">
        <v>0</v>
      </c>
      <c r="AQ15">
        <v>882</v>
      </c>
      <c r="AT15">
        <v>561</v>
      </c>
      <c r="AU15">
        <v>3.5</v>
      </c>
      <c r="AX15" t="s">
        <v>54</v>
      </c>
    </row>
    <row r="16" spans="1:50" x14ac:dyDescent="0.45">
      <c r="A16">
        <v>10015</v>
      </c>
      <c r="B16">
        <v>1</v>
      </c>
      <c r="C16">
        <v>54.59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45.41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1</v>
      </c>
      <c r="W16">
        <v>20</v>
      </c>
      <c r="X16">
        <v>90</v>
      </c>
      <c r="Y16">
        <v>0</v>
      </c>
      <c r="Z16">
        <v>1</v>
      </c>
      <c r="AA16">
        <v>0</v>
      </c>
      <c r="AB16">
        <v>0</v>
      </c>
      <c r="AC16">
        <v>1</v>
      </c>
      <c r="AD16">
        <v>750</v>
      </c>
      <c r="AE16">
        <v>1</v>
      </c>
      <c r="AF16">
        <v>1</v>
      </c>
      <c r="AG16">
        <v>0</v>
      </c>
      <c r="AH16">
        <v>0</v>
      </c>
      <c r="AI16">
        <v>0</v>
      </c>
      <c r="AO16">
        <v>12.7148</v>
      </c>
      <c r="AP16">
        <v>0</v>
      </c>
      <c r="AQ16">
        <v>882</v>
      </c>
      <c r="AT16">
        <v>449</v>
      </c>
      <c r="AU16">
        <v>24</v>
      </c>
      <c r="AX16" t="s">
        <v>54</v>
      </c>
    </row>
    <row r="17" spans="1:50" x14ac:dyDescent="0.45">
      <c r="A17">
        <v>10016</v>
      </c>
      <c r="B17">
        <v>1</v>
      </c>
      <c r="C17">
        <v>54.59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45.41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1</v>
      </c>
      <c r="W17">
        <v>20</v>
      </c>
      <c r="X17">
        <v>90</v>
      </c>
      <c r="Y17">
        <v>0</v>
      </c>
      <c r="Z17">
        <v>1</v>
      </c>
      <c r="AA17">
        <v>0</v>
      </c>
      <c r="AB17">
        <v>0</v>
      </c>
      <c r="AC17">
        <v>1</v>
      </c>
      <c r="AD17">
        <v>850</v>
      </c>
      <c r="AE17">
        <v>1</v>
      </c>
      <c r="AF17">
        <v>1</v>
      </c>
      <c r="AG17">
        <v>0</v>
      </c>
      <c r="AH17">
        <v>0</v>
      </c>
      <c r="AI17">
        <v>0</v>
      </c>
      <c r="AO17">
        <v>12.7148</v>
      </c>
      <c r="AP17">
        <v>0</v>
      </c>
      <c r="AQ17">
        <v>882</v>
      </c>
      <c r="AT17">
        <v>493</v>
      </c>
      <c r="AU17">
        <v>21.1</v>
      </c>
      <c r="AX17" t="s">
        <v>54</v>
      </c>
    </row>
    <row r="18" spans="1:50" x14ac:dyDescent="0.45">
      <c r="A18">
        <v>10017</v>
      </c>
      <c r="B18">
        <v>1</v>
      </c>
      <c r="C18">
        <v>54.59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45.41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1</v>
      </c>
      <c r="W18">
        <v>20</v>
      </c>
      <c r="X18">
        <v>90</v>
      </c>
      <c r="Y18">
        <v>0</v>
      </c>
      <c r="Z18">
        <v>1</v>
      </c>
      <c r="AA18">
        <v>0</v>
      </c>
      <c r="AB18">
        <v>0</v>
      </c>
      <c r="AC18">
        <v>1</v>
      </c>
      <c r="AD18">
        <v>950</v>
      </c>
      <c r="AE18">
        <v>1</v>
      </c>
      <c r="AF18">
        <v>1</v>
      </c>
      <c r="AG18">
        <v>0</v>
      </c>
      <c r="AH18">
        <v>0</v>
      </c>
      <c r="AI18">
        <v>0</v>
      </c>
      <c r="AO18">
        <v>12.7148</v>
      </c>
      <c r="AP18">
        <v>0</v>
      </c>
      <c r="AQ18">
        <v>882</v>
      </c>
      <c r="AT18">
        <v>587</v>
      </c>
      <c r="AU18">
        <v>17.100000000000001</v>
      </c>
      <c r="AX18" t="s">
        <v>54</v>
      </c>
    </row>
    <row r="19" spans="1:50" x14ac:dyDescent="0.45">
      <c r="A19">
        <v>10018</v>
      </c>
      <c r="B19">
        <v>1</v>
      </c>
      <c r="C19">
        <v>87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13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Y19">
        <v>1</v>
      </c>
      <c r="Z19">
        <v>0</v>
      </c>
      <c r="AA19">
        <v>0</v>
      </c>
      <c r="AB19">
        <v>0</v>
      </c>
      <c r="AC19">
        <v>0</v>
      </c>
      <c r="AI19">
        <v>0</v>
      </c>
      <c r="AO19">
        <v>3.6400000000000006</v>
      </c>
      <c r="AP19">
        <v>0</v>
      </c>
      <c r="AQ19">
        <v>882</v>
      </c>
      <c r="AS19">
        <v>672.97</v>
      </c>
      <c r="AT19">
        <v>799.98</v>
      </c>
      <c r="AU19">
        <v>5.1100000000000003</v>
      </c>
      <c r="AX19" t="s">
        <v>55</v>
      </c>
    </row>
    <row r="20" spans="1:50" x14ac:dyDescent="0.45">
      <c r="A20">
        <v>10019</v>
      </c>
      <c r="B20">
        <v>1</v>
      </c>
      <c r="C20">
        <v>72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28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Y20">
        <v>1</v>
      </c>
      <c r="Z20">
        <v>0</v>
      </c>
      <c r="AA20">
        <v>0</v>
      </c>
      <c r="AB20">
        <v>0</v>
      </c>
      <c r="AC20">
        <v>0</v>
      </c>
      <c r="AI20">
        <v>0</v>
      </c>
      <c r="AO20">
        <v>7.8400000000000007</v>
      </c>
      <c r="AP20">
        <v>0</v>
      </c>
      <c r="AQ20">
        <v>882</v>
      </c>
      <c r="AS20">
        <v>616.5</v>
      </c>
      <c r="AT20">
        <v>778.33</v>
      </c>
      <c r="AU20">
        <v>3.03</v>
      </c>
      <c r="AX20" t="s">
        <v>55</v>
      </c>
    </row>
    <row r="21" spans="1:50" x14ac:dyDescent="0.45">
      <c r="A21">
        <v>10020</v>
      </c>
      <c r="B21">
        <v>1</v>
      </c>
      <c r="C21">
        <v>85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15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1</v>
      </c>
      <c r="W21">
        <v>20</v>
      </c>
      <c r="X21">
        <v>85</v>
      </c>
      <c r="Y21">
        <v>0</v>
      </c>
      <c r="Z21">
        <v>1</v>
      </c>
      <c r="AA21">
        <v>0</v>
      </c>
      <c r="AB21">
        <v>0</v>
      </c>
      <c r="AC21">
        <v>1</v>
      </c>
      <c r="AD21">
        <v>900</v>
      </c>
      <c r="AE21">
        <v>0.5</v>
      </c>
      <c r="AF21">
        <v>1</v>
      </c>
      <c r="AG21">
        <v>0</v>
      </c>
      <c r="AH21">
        <v>0</v>
      </c>
      <c r="AI21">
        <v>0</v>
      </c>
      <c r="AO21">
        <v>4.2</v>
      </c>
      <c r="AP21">
        <v>0</v>
      </c>
      <c r="AQ21">
        <v>882</v>
      </c>
      <c r="AR21">
        <v>56</v>
      </c>
      <c r="AS21">
        <v>462</v>
      </c>
      <c r="AT21">
        <v>648</v>
      </c>
      <c r="AU21">
        <v>16</v>
      </c>
      <c r="AV21">
        <v>241</v>
      </c>
      <c r="AX21" t="s">
        <v>56</v>
      </c>
    </row>
    <row r="22" spans="1:50" x14ac:dyDescent="0.45">
      <c r="A22">
        <v>10021</v>
      </c>
      <c r="B22">
        <v>1</v>
      </c>
      <c r="C22">
        <v>68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32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1</v>
      </c>
      <c r="W22">
        <v>20</v>
      </c>
      <c r="X22">
        <v>85</v>
      </c>
      <c r="Y22">
        <v>0</v>
      </c>
      <c r="Z22">
        <v>1</v>
      </c>
      <c r="AA22">
        <v>0</v>
      </c>
      <c r="AB22">
        <v>0</v>
      </c>
      <c r="AC22">
        <v>1</v>
      </c>
      <c r="AD22">
        <v>900</v>
      </c>
      <c r="AE22">
        <v>0.5</v>
      </c>
      <c r="AF22">
        <v>1</v>
      </c>
      <c r="AG22">
        <v>0</v>
      </c>
      <c r="AH22">
        <v>0</v>
      </c>
      <c r="AI22">
        <v>0</v>
      </c>
      <c r="AO22">
        <v>8.9600000000000009</v>
      </c>
      <c r="AP22">
        <v>0</v>
      </c>
      <c r="AQ22">
        <v>882</v>
      </c>
      <c r="AR22">
        <v>65</v>
      </c>
      <c r="AS22">
        <v>325</v>
      </c>
      <c r="AT22">
        <v>550</v>
      </c>
      <c r="AU22">
        <v>22</v>
      </c>
      <c r="AV22">
        <v>158</v>
      </c>
      <c r="AX22" t="s">
        <v>57</v>
      </c>
    </row>
    <row r="23" spans="1:50" x14ac:dyDescent="0.45">
      <c r="A23">
        <v>10022</v>
      </c>
      <c r="B23">
        <v>1</v>
      </c>
      <c r="C23">
        <v>62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38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1</v>
      </c>
      <c r="W23">
        <v>20</v>
      </c>
      <c r="X23">
        <v>85</v>
      </c>
      <c r="Y23">
        <v>0</v>
      </c>
      <c r="Z23">
        <v>1</v>
      </c>
      <c r="AA23">
        <v>0</v>
      </c>
      <c r="AB23">
        <v>0</v>
      </c>
      <c r="AC23">
        <v>1</v>
      </c>
      <c r="AD23">
        <v>900</v>
      </c>
      <c r="AE23">
        <v>0.5</v>
      </c>
      <c r="AF23">
        <v>1</v>
      </c>
      <c r="AG23">
        <v>0</v>
      </c>
      <c r="AH23">
        <v>0</v>
      </c>
      <c r="AI23">
        <v>0</v>
      </c>
      <c r="AO23">
        <v>10.64</v>
      </c>
      <c r="AP23">
        <v>0</v>
      </c>
      <c r="AQ23">
        <v>882</v>
      </c>
      <c r="AR23">
        <v>60</v>
      </c>
      <c r="AS23">
        <v>220</v>
      </c>
      <c r="AT23">
        <v>479</v>
      </c>
      <c r="AU23">
        <v>41</v>
      </c>
      <c r="AV23">
        <v>167</v>
      </c>
      <c r="AX23" t="s">
        <v>58</v>
      </c>
    </row>
    <row r="24" spans="1:50" x14ac:dyDescent="0.45">
      <c r="A24">
        <v>10023</v>
      </c>
      <c r="B24">
        <v>1</v>
      </c>
      <c r="C24">
        <v>81.84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18.16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1</v>
      </c>
      <c r="Y24">
        <v>0</v>
      </c>
      <c r="Z24">
        <v>1</v>
      </c>
      <c r="AA24">
        <v>0</v>
      </c>
      <c r="AB24">
        <v>0</v>
      </c>
      <c r="AC24">
        <v>1</v>
      </c>
      <c r="AD24">
        <f t="shared" ref="AD24:AD47" si="0">AQ24</f>
        <v>882</v>
      </c>
      <c r="AF24">
        <v>1</v>
      </c>
      <c r="AG24">
        <v>0</v>
      </c>
      <c r="AH24">
        <v>0</v>
      </c>
      <c r="AI24">
        <v>0</v>
      </c>
      <c r="AO24">
        <v>5.0848000000000004</v>
      </c>
      <c r="AP24">
        <v>0</v>
      </c>
      <c r="AQ24">
        <v>882</v>
      </c>
      <c r="AR24">
        <v>79</v>
      </c>
      <c r="AS24">
        <v>348</v>
      </c>
      <c r="AW24" t="s">
        <v>335</v>
      </c>
      <c r="AX24" t="s">
        <v>60</v>
      </c>
    </row>
    <row r="25" spans="1:50" x14ac:dyDescent="0.45">
      <c r="A25">
        <v>10024</v>
      </c>
      <c r="B25">
        <v>1</v>
      </c>
      <c r="C25">
        <v>76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24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1</v>
      </c>
      <c r="Y25">
        <v>0</v>
      </c>
      <c r="Z25">
        <v>1</v>
      </c>
      <c r="AA25">
        <v>0</v>
      </c>
      <c r="AB25">
        <v>0</v>
      </c>
      <c r="AC25">
        <v>1</v>
      </c>
      <c r="AD25">
        <f t="shared" si="0"/>
        <v>882</v>
      </c>
      <c r="AF25">
        <v>1</v>
      </c>
      <c r="AG25">
        <v>0</v>
      </c>
      <c r="AH25">
        <v>0</v>
      </c>
      <c r="AI25">
        <v>0</v>
      </c>
      <c r="AO25">
        <v>6.7200000000000006</v>
      </c>
      <c r="AP25">
        <v>0</v>
      </c>
      <c r="AQ25">
        <v>882</v>
      </c>
      <c r="AR25">
        <v>56</v>
      </c>
      <c r="AS25">
        <v>203</v>
      </c>
      <c r="AW25" t="s">
        <v>336</v>
      </c>
      <c r="AX25" t="s">
        <v>60</v>
      </c>
    </row>
    <row r="26" spans="1:50" x14ac:dyDescent="0.45">
      <c r="A26">
        <v>10025</v>
      </c>
      <c r="B26">
        <v>1</v>
      </c>
      <c r="C26">
        <v>76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24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1</v>
      </c>
      <c r="Y26">
        <v>0</v>
      </c>
      <c r="Z26">
        <v>1</v>
      </c>
      <c r="AA26">
        <v>0</v>
      </c>
      <c r="AB26">
        <v>0</v>
      </c>
      <c r="AC26">
        <v>1</v>
      </c>
      <c r="AD26">
        <f t="shared" si="0"/>
        <v>882</v>
      </c>
      <c r="AF26">
        <v>1</v>
      </c>
      <c r="AG26">
        <v>0</v>
      </c>
      <c r="AH26">
        <v>0</v>
      </c>
      <c r="AI26">
        <v>0</v>
      </c>
      <c r="AO26">
        <v>6.7200000000000006</v>
      </c>
      <c r="AP26">
        <v>0</v>
      </c>
      <c r="AQ26">
        <v>882</v>
      </c>
      <c r="AR26">
        <v>58</v>
      </c>
      <c r="AS26">
        <v>301</v>
      </c>
      <c r="AW26" t="s">
        <v>336</v>
      </c>
      <c r="AX26" t="s">
        <v>60</v>
      </c>
    </row>
    <row r="27" spans="1:50" x14ac:dyDescent="0.45">
      <c r="A27">
        <v>10026</v>
      </c>
      <c r="B27">
        <v>1</v>
      </c>
      <c r="C27">
        <v>76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24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1</v>
      </c>
      <c r="Y27">
        <v>0</v>
      </c>
      <c r="Z27">
        <v>1</v>
      </c>
      <c r="AA27">
        <v>0</v>
      </c>
      <c r="AB27">
        <v>0</v>
      </c>
      <c r="AC27">
        <v>1</v>
      </c>
      <c r="AD27">
        <f t="shared" si="0"/>
        <v>882</v>
      </c>
      <c r="AF27">
        <v>1</v>
      </c>
      <c r="AG27">
        <v>0</v>
      </c>
      <c r="AH27">
        <v>0</v>
      </c>
      <c r="AI27">
        <v>0</v>
      </c>
      <c r="AO27">
        <v>6.7200000000000006</v>
      </c>
      <c r="AP27">
        <v>0</v>
      </c>
      <c r="AQ27">
        <v>882</v>
      </c>
      <c r="AR27">
        <v>62</v>
      </c>
      <c r="AS27">
        <v>575</v>
      </c>
      <c r="AW27" t="s">
        <v>336</v>
      </c>
      <c r="AX27" t="s">
        <v>60</v>
      </c>
    </row>
    <row r="28" spans="1:50" x14ac:dyDescent="0.45">
      <c r="A28">
        <v>10027</v>
      </c>
      <c r="B28">
        <v>1</v>
      </c>
      <c r="C28">
        <v>76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24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1</v>
      </c>
      <c r="Y28">
        <v>0</v>
      </c>
      <c r="Z28">
        <v>1</v>
      </c>
      <c r="AA28">
        <v>0</v>
      </c>
      <c r="AB28">
        <v>0</v>
      </c>
      <c r="AC28">
        <v>1</v>
      </c>
      <c r="AD28">
        <f t="shared" si="0"/>
        <v>882</v>
      </c>
      <c r="AF28">
        <v>1</v>
      </c>
      <c r="AG28">
        <v>0</v>
      </c>
      <c r="AH28">
        <v>0</v>
      </c>
      <c r="AI28">
        <v>0</v>
      </c>
      <c r="AO28">
        <v>6.7200000000000006</v>
      </c>
      <c r="AP28">
        <v>0</v>
      </c>
      <c r="AQ28">
        <v>882</v>
      </c>
      <c r="AR28">
        <v>60</v>
      </c>
      <c r="AS28">
        <v>300</v>
      </c>
      <c r="AW28" t="s">
        <v>336</v>
      </c>
      <c r="AX28" t="s">
        <v>60</v>
      </c>
    </row>
    <row r="29" spans="1:50" x14ac:dyDescent="0.45">
      <c r="A29">
        <v>10028</v>
      </c>
      <c r="B29">
        <v>1</v>
      </c>
      <c r="C29">
        <v>91.67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8.33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1</v>
      </c>
      <c r="Y29">
        <v>0</v>
      </c>
      <c r="Z29">
        <v>1</v>
      </c>
      <c r="AA29">
        <v>0</v>
      </c>
      <c r="AB29">
        <v>0</v>
      </c>
      <c r="AC29">
        <v>1</v>
      </c>
      <c r="AD29">
        <f t="shared" si="0"/>
        <v>882</v>
      </c>
      <c r="AF29">
        <v>0</v>
      </c>
      <c r="AG29">
        <v>0</v>
      </c>
      <c r="AH29">
        <v>1</v>
      </c>
      <c r="AI29">
        <v>0</v>
      </c>
      <c r="AO29">
        <v>2.3324000000000003</v>
      </c>
      <c r="AP29">
        <v>0</v>
      </c>
      <c r="AQ29">
        <v>882</v>
      </c>
      <c r="AR29">
        <v>96</v>
      </c>
      <c r="AS29">
        <v>558</v>
      </c>
      <c r="AW29" t="s">
        <v>336</v>
      </c>
      <c r="AX29" t="s">
        <v>60</v>
      </c>
    </row>
    <row r="30" spans="1:50" x14ac:dyDescent="0.45">
      <c r="A30">
        <v>10029</v>
      </c>
      <c r="B30">
        <v>1</v>
      </c>
      <c r="C30">
        <v>91.67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8.33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1</v>
      </c>
      <c r="Y30">
        <v>0</v>
      </c>
      <c r="Z30">
        <v>1</v>
      </c>
      <c r="AA30">
        <v>0</v>
      </c>
      <c r="AB30">
        <v>0</v>
      </c>
      <c r="AC30">
        <v>1</v>
      </c>
      <c r="AD30">
        <f t="shared" si="0"/>
        <v>882</v>
      </c>
      <c r="AF30">
        <v>0</v>
      </c>
      <c r="AG30">
        <v>0</v>
      </c>
      <c r="AH30">
        <v>1</v>
      </c>
      <c r="AI30">
        <v>0</v>
      </c>
      <c r="AO30">
        <v>2.3324000000000003</v>
      </c>
      <c r="AP30">
        <v>0</v>
      </c>
      <c r="AQ30">
        <v>882</v>
      </c>
      <c r="AR30">
        <v>103</v>
      </c>
      <c r="AS30">
        <v>744</v>
      </c>
      <c r="AW30" t="s">
        <v>337</v>
      </c>
      <c r="AX30" t="s">
        <v>60</v>
      </c>
    </row>
    <row r="31" spans="1:50" x14ac:dyDescent="0.45">
      <c r="A31">
        <v>10030</v>
      </c>
      <c r="B31">
        <v>1</v>
      </c>
      <c r="C31">
        <v>91.67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8.33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1</v>
      </c>
      <c r="Y31">
        <v>0</v>
      </c>
      <c r="Z31">
        <v>1</v>
      </c>
      <c r="AA31">
        <v>0</v>
      </c>
      <c r="AB31">
        <v>0</v>
      </c>
      <c r="AC31">
        <v>1</v>
      </c>
      <c r="AD31">
        <f t="shared" si="0"/>
        <v>882</v>
      </c>
      <c r="AF31">
        <v>0</v>
      </c>
      <c r="AG31">
        <v>0</v>
      </c>
      <c r="AH31">
        <v>1</v>
      </c>
      <c r="AI31">
        <v>0</v>
      </c>
      <c r="AO31">
        <v>2.3324000000000003</v>
      </c>
      <c r="AP31">
        <v>0</v>
      </c>
      <c r="AQ31">
        <v>882</v>
      </c>
      <c r="AR31">
        <v>102</v>
      </c>
      <c r="AS31">
        <v>962</v>
      </c>
      <c r="AW31" t="s">
        <v>338</v>
      </c>
      <c r="AX31" t="s">
        <v>60</v>
      </c>
    </row>
    <row r="32" spans="1:50" x14ac:dyDescent="0.45">
      <c r="A32">
        <v>10031</v>
      </c>
      <c r="B32">
        <v>1</v>
      </c>
      <c r="C32">
        <v>90.149999999999991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9.85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1</v>
      </c>
      <c r="Y32">
        <v>0</v>
      </c>
      <c r="Z32">
        <v>1</v>
      </c>
      <c r="AA32">
        <v>0</v>
      </c>
      <c r="AB32">
        <v>0</v>
      </c>
      <c r="AC32">
        <v>1</v>
      </c>
      <c r="AD32">
        <f t="shared" si="0"/>
        <v>882</v>
      </c>
      <c r="AF32">
        <v>0</v>
      </c>
      <c r="AG32">
        <v>0</v>
      </c>
      <c r="AH32">
        <v>1</v>
      </c>
      <c r="AI32">
        <v>0</v>
      </c>
      <c r="AO32">
        <v>2.758</v>
      </c>
      <c r="AP32">
        <v>0</v>
      </c>
      <c r="AQ32">
        <v>882</v>
      </c>
      <c r="AR32">
        <v>89</v>
      </c>
      <c r="AS32">
        <v>628</v>
      </c>
      <c r="AW32" t="s">
        <v>338</v>
      </c>
      <c r="AX32" t="s">
        <v>60</v>
      </c>
    </row>
    <row r="33" spans="1:50" x14ac:dyDescent="0.45">
      <c r="A33">
        <v>10032</v>
      </c>
      <c r="B33">
        <v>1</v>
      </c>
      <c r="C33">
        <v>90.149999999999991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9.85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1</v>
      </c>
      <c r="Y33">
        <v>0</v>
      </c>
      <c r="Z33">
        <v>1</v>
      </c>
      <c r="AA33">
        <v>0</v>
      </c>
      <c r="AB33">
        <v>0</v>
      </c>
      <c r="AC33">
        <v>1</v>
      </c>
      <c r="AD33">
        <f t="shared" si="0"/>
        <v>882</v>
      </c>
      <c r="AF33">
        <v>0</v>
      </c>
      <c r="AG33">
        <v>0</v>
      </c>
      <c r="AH33">
        <v>1</v>
      </c>
      <c r="AI33">
        <v>0</v>
      </c>
      <c r="AO33">
        <v>2.758</v>
      </c>
      <c r="AP33">
        <v>0</v>
      </c>
      <c r="AQ33">
        <v>882</v>
      </c>
      <c r="AR33">
        <v>91</v>
      </c>
      <c r="AS33">
        <v>822</v>
      </c>
      <c r="AW33" t="s">
        <v>338</v>
      </c>
      <c r="AX33" t="s">
        <v>60</v>
      </c>
    </row>
    <row r="34" spans="1:50" x14ac:dyDescent="0.45">
      <c r="A34">
        <v>10033</v>
      </c>
      <c r="B34">
        <v>1</v>
      </c>
      <c r="C34">
        <v>90.149999999999991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9.85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1</v>
      </c>
      <c r="Y34">
        <v>0</v>
      </c>
      <c r="Z34">
        <v>1</v>
      </c>
      <c r="AA34">
        <v>0</v>
      </c>
      <c r="AB34">
        <v>0</v>
      </c>
      <c r="AC34">
        <v>1</v>
      </c>
      <c r="AD34">
        <f t="shared" si="0"/>
        <v>882</v>
      </c>
      <c r="AF34">
        <v>0</v>
      </c>
      <c r="AG34">
        <v>0</v>
      </c>
      <c r="AH34">
        <v>1</v>
      </c>
      <c r="AI34">
        <v>0</v>
      </c>
      <c r="AO34">
        <v>2.758</v>
      </c>
      <c r="AP34">
        <v>0</v>
      </c>
      <c r="AQ34">
        <v>882</v>
      </c>
      <c r="AR34">
        <v>92</v>
      </c>
      <c r="AS34">
        <v>893</v>
      </c>
      <c r="AW34" t="s">
        <v>338</v>
      </c>
      <c r="AX34" t="s">
        <v>60</v>
      </c>
    </row>
    <row r="35" spans="1:50" x14ac:dyDescent="0.45">
      <c r="A35">
        <v>10034</v>
      </c>
      <c r="B35">
        <v>1</v>
      </c>
      <c r="C35">
        <v>88.59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11.41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1</v>
      </c>
      <c r="Y35">
        <v>0</v>
      </c>
      <c r="Z35">
        <v>1</v>
      </c>
      <c r="AA35">
        <v>0</v>
      </c>
      <c r="AB35">
        <v>0</v>
      </c>
      <c r="AC35">
        <v>1</v>
      </c>
      <c r="AD35">
        <f t="shared" si="0"/>
        <v>882</v>
      </c>
      <c r="AF35">
        <v>0</v>
      </c>
      <c r="AG35">
        <v>0</v>
      </c>
      <c r="AH35">
        <v>1</v>
      </c>
      <c r="AI35">
        <v>0</v>
      </c>
      <c r="AO35">
        <v>3.1948000000000003</v>
      </c>
      <c r="AP35">
        <v>0</v>
      </c>
      <c r="AQ35">
        <v>882</v>
      </c>
      <c r="AR35">
        <v>89</v>
      </c>
      <c r="AS35">
        <v>655</v>
      </c>
      <c r="AW35" t="s">
        <v>338</v>
      </c>
      <c r="AX35" t="s">
        <v>60</v>
      </c>
    </row>
    <row r="36" spans="1:50" x14ac:dyDescent="0.45">
      <c r="A36">
        <v>10035</v>
      </c>
      <c r="B36">
        <v>1</v>
      </c>
      <c r="C36">
        <v>88.59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11.41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1</v>
      </c>
      <c r="Y36">
        <v>0</v>
      </c>
      <c r="Z36">
        <v>1</v>
      </c>
      <c r="AA36">
        <v>0</v>
      </c>
      <c r="AB36">
        <v>0</v>
      </c>
      <c r="AC36">
        <v>1</v>
      </c>
      <c r="AD36">
        <f t="shared" si="0"/>
        <v>882</v>
      </c>
      <c r="AF36">
        <v>0</v>
      </c>
      <c r="AG36">
        <v>0</v>
      </c>
      <c r="AH36">
        <v>1</v>
      </c>
      <c r="AI36">
        <v>0</v>
      </c>
      <c r="AO36">
        <v>3.1948000000000003</v>
      </c>
      <c r="AP36">
        <v>0</v>
      </c>
      <c r="AQ36">
        <v>882</v>
      </c>
      <c r="AR36">
        <v>87</v>
      </c>
      <c r="AS36">
        <v>818</v>
      </c>
      <c r="AW36" t="s">
        <v>338</v>
      </c>
      <c r="AX36" t="s">
        <v>60</v>
      </c>
    </row>
    <row r="37" spans="1:50" x14ac:dyDescent="0.45">
      <c r="A37">
        <v>10036</v>
      </c>
      <c r="B37">
        <v>1</v>
      </c>
      <c r="C37">
        <v>88.59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11.41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1</v>
      </c>
      <c r="Y37">
        <v>0</v>
      </c>
      <c r="Z37">
        <v>1</v>
      </c>
      <c r="AA37">
        <v>0</v>
      </c>
      <c r="AB37">
        <v>0</v>
      </c>
      <c r="AC37">
        <v>1</v>
      </c>
      <c r="AD37">
        <f t="shared" si="0"/>
        <v>882</v>
      </c>
      <c r="AF37">
        <v>0</v>
      </c>
      <c r="AG37">
        <v>0</v>
      </c>
      <c r="AH37">
        <v>1</v>
      </c>
      <c r="AI37">
        <v>0</v>
      </c>
      <c r="AO37">
        <v>3.1948000000000003</v>
      </c>
      <c r="AP37">
        <v>0</v>
      </c>
      <c r="AQ37">
        <v>882</v>
      </c>
      <c r="AR37">
        <v>94</v>
      </c>
      <c r="AS37">
        <v>906</v>
      </c>
      <c r="AW37" t="s">
        <v>338</v>
      </c>
      <c r="AX37" t="s">
        <v>60</v>
      </c>
    </row>
    <row r="38" spans="1:50" x14ac:dyDescent="0.45">
      <c r="A38">
        <v>10037</v>
      </c>
      <c r="B38">
        <v>1</v>
      </c>
      <c r="C38">
        <v>86.99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13.01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1</v>
      </c>
      <c r="Y38">
        <v>0</v>
      </c>
      <c r="Z38">
        <v>1</v>
      </c>
      <c r="AA38">
        <v>0</v>
      </c>
      <c r="AB38">
        <v>0</v>
      </c>
      <c r="AC38">
        <v>1</v>
      </c>
      <c r="AD38">
        <f t="shared" si="0"/>
        <v>882</v>
      </c>
      <c r="AF38">
        <v>0</v>
      </c>
      <c r="AG38">
        <v>0</v>
      </c>
      <c r="AH38">
        <v>1</v>
      </c>
      <c r="AI38">
        <v>0</v>
      </c>
      <c r="AO38">
        <v>3.6428000000000003</v>
      </c>
      <c r="AP38">
        <v>0</v>
      </c>
      <c r="AQ38">
        <v>882</v>
      </c>
      <c r="AR38">
        <v>89</v>
      </c>
      <c r="AS38">
        <v>734</v>
      </c>
      <c r="AW38" t="s">
        <v>338</v>
      </c>
      <c r="AX38" t="s">
        <v>60</v>
      </c>
    </row>
    <row r="39" spans="1:50" x14ac:dyDescent="0.45">
      <c r="A39">
        <v>10038</v>
      </c>
      <c r="B39">
        <v>1</v>
      </c>
      <c r="C39">
        <v>86.99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13.01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1</v>
      </c>
      <c r="Y39">
        <v>0</v>
      </c>
      <c r="Z39">
        <v>1</v>
      </c>
      <c r="AA39">
        <v>0</v>
      </c>
      <c r="AB39">
        <v>0</v>
      </c>
      <c r="AC39">
        <v>1</v>
      </c>
      <c r="AD39">
        <f t="shared" si="0"/>
        <v>882</v>
      </c>
      <c r="AF39">
        <v>0</v>
      </c>
      <c r="AG39">
        <v>0</v>
      </c>
      <c r="AH39">
        <v>1</v>
      </c>
      <c r="AI39">
        <v>0</v>
      </c>
      <c r="AO39">
        <v>3.6428000000000003</v>
      </c>
      <c r="AP39">
        <v>0</v>
      </c>
      <c r="AQ39">
        <v>882</v>
      </c>
      <c r="AR39">
        <v>99</v>
      </c>
      <c r="AS39">
        <v>854</v>
      </c>
      <c r="AW39" t="s">
        <v>220</v>
      </c>
      <c r="AX39" t="s">
        <v>60</v>
      </c>
    </row>
    <row r="40" spans="1:50" x14ac:dyDescent="0.45">
      <c r="A40">
        <v>10039</v>
      </c>
      <c r="B40">
        <v>1</v>
      </c>
      <c r="C40">
        <v>86.99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13.01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1</v>
      </c>
      <c r="Y40">
        <v>0</v>
      </c>
      <c r="Z40">
        <v>1</v>
      </c>
      <c r="AA40">
        <v>0</v>
      </c>
      <c r="AB40">
        <v>0</v>
      </c>
      <c r="AC40">
        <v>1</v>
      </c>
      <c r="AD40">
        <f t="shared" si="0"/>
        <v>882</v>
      </c>
      <c r="AF40">
        <v>0</v>
      </c>
      <c r="AG40">
        <v>0</v>
      </c>
      <c r="AH40">
        <v>1</v>
      </c>
      <c r="AI40">
        <v>0</v>
      </c>
      <c r="AO40">
        <v>3.6428000000000003</v>
      </c>
      <c r="AP40">
        <v>0</v>
      </c>
      <c r="AQ40">
        <v>882</v>
      </c>
      <c r="AR40">
        <v>100</v>
      </c>
      <c r="AS40">
        <v>930</v>
      </c>
      <c r="AW40" t="s">
        <v>221</v>
      </c>
      <c r="AX40" t="s">
        <v>60</v>
      </c>
    </row>
    <row r="41" spans="1:50" x14ac:dyDescent="0.45">
      <c r="A41">
        <v>10040</v>
      </c>
      <c r="B41">
        <v>1</v>
      </c>
      <c r="C41">
        <v>78.28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21.72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1</v>
      </c>
      <c r="Y41">
        <v>0</v>
      </c>
      <c r="Z41">
        <v>1</v>
      </c>
      <c r="AA41">
        <v>0</v>
      </c>
      <c r="AB41">
        <v>0</v>
      </c>
      <c r="AC41">
        <v>1</v>
      </c>
      <c r="AD41">
        <f t="shared" si="0"/>
        <v>882</v>
      </c>
      <c r="AF41">
        <v>1</v>
      </c>
      <c r="AG41">
        <v>0</v>
      </c>
      <c r="AH41">
        <v>0</v>
      </c>
      <c r="AI41">
        <v>0</v>
      </c>
      <c r="AO41">
        <v>6.0815999999999999</v>
      </c>
      <c r="AP41">
        <v>0</v>
      </c>
      <c r="AQ41">
        <v>882</v>
      </c>
      <c r="AR41">
        <v>73.900000000000006</v>
      </c>
      <c r="AS41">
        <v>289</v>
      </c>
      <c r="AW41" t="s">
        <v>222</v>
      </c>
      <c r="AX41" t="s">
        <v>60</v>
      </c>
    </row>
    <row r="42" spans="1:50" x14ac:dyDescent="0.45">
      <c r="A42">
        <v>10041</v>
      </c>
      <c r="B42">
        <v>1</v>
      </c>
      <c r="C42">
        <v>78.28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21.72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1</v>
      </c>
      <c r="Y42">
        <v>0</v>
      </c>
      <c r="Z42">
        <v>1</v>
      </c>
      <c r="AA42">
        <v>0</v>
      </c>
      <c r="AB42">
        <v>0</v>
      </c>
      <c r="AC42">
        <v>1</v>
      </c>
      <c r="AD42">
        <f t="shared" si="0"/>
        <v>882</v>
      </c>
      <c r="AF42">
        <v>1</v>
      </c>
      <c r="AG42">
        <v>0</v>
      </c>
      <c r="AH42">
        <v>0</v>
      </c>
      <c r="AI42">
        <v>0</v>
      </c>
      <c r="AO42">
        <v>6.0815999999999999</v>
      </c>
      <c r="AP42">
        <v>0</v>
      </c>
      <c r="AQ42">
        <v>882</v>
      </c>
      <c r="AR42">
        <v>85</v>
      </c>
      <c r="AS42">
        <v>338</v>
      </c>
      <c r="AW42" t="s">
        <v>223</v>
      </c>
      <c r="AX42" t="s">
        <v>60</v>
      </c>
    </row>
    <row r="43" spans="1:50" x14ac:dyDescent="0.45">
      <c r="A43">
        <v>10042</v>
      </c>
      <c r="B43">
        <v>1</v>
      </c>
      <c r="C43">
        <v>78.28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21.72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1</v>
      </c>
      <c r="Y43">
        <v>0</v>
      </c>
      <c r="Z43">
        <v>1</v>
      </c>
      <c r="AA43">
        <v>0</v>
      </c>
      <c r="AB43">
        <v>0</v>
      </c>
      <c r="AC43">
        <v>1</v>
      </c>
      <c r="AD43">
        <f t="shared" si="0"/>
        <v>882</v>
      </c>
      <c r="AF43">
        <v>1</v>
      </c>
      <c r="AG43">
        <v>0</v>
      </c>
      <c r="AH43">
        <v>0</v>
      </c>
      <c r="AI43">
        <v>0</v>
      </c>
      <c r="AO43">
        <v>6.0815999999999999</v>
      </c>
      <c r="AP43">
        <v>0</v>
      </c>
      <c r="AQ43">
        <v>882</v>
      </c>
      <c r="AR43">
        <v>72</v>
      </c>
      <c r="AS43">
        <v>382</v>
      </c>
      <c r="AW43" t="s">
        <v>224</v>
      </c>
      <c r="AX43" t="s">
        <v>60</v>
      </c>
    </row>
    <row r="44" spans="1:50" x14ac:dyDescent="0.45">
      <c r="A44">
        <v>10043</v>
      </c>
      <c r="B44">
        <v>1</v>
      </c>
      <c r="C44">
        <v>85.34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14.66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1</v>
      </c>
      <c r="Y44">
        <v>0</v>
      </c>
      <c r="Z44">
        <v>1</v>
      </c>
      <c r="AA44">
        <v>0</v>
      </c>
      <c r="AB44">
        <v>0</v>
      </c>
      <c r="AC44">
        <v>1</v>
      </c>
      <c r="AD44">
        <f t="shared" si="0"/>
        <v>882</v>
      </c>
      <c r="AF44">
        <v>1</v>
      </c>
      <c r="AG44">
        <v>0</v>
      </c>
      <c r="AH44">
        <v>0</v>
      </c>
      <c r="AI44">
        <v>0</v>
      </c>
      <c r="AO44">
        <v>4.1048</v>
      </c>
      <c r="AP44">
        <v>0</v>
      </c>
      <c r="AQ44">
        <v>882</v>
      </c>
      <c r="AR44">
        <v>64</v>
      </c>
      <c r="AS44">
        <v>456</v>
      </c>
      <c r="AX44" t="s">
        <v>60</v>
      </c>
    </row>
    <row r="45" spans="1:50" x14ac:dyDescent="0.45">
      <c r="A45">
        <v>10044</v>
      </c>
      <c r="B45">
        <v>1</v>
      </c>
      <c r="C45">
        <v>81.910000000000011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18.09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1</v>
      </c>
      <c r="Y45">
        <v>0</v>
      </c>
      <c r="Z45">
        <v>1</v>
      </c>
      <c r="AA45">
        <v>0</v>
      </c>
      <c r="AB45">
        <v>0</v>
      </c>
      <c r="AC45">
        <v>1</v>
      </c>
      <c r="AD45">
        <f t="shared" si="0"/>
        <v>882</v>
      </c>
      <c r="AF45">
        <v>1</v>
      </c>
      <c r="AG45">
        <v>0</v>
      </c>
      <c r="AH45">
        <v>0</v>
      </c>
      <c r="AI45">
        <v>0</v>
      </c>
      <c r="AO45">
        <v>5.0652000000000008</v>
      </c>
      <c r="AP45">
        <v>0</v>
      </c>
      <c r="AQ45">
        <v>882</v>
      </c>
      <c r="AR45">
        <v>79</v>
      </c>
      <c r="AS45">
        <v>327</v>
      </c>
      <c r="AX45" t="s">
        <v>60</v>
      </c>
    </row>
    <row r="46" spans="1:50" x14ac:dyDescent="0.45">
      <c r="A46">
        <v>10045</v>
      </c>
      <c r="B46">
        <v>1</v>
      </c>
      <c r="C46">
        <v>78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22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1</v>
      </c>
      <c r="Y46">
        <v>0</v>
      </c>
      <c r="Z46">
        <v>1</v>
      </c>
      <c r="AA46">
        <v>0</v>
      </c>
      <c r="AB46">
        <v>0</v>
      </c>
      <c r="AC46">
        <v>1</v>
      </c>
      <c r="AD46">
        <f t="shared" si="0"/>
        <v>882</v>
      </c>
      <c r="AF46">
        <v>1</v>
      </c>
      <c r="AG46">
        <v>0</v>
      </c>
      <c r="AH46">
        <v>0</v>
      </c>
      <c r="AI46">
        <v>0</v>
      </c>
      <c r="AO46">
        <v>6.16</v>
      </c>
      <c r="AP46">
        <v>0</v>
      </c>
      <c r="AQ46">
        <v>882</v>
      </c>
      <c r="AR46">
        <v>73</v>
      </c>
      <c r="AS46">
        <v>405</v>
      </c>
      <c r="AX46" t="s">
        <v>60</v>
      </c>
    </row>
    <row r="47" spans="1:50" x14ac:dyDescent="0.45">
      <c r="A47">
        <v>10046</v>
      </c>
      <c r="B47">
        <v>1</v>
      </c>
      <c r="C47">
        <v>74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26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1</v>
      </c>
      <c r="Y47">
        <v>0</v>
      </c>
      <c r="Z47">
        <v>1</v>
      </c>
      <c r="AA47">
        <v>0</v>
      </c>
      <c r="AB47">
        <v>0</v>
      </c>
      <c r="AC47">
        <v>1</v>
      </c>
      <c r="AD47">
        <f t="shared" si="0"/>
        <v>882</v>
      </c>
      <c r="AF47">
        <v>1</v>
      </c>
      <c r="AG47">
        <v>0</v>
      </c>
      <c r="AH47">
        <v>0</v>
      </c>
      <c r="AI47">
        <v>0</v>
      </c>
      <c r="AO47">
        <v>7.2800000000000011</v>
      </c>
      <c r="AP47">
        <v>0</v>
      </c>
      <c r="AQ47">
        <v>882</v>
      </c>
      <c r="AR47">
        <v>50</v>
      </c>
      <c r="AS47">
        <v>290</v>
      </c>
      <c r="AX47" t="s">
        <v>60</v>
      </c>
    </row>
    <row r="48" spans="1:50" x14ac:dyDescent="0.45">
      <c r="A48">
        <v>10047</v>
      </c>
      <c r="B48">
        <v>1</v>
      </c>
      <c r="C48">
        <v>74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26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Y48">
        <v>1</v>
      </c>
      <c r="Z48">
        <v>0</v>
      </c>
      <c r="AA48">
        <v>0</v>
      </c>
      <c r="AB48">
        <v>0</v>
      </c>
      <c r="AC48">
        <v>0</v>
      </c>
      <c r="AI48">
        <v>0</v>
      </c>
      <c r="AO48">
        <v>7.2800000000000011</v>
      </c>
      <c r="AP48">
        <v>0</v>
      </c>
      <c r="AQ48">
        <v>882</v>
      </c>
      <c r="AR48">
        <v>75</v>
      </c>
      <c r="AS48">
        <v>447</v>
      </c>
      <c r="AX48" t="s">
        <v>60</v>
      </c>
    </row>
    <row r="49" spans="1:44" x14ac:dyDescent="0.45">
      <c r="A49">
        <v>10048</v>
      </c>
      <c r="B49">
        <v>1</v>
      </c>
      <c r="C49">
        <v>76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24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Y49">
        <v>1</v>
      </c>
      <c r="Z49">
        <v>0</v>
      </c>
      <c r="AA49">
        <v>0</v>
      </c>
      <c r="AB49">
        <v>0</v>
      </c>
      <c r="AC49">
        <v>0</v>
      </c>
      <c r="AI49">
        <v>0</v>
      </c>
      <c r="AO49">
        <v>6.7200000000000006</v>
      </c>
      <c r="AP49">
        <v>0</v>
      </c>
      <c r="AQ49">
        <v>882</v>
      </c>
      <c r="AR49">
        <v>66.7</v>
      </c>
    </row>
    <row r="50" spans="1:44" x14ac:dyDescent="0.45">
      <c r="A50">
        <v>10049</v>
      </c>
      <c r="B50">
        <v>1</v>
      </c>
      <c r="C50">
        <v>92.85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7.15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Y50">
        <v>1</v>
      </c>
      <c r="Z50">
        <v>0</v>
      </c>
      <c r="AA50">
        <v>0</v>
      </c>
      <c r="AB50">
        <v>0</v>
      </c>
      <c r="AC50">
        <v>0</v>
      </c>
      <c r="AI50">
        <v>0</v>
      </c>
      <c r="AO50">
        <v>2.0020000000000002</v>
      </c>
      <c r="AP50">
        <v>0</v>
      </c>
      <c r="AQ50">
        <v>882</v>
      </c>
      <c r="AR50">
        <v>81.25</v>
      </c>
    </row>
    <row r="51" spans="1:44" x14ac:dyDescent="0.45">
      <c r="A51">
        <v>10050</v>
      </c>
      <c r="B51">
        <v>1</v>
      </c>
      <c r="C51">
        <v>83.31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16.690000000000001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Y51">
        <v>1</v>
      </c>
      <c r="Z51">
        <v>0</v>
      </c>
      <c r="AA51">
        <v>0</v>
      </c>
      <c r="AB51">
        <v>0</v>
      </c>
      <c r="AC51">
        <v>0</v>
      </c>
      <c r="AI51">
        <v>0</v>
      </c>
      <c r="AO51">
        <v>4.6732000000000005</v>
      </c>
      <c r="AP51">
        <v>0</v>
      </c>
      <c r="AQ51">
        <v>882</v>
      </c>
      <c r="AR51">
        <v>80.989999999999995</v>
      </c>
    </row>
    <row r="52" spans="1:44" x14ac:dyDescent="0.45">
      <c r="A52">
        <v>10051</v>
      </c>
      <c r="B52">
        <v>1</v>
      </c>
      <c r="C52">
        <v>90.9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9.1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Y52">
        <v>1</v>
      </c>
      <c r="Z52">
        <v>0</v>
      </c>
      <c r="AA52">
        <v>0</v>
      </c>
      <c r="AB52">
        <v>0</v>
      </c>
      <c r="AC52">
        <v>0</v>
      </c>
      <c r="AI52">
        <v>0</v>
      </c>
      <c r="AO52">
        <v>2.548</v>
      </c>
      <c r="AP52">
        <v>0</v>
      </c>
      <c r="AQ52">
        <v>882</v>
      </c>
      <c r="AR52">
        <v>92.7</v>
      </c>
    </row>
    <row r="53" spans="1:44" x14ac:dyDescent="0.45">
      <c r="A53">
        <v>10052</v>
      </c>
      <c r="B53">
        <v>1</v>
      </c>
      <c r="C53">
        <v>90.8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9.1999999999999993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Y53">
        <v>1</v>
      </c>
      <c r="Z53">
        <v>0</v>
      </c>
      <c r="AA53">
        <v>0</v>
      </c>
      <c r="AB53">
        <v>0</v>
      </c>
      <c r="AC53">
        <v>0</v>
      </c>
      <c r="AI53">
        <v>0</v>
      </c>
      <c r="AO53">
        <v>2.5760000000000001</v>
      </c>
      <c r="AP53">
        <v>0</v>
      </c>
      <c r="AQ53">
        <v>882</v>
      </c>
      <c r="AR53">
        <v>93.11</v>
      </c>
    </row>
    <row r="54" spans="1:44" x14ac:dyDescent="0.45">
      <c r="A54">
        <v>10053</v>
      </c>
      <c r="B54">
        <v>1</v>
      </c>
      <c r="C54">
        <v>82.65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17.350000000000001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Y54">
        <v>1</v>
      </c>
      <c r="Z54">
        <v>0</v>
      </c>
      <c r="AA54">
        <v>0</v>
      </c>
      <c r="AB54">
        <v>0</v>
      </c>
      <c r="AC54">
        <v>0</v>
      </c>
      <c r="AI54">
        <v>0</v>
      </c>
      <c r="AO54">
        <v>4.8580000000000005</v>
      </c>
      <c r="AP54">
        <v>0</v>
      </c>
      <c r="AQ54">
        <v>882</v>
      </c>
      <c r="AR54">
        <v>98.88</v>
      </c>
    </row>
    <row r="55" spans="1:44" x14ac:dyDescent="0.45">
      <c r="A55">
        <v>10054</v>
      </c>
      <c r="B55">
        <v>1</v>
      </c>
      <c r="C55">
        <v>72.5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27.5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Y55">
        <v>1</v>
      </c>
      <c r="Z55">
        <v>0</v>
      </c>
      <c r="AA55">
        <v>0</v>
      </c>
      <c r="AB55">
        <v>0</v>
      </c>
      <c r="AC55">
        <v>0</v>
      </c>
      <c r="AI55">
        <v>0</v>
      </c>
      <c r="AO55">
        <v>7.7000000000000011</v>
      </c>
      <c r="AP55">
        <v>0</v>
      </c>
      <c r="AQ55">
        <v>882</v>
      </c>
      <c r="AR55">
        <v>77.31</v>
      </c>
    </row>
    <row r="56" spans="1:44" x14ac:dyDescent="0.45">
      <c r="A56">
        <v>10055</v>
      </c>
      <c r="B56">
        <v>1</v>
      </c>
      <c r="C56">
        <v>71.349999999999994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28.65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Y56">
        <v>1</v>
      </c>
      <c r="Z56">
        <v>0</v>
      </c>
      <c r="AA56">
        <v>0</v>
      </c>
      <c r="AB56">
        <v>0</v>
      </c>
      <c r="AC56">
        <v>0</v>
      </c>
      <c r="AI56">
        <v>0</v>
      </c>
      <c r="AO56">
        <v>8.0220000000000002</v>
      </c>
      <c r="AP56">
        <v>0</v>
      </c>
      <c r="AQ56">
        <v>882</v>
      </c>
      <c r="AR56">
        <v>95.22</v>
      </c>
    </row>
    <row r="57" spans="1:44" x14ac:dyDescent="0.45">
      <c r="A57">
        <v>10056</v>
      </c>
      <c r="B57">
        <v>1</v>
      </c>
      <c r="C57">
        <v>98.7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1.3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Y57">
        <v>1</v>
      </c>
      <c r="Z57">
        <v>0</v>
      </c>
      <c r="AA57">
        <v>0</v>
      </c>
      <c r="AB57">
        <v>0</v>
      </c>
      <c r="AC57">
        <v>0</v>
      </c>
      <c r="AI57">
        <v>0</v>
      </c>
      <c r="AO57">
        <v>0.36400000000000005</v>
      </c>
      <c r="AP57">
        <v>0</v>
      </c>
      <c r="AQ57">
        <v>882</v>
      </c>
      <c r="AR57">
        <v>112.5</v>
      </c>
    </row>
    <row r="58" spans="1:44" x14ac:dyDescent="0.45">
      <c r="A58">
        <v>10057</v>
      </c>
      <c r="B58">
        <v>1</v>
      </c>
      <c r="C58">
        <v>97.9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2.1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Y58">
        <v>1</v>
      </c>
      <c r="Z58">
        <v>0</v>
      </c>
      <c r="AA58">
        <v>0</v>
      </c>
      <c r="AB58">
        <v>0</v>
      </c>
      <c r="AC58">
        <v>0</v>
      </c>
      <c r="AI58">
        <v>0</v>
      </c>
      <c r="AO58">
        <v>0.58800000000000008</v>
      </c>
      <c r="AP58">
        <v>0</v>
      </c>
      <c r="AQ58">
        <v>882</v>
      </c>
      <c r="AR58">
        <v>108</v>
      </c>
    </row>
    <row r="59" spans="1:44" x14ac:dyDescent="0.45">
      <c r="A59">
        <v>10058</v>
      </c>
      <c r="B59">
        <v>1</v>
      </c>
      <c r="C59">
        <v>94.59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5.41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Y59">
        <v>1</v>
      </c>
      <c r="Z59">
        <v>0</v>
      </c>
      <c r="AA59">
        <v>0</v>
      </c>
      <c r="AB59">
        <v>0</v>
      </c>
      <c r="AC59">
        <v>0</v>
      </c>
      <c r="AI59">
        <v>0</v>
      </c>
      <c r="AO59">
        <v>1.5148000000000001</v>
      </c>
      <c r="AP59">
        <v>0</v>
      </c>
      <c r="AQ59">
        <v>882</v>
      </c>
      <c r="AR59">
        <v>78.5</v>
      </c>
    </row>
    <row r="60" spans="1:44" x14ac:dyDescent="0.45">
      <c r="A60">
        <v>10059</v>
      </c>
      <c r="B60">
        <v>1</v>
      </c>
      <c r="C60">
        <v>91.67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8.33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Y60">
        <v>1</v>
      </c>
      <c r="Z60">
        <v>0</v>
      </c>
      <c r="AA60">
        <v>0</v>
      </c>
      <c r="AB60">
        <v>0</v>
      </c>
      <c r="AC60">
        <v>0</v>
      </c>
      <c r="AI60">
        <v>0</v>
      </c>
      <c r="AO60">
        <v>2.3324000000000003</v>
      </c>
      <c r="AP60">
        <v>0</v>
      </c>
      <c r="AQ60">
        <v>882</v>
      </c>
      <c r="AR60">
        <v>66.5</v>
      </c>
    </row>
    <row r="61" spans="1:44" x14ac:dyDescent="0.45">
      <c r="A61">
        <v>10060</v>
      </c>
      <c r="B61">
        <v>1</v>
      </c>
      <c r="C61">
        <v>90.45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9.5500000000000007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Y61">
        <v>1</v>
      </c>
      <c r="Z61">
        <v>0</v>
      </c>
      <c r="AA61">
        <v>0</v>
      </c>
      <c r="AB61">
        <v>0</v>
      </c>
      <c r="AC61">
        <v>0</v>
      </c>
      <c r="AI61">
        <v>0</v>
      </c>
      <c r="AO61">
        <v>2.6740000000000004</v>
      </c>
      <c r="AP61">
        <v>0</v>
      </c>
      <c r="AQ61">
        <v>882</v>
      </c>
      <c r="AR61">
        <v>66</v>
      </c>
    </row>
    <row r="62" spans="1:44" x14ac:dyDescent="0.45">
      <c r="A62">
        <v>10061</v>
      </c>
      <c r="B62">
        <v>1</v>
      </c>
      <c r="C62">
        <v>88.59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11.41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Y62">
        <v>1</v>
      </c>
      <c r="Z62">
        <v>0</v>
      </c>
      <c r="AA62">
        <v>0</v>
      </c>
      <c r="AB62">
        <v>0</v>
      </c>
      <c r="AC62">
        <v>0</v>
      </c>
      <c r="AI62">
        <v>0</v>
      </c>
      <c r="AO62">
        <v>3.1948000000000003</v>
      </c>
      <c r="AP62">
        <v>0</v>
      </c>
      <c r="AQ62">
        <v>882</v>
      </c>
      <c r="AR62">
        <v>78.5</v>
      </c>
    </row>
    <row r="63" spans="1:44" x14ac:dyDescent="0.45">
      <c r="A63">
        <v>10062</v>
      </c>
      <c r="B63">
        <v>1</v>
      </c>
      <c r="C63">
        <v>81.91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18.09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Y63">
        <v>1</v>
      </c>
      <c r="Z63">
        <v>0</v>
      </c>
      <c r="AA63">
        <v>0</v>
      </c>
      <c r="AB63">
        <v>0</v>
      </c>
      <c r="AC63">
        <v>0</v>
      </c>
      <c r="AI63">
        <v>0</v>
      </c>
      <c r="AO63">
        <v>5.0652000000000008</v>
      </c>
      <c r="AP63">
        <v>0</v>
      </c>
      <c r="AQ63">
        <v>882</v>
      </c>
      <c r="AR63">
        <v>93.5</v>
      </c>
    </row>
    <row r="64" spans="1:44" x14ac:dyDescent="0.45">
      <c r="A64">
        <v>10063</v>
      </c>
      <c r="B64">
        <v>1</v>
      </c>
      <c r="C64">
        <v>74.430000000000007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25.57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Y64">
        <v>1</v>
      </c>
      <c r="Z64">
        <v>0</v>
      </c>
      <c r="AA64">
        <v>0</v>
      </c>
      <c r="AB64">
        <v>0</v>
      </c>
      <c r="AC64">
        <v>0</v>
      </c>
      <c r="AI64">
        <v>0</v>
      </c>
      <c r="AO64">
        <v>7.1596000000000011</v>
      </c>
      <c r="AP64">
        <v>0</v>
      </c>
      <c r="AQ64">
        <v>882</v>
      </c>
      <c r="AR64">
        <v>67</v>
      </c>
    </row>
    <row r="65" spans="1:44" x14ac:dyDescent="0.45">
      <c r="A65">
        <v>10064</v>
      </c>
      <c r="B65">
        <v>1</v>
      </c>
      <c r="C65">
        <v>70.349999999999994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29.65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Y65">
        <v>1</v>
      </c>
      <c r="Z65">
        <v>0</v>
      </c>
      <c r="AA65">
        <v>0</v>
      </c>
      <c r="AB65">
        <v>0</v>
      </c>
      <c r="AC65">
        <v>0</v>
      </c>
      <c r="AI65">
        <v>0</v>
      </c>
      <c r="AO65">
        <v>8.3019999999999996</v>
      </c>
      <c r="AP65">
        <v>0</v>
      </c>
      <c r="AQ65">
        <v>882</v>
      </c>
      <c r="AR65">
        <v>67.5</v>
      </c>
    </row>
    <row r="66" spans="1:44" x14ac:dyDescent="0.45">
      <c r="A66">
        <v>10065</v>
      </c>
      <c r="B66">
        <v>1</v>
      </c>
      <c r="C66">
        <v>66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34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Y66">
        <v>1</v>
      </c>
      <c r="Z66">
        <v>0</v>
      </c>
      <c r="AA66">
        <v>0</v>
      </c>
      <c r="AB66">
        <v>0</v>
      </c>
      <c r="AC66">
        <v>0</v>
      </c>
      <c r="AI66">
        <v>0</v>
      </c>
      <c r="AO66">
        <v>9.5200000000000014</v>
      </c>
      <c r="AP66">
        <v>0</v>
      </c>
      <c r="AQ66">
        <v>882</v>
      </c>
      <c r="AR66">
        <v>74.5</v>
      </c>
    </row>
    <row r="67" spans="1:44" x14ac:dyDescent="0.45">
      <c r="A67">
        <v>10066</v>
      </c>
      <c r="B67">
        <v>1</v>
      </c>
      <c r="C67">
        <v>56.41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43.59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Y67">
        <v>1</v>
      </c>
      <c r="Z67">
        <v>0</v>
      </c>
      <c r="AA67">
        <v>0</v>
      </c>
      <c r="AB67">
        <v>0</v>
      </c>
      <c r="AC67">
        <v>0</v>
      </c>
      <c r="AI67">
        <v>0</v>
      </c>
      <c r="AO67">
        <v>12.205200000000001</v>
      </c>
      <c r="AP67">
        <v>0</v>
      </c>
      <c r="AQ67">
        <v>882</v>
      </c>
      <c r="AR67">
        <v>84</v>
      </c>
    </row>
    <row r="68" spans="1:44" x14ac:dyDescent="0.45">
      <c r="A68">
        <v>10067</v>
      </c>
      <c r="B68">
        <v>1</v>
      </c>
      <c r="C68">
        <v>77.53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22.47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Y68">
        <v>1</v>
      </c>
      <c r="Z68">
        <v>0</v>
      </c>
      <c r="AA68">
        <v>0</v>
      </c>
      <c r="AB68">
        <v>0</v>
      </c>
      <c r="AC68">
        <v>0</v>
      </c>
      <c r="AI68">
        <v>0</v>
      </c>
      <c r="AO68">
        <v>6.2915999999999999</v>
      </c>
      <c r="AP68">
        <v>0</v>
      </c>
      <c r="AQ68">
        <v>882</v>
      </c>
      <c r="AR68">
        <v>72</v>
      </c>
    </row>
    <row r="69" spans="1:44" x14ac:dyDescent="0.45">
      <c r="A69">
        <v>10068</v>
      </c>
      <c r="B69">
        <v>1</v>
      </c>
      <c r="C69">
        <v>74.430000000000007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25.57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Y69">
        <v>1</v>
      </c>
      <c r="Z69">
        <v>0</v>
      </c>
      <c r="AA69">
        <v>0</v>
      </c>
      <c r="AB69">
        <v>0</v>
      </c>
      <c r="AC69">
        <v>0</v>
      </c>
      <c r="AI69">
        <v>0</v>
      </c>
      <c r="AO69">
        <v>7.1596000000000011</v>
      </c>
      <c r="AP69">
        <v>0</v>
      </c>
      <c r="AQ69">
        <v>882</v>
      </c>
      <c r="AR69">
        <v>61</v>
      </c>
    </row>
    <row r="70" spans="1:44" x14ac:dyDescent="0.45">
      <c r="A70">
        <v>10069</v>
      </c>
      <c r="B70">
        <v>1</v>
      </c>
      <c r="C70">
        <v>72.83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27.17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Y70">
        <v>1</v>
      </c>
      <c r="Z70">
        <v>0</v>
      </c>
      <c r="AA70">
        <v>0</v>
      </c>
      <c r="AB70">
        <v>0</v>
      </c>
      <c r="AC70">
        <v>0</v>
      </c>
      <c r="AI70">
        <v>0</v>
      </c>
      <c r="AO70">
        <v>7.6076000000000015</v>
      </c>
      <c r="AP70">
        <v>0</v>
      </c>
      <c r="AQ70">
        <v>882</v>
      </c>
      <c r="AR70">
        <v>62</v>
      </c>
    </row>
    <row r="71" spans="1:44" x14ac:dyDescent="0.45">
      <c r="A71">
        <v>10070</v>
      </c>
      <c r="B71">
        <v>1</v>
      </c>
      <c r="C71">
        <v>70.25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29.75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Y71">
        <v>1</v>
      </c>
      <c r="Z71">
        <v>0</v>
      </c>
      <c r="AA71">
        <v>0</v>
      </c>
      <c r="AB71">
        <v>0</v>
      </c>
      <c r="AC71">
        <v>0</v>
      </c>
      <c r="AI71">
        <v>0</v>
      </c>
      <c r="AO71">
        <v>8.33</v>
      </c>
      <c r="AP71">
        <v>0</v>
      </c>
      <c r="AQ71">
        <v>882</v>
      </c>
      <c r="AR71">
        <v>65</v>
      </c>
    </row>
    <row r="72" spans="1:44" x14ac:dyDescent="0.45">
      <c r="A72">
        <v>10071</v>
      </c>
      <c r="B72">
        <v>1</v>
      </c>
      <c r="C72">
        <v>70.180000000000007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29.82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Y72">
        <v>1</v>
      </c>
      <c r="Z72">
        <v>0</v>
      </c>
      <c r="AA72">
        <v>0</v>
      </c>
      <c r="AB72">
        <v>0</v>
      </c>
      <c r="AC72">
        <v>0</v>
      </c>
      <c r="AI72">
        <v>0</v>
      </c>
      <c r="AO72">
        <v>8.3496000000000006</v>
      </c>
      <c r="AP72">
        <v>0</v>
      </c>
      <c r="AQ72">
        <v>882</v>
      </c>
      <c r="AR72">
        <v>64.3</v>
      </c>
    </row>
    <row r="73" spans="1:44" x14ac:dyDescent="0.45">
      <c r="A73">
        <v>10072</v>
      </c>
      <c r="B73">
        <v>1</v>
      </c>
      <c r="C73">
        <v>80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20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Y73">
        <v>1</v>
      </c>
      <c r="Z73">
        <v>0</v>
      </c>
      <c r="AA73">
        <v>0</v>
      </c>
      <c r="AB73">
        <v>0</v>
      </c>
      <c r="AC73">
        <v>0</v>
      </c>
      <c r="AI73">
        <v>0</v>
      </c>
      <c r="AO73">
        <v>5.6000000000000005</v>
      </c>
      <c r="AP73">
        <v>0</v>
      </c>
      <c r="AQ73">
        <v>882</v>
      </c>
      <c r="AR73">
        <v>61.4</v>
      </c>
    </row>
    <row r="74" spans="1:44" x14ac:dyDescent="0.45">
      <c r="A74">
        <v>10073</v>
      </c>
      <c r="B74">
        <v>1</v>
      </c>
      <c r="C74">
        <v>74.489999999999995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25.51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Y74">
        <v>1</v>
      </c>
      <c r="Z74">
        <v>0</v>
      </c>
      <c r="AA74">
        <v>0</v>
      </c>
      <c r="AB74">
        <v>0</v>
      </c>
      <c r="AC74">
        <v>0</v>
      </c>
      <c r="AI74">
        <v>0</v>
      </c>
      <c r="AO74">
        <v>7.1428000000000011</v>
      </c>
      <c r="AP74">
        <v>0</v>
      </c>
      <c r="AQ74">
        <v>882</v>
      </c>
      <c r="AR74">
        <v>65</v>
      </c>
    </row>
    <row r="75" spans="1:44" x14ac:dyDescent="0.45">
      <c r="A75">
        <v>10074</v>
      </c>
      <c r="B75">
        <v>1</v>
      </c>
      <c r="C75">
        <v>43.59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56.41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Y75">
        <v>1</v>
      </c>
      <c r="Z75">
        <v>0</v>
      </c>
      <c r="AA75">
        <v>0</v>
      </c>
      <c r="AB75">
        <v>0</v>
      </c>
      <c r="AC75">
        <v>0</v>
      </c>
      <c r="AI75">
        <v>0</v>
      </c>
      <c r="AO75">
        <v>15.7948</v>
      </c>
      <c r="AP75">
        <v>0</v>
      </c>
      <c r="AQ75">
        <v>882</v>
      </c>
      <c r="AR75">
        <v>54</v>
      </c>
    </row>
    <row r="76" spans="1:44" x14ac:dyDescent="0.45">
      <c r="A76">
        <v>10075</v>
      </c>
      <c r="B76">
        <v>1</v>
      </c>
      <c r="C76">
        <v>73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27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Y76">
        <v>1</v>
      </c>
      <c r="Z76">
        <v>0</v>
      </c>
      <c r="AA76">
        <v>0</v>
      </c>
      <c r="AB76">
        <v>0</v>
      </c>
      <c r="AC76">
        <v>0</v>
      </c>
      <c r="AI76">
        <v>0</v>
      </c>
      <c r="AO76">
        <v>7.5600000000000005</v>
      </c>
      <c r="AP76">
        <v>0</v>
      </c>
      <c r="AQ76">
        <v>882</v>
      </c>
      <c r="AR76">
        <v>67.099999999999994</v>
      </c>
    </row>
    <row r="77" spans="1:44" x14ac:dyDescent="0.45">
      <c r="A77">
        <v>10076</v>
      </c>
      <c r="B77">
        <v>1</v>
      </c>
      <c r="C77">
        <v>72.739999999999995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27.26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Y77">
        <v>1</v>
      </c>
      <c r="Z77">
        <v>0</v>
      </c>
      <c r="AA77">
        <v>0</v>
      </c>
      <c r="AB77">
        <v>0</v>
      </c>
      <c r="AC77">
        <v>0</v>
      </c>
      <c r="AI77">
        <v>0</v>
      </c>
      <c r="AO77">
        <v>7.6328000000000014</v>
      </c>
      <c r="AP77">
        <v>0</v>
      </c>
      <c r="AQ77">
        <v>882</v>
      </c>
      <c r="AR77">
        <v>55</v>
      </c>
    </row>
    <row r="78" spans="1:44" x14ac:dyDescent="0.45">
      <c r="A78">
        <v>10077</v>
      </c>
      <c r="B78">
        <v>1</v>
      </c>
      <c r="C78">
        <v>76.849999999999994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23.15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Y78">
        <v>1</v>
      </c>
      <c r="Z78">
        <v>0</v>
      </c>
      <c r="AA78">
        <v>0</v>
      </c>
      <c r="AB78">
        <v>0</v>
      </c>
      <c r="AC78">
        <v>0</v>
      </c>
      <c r="AI78">
        <v>0</v>
      </c>
      <c r="AO78">
        <v>6.4820000000000002</v>
      </c>
      <c r="AP78">
        <v>0</v>
      </c>
      <c r="AQ78">
        <v>882</v>
      </c>
      <c r="AR78">
        <v>65</v>
      </c>
    </row>
    <row r="79" spans="1:44" x14ac:dyDescent="0.45">
      <c r="A79">
        <v>10078</v>
      </c>
      <c r="B79">
        <v>1</v>
      </c>
      <c r="C79">
        <v>71.180000000000007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28.82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Y79">
        <v>1</v>
      </c>
      <c r="Z79">
        <v>0</v>
      </c>
      <c r="AA79">
        <v>0</v>
      </c>
      <c r="AB79">
        <v>0</v>
      </c>
      <c r="AC79">
        <v>0</v>
      </c>
      <c r="AI79">
        <v>0</v>
      </c>
      <c r="AO79">
        <v>8.0696000000000012</v>
      </c>
      <c r="AP79">
        <v>0</v>
      </c>
      <c r="AQ79">
        <v>882</v>
      </c>
      <c r="AR79">
        <v>62</v>
      </c>
    </row>
    <row r="80" spans="1:44" x14ac:dyDescent="0.45">
      <c r="A80">
        <v>10079</v>
      </c>
      <c r="B80">
        <v>1</v>
      </c>
      <c r="C80">
        <v>78.28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21.72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Y80">
        <v>1</v>
      </c>
      <c r="Z80">
        <v>0</v>
      </c>
      <c r="AA80">
        <v>0</v>
      </c>
      <c r="AB80">
        <v>0</v>
      </c>
      <c r="AC80">
        <v>0</v>
      </c>
      <c r="AI80">
        <v>0</v>
      </c>
      <c r="AO80">
        <v>6.0815999999999999</v>
      </c>
      <c r="AP80">
        <v>0</v>
      </c>
      <c r="AQ80">
        <v>882</v>
      </c>
      <c r="AR80">
        <v>69</v>
      </c>
    </row>
    <row r="81" spans="1:50" x14ac:dyDescent="0.45">
      <c r="A81">
        <v>10080</v>
      </c>
      <c r="B81">
        <v>1</v>
      </c>
      <c r="C81">
        <v>76.849999999999994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23.15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Y81">
        <v>1</v>
      </c>
      <c r="Z81">
        <v>0</v>
      </c>
      <c r="AA81">
        <v>0</v>
      </c>
      <c r="AB81">
        <v>0</v>
      </c>
      <c r="AC81">
        <v>0</v>
      </c>
      <c r="AI81">
        <v>0</v>
      </c>
      <c r="AO81">
        <v>6.4820000000000002</v>
      </c>
      <c r="AP81">
        <v>0</v>
      </c>
      <c r="AQ81">
        <v>882</v>
      </c>
      <c r="AR81">
        <v>65</v>
      </c>
    </row>
    <row r="82" spans="1:50" x14ac:dyDescent="0.45">
      <c r="A82">
        <v>10081</v>
      </c>
      <c r="B82">
        <v>1</v>
      </c>
      <c r="C82">
        <v>70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30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Y82">
        <v>1</v>
      </c>
      <c r="Z82">
        <v>0</v>
      </c>
      <c r="AA82">
        <v>0</v>
      </c>
      <c r="AB82">
        <v>0</v>
      </c>
      <c r="AC82">
        <v>1</v>
      </c>
      <c r="AD82">
        <v>950</v>
      </c>
      <c r="AE82">
        <v>1</v>
      </c>
      <c r="AF82">
        <v>1</v>
      </c>
      <c r="AG82">
        <v>0</v>
      </c>
      <c r="AH82">
        <v>0</v>
      </c>
      <c r="AI82">
        <v>0</v>
      </c>
      <c r="AO82">
        <v>6.6</v>
      </c>
      <c r="AP82">
        <v>0</v>
      </c>
      <c r="AQ82">
        <v>882</v>
      </c>
      <c r="AT82">
        <v>587</v>
      </c>
      <c r="AU82">
        <v>20.97</v>
      </c>
      <c r="AX82" t="s">
        <v>109</v>
      </c>
    </row>
    <row r="83" spans="1:50" x14ac:dyDescent="0.45">
      <c r="A83">
        <v>10082</v>
      </c>
      <c r="B83">
        <v>1</v>
      </c>
      <c r="C83">
        <v>70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30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Y83">
        <v>1</v>
      </c>
      <c r="Z83">
        <v>0</v>
      </c>
      <c r="AA83">
        <v>0</v>
      </c>
      <c r="AB83">
        <v>0</v>
      </c>
      <c r="AC83">
        <v>1</v>
      </c>
      <c r="AD83">
        <v>950</v>
      </c>
      <c r="AE83">
        <v>1</v>
      </c>
      <c r="AF83">
        <v>1</v>
      </c>
      <c r="AG83">
        <v>0</v>
      </c>
      <c r="AH83">
        <v>0</v>
      </c>
      <c r="AI83">
        <v>1</v>
      </c>
      <c r="AJ83">
        <v>500</v>
      </c>
      <c r="AK83">
        <v>72</v>
      </c>
      <c r="AL83">
        <v>1</v>
      </c>
      <c r="AM83">
        <v>0</v>
      </c>
      <c r="AN83">
        <v>0</v>
      </c>
      <c r="AO83">
        <v>6.6</v>
      </c>
      <c r="AP83">
        <v>0</v>
      </c>
      <c r="AQ83">
        <v>882</v>
      </c>
      <c r="AT83">
        <v>891</v>
      </c>
      <c r="AU83">
        <v>9.32</v>
      </c>
      <c r="AX83" t="s">
        <v>109</v>
      </c>
    </row>
    <row r="84" spans="1:50" x14ac:dyDescent="0.45">
      <c r="A84">
        <v>10083</v>
      </c>
      <c r="B84">
        <v>1</v>
      </c>
      <c r="C84">
        <v>70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30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Y84">
        <v>1</v>
      </c>
      <c r="Z84">
        <v>0</v>
      </c>
      <c r="AA84">
        <v>0</v>
      </c>
      <c r="AB84">
        <v>0</v>
      </c>
      <c r="AC84">
        <v>1</v>
      </c>
      <c r="AD84">
        <v>950</v>
      </c>
      <c r="AE84">
        <v>1</v>
      </c>
      <c r="AF84">
        <v>1</v>
      </c>
      <c r="AG84">
        <v>0</v>
      </c>
      <c r="AH84">
        <v>0</v>
      </c>
      <c r="AI84">
        <v>1</v>
      </c>
      <c r="AJ84">
        <v>600</v>
      </c>
      <c r="AK84">
        <v>72</v>
      </c>
      <c r="AL84">
        <v>1</v>
      </c>
      <c r="AM84">
        <v>0</v>
      </c>
      <c r="AN84">
        <v>0</v>
      </c>
      <c r="AO84">
        <v>6.6</v>
      </c>
      <c r="AP84">
        <v>0</v>
      </c>
      <c r="AQ84">
        <v>882</v>
      </c>
      <c r="AT84">
        <v>761</v>
      </c>
      <c r="AU84">
        <v>11.93</v>
      </c>
      <c r="AX84" t="s">
        <v>109</v>
      </c>
    </row>
    <row r="85" spans="1:50" x14ac:dyDescent="0.45">
      <c r="A85">
        <v>10084</v>
      </c>
      <c r="B85">
        <v>1</v>
      </c>
      <c r="C85">
        <v>50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50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Y85">
        <v>1</v>
      </c>
      <c r="Z85">
        <v>0</v>
      </c>
      <c r="AA85">
        <v>0</v>
      </c>
      <c r="AB85">
        <v>0</v>
      </c>
      <c r="AC85">
        <v>1</v>
      </c>
      <c r="AD85">
        <v>950</v>
      </c>
      <c r="AE85">
        <v>1</v>
      </c>
      <c r="AF85">
        <v>1</v>
      </c>
      <c r="AG85">
        <v>0</v>
      </c>
      <c r="AH85">
        <v>0</v>
      </c>
      <c r="AI85">
        <v>0</v>
      </c>
      <c r="AO85">
        <v>11</v>
      </c>
      <c r="AP85">
        <v>0</v>
      </c>
      <c r="AQ85">
        <v>882</v>
      </c>
      <c r="AT85">
        <v>582</v>
      </c>
      <c r="AU85">
        <v>22.97</v>
      </c>
      <c r="AX85" t="s">
        <v>109</v>
      </c>
    </row>
    <row r="86" spans="1:50" x14ac:dyDescent="0.45">
      <c r="A86">
        <v>10085</v>
      </c>
      <c r="B86">
        <v>1</v>
      </c>
      <c r="C86">
        <v>50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50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Y86">
        <v>1</v>
      </c>
      <c r="Z86">
        <v>0</v>
      </c>
      <c r="AA86">
        <v>0</v>
      </c>
      <c r="AB86">
        <v>0</v>
      </c>
      <c r="AC86">
        <v>1</v>
      </c>
      <c r="AD86">
        <v>950</v>
      </c>
      <c r="AE86">
        <v>1</v>
      </c>
      <c r="AF86">
        <v>1</v>
      </c>
      <c r="AG86">
        <v>0</v>
      </c>
      <c r="AH86">
        <v>0</v>
      </c>
      <c r="AI86">
        <v>1</v>
      </c>
      <c r="AJ86">
        <v>500</v>
      </c>
      <c r="AK86">
        <v>72</v>
      </c>
      <c r="AL86">
        <v>1</v>
      </c>
      <c r="AM86">
        <v>0</v>
      </c>
      <c r="AN86">
        <v>0</v>
      </c>
      <c r="AO86">
        <v>11</v>
      </c>
      <c r="AP86">
        <v>0</v>
      </c>
      <c r="AQ86">
        <v>882</v>
      </c>
      <c r="AT86">
        <v>1029</v>
      </c>
      <c r="AU86">
        <v>10.38</v>
      </c>
      <c r="AX86" t="s">
        <v>109</v>
      </c>
    </row>
    <row r="87" spans="1:50" x14ac:dyDescent="0.45">
      <c r="A87">
        <v>10086</v>
      </c>
      <c r="B87">
        <v>1</v>
      </c>
      <c r="C87">
        <v>50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50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Y87">
        <v>1</v>
      </c>
      <c r="Z87">
        <v>0</v>
      </c>
      <c r="AA87">
        <v>0</v>
      </c>
      <c r="AB87">
        <v>0</v>
      </c>
      <c r="AC87">
        <v>1</v>
      </c>
      <c r="AD87">
        <v>950</v>
      </c>
      <c r="AE87">
        <v>1</v>
      </c>
      <c r="AF87">
        <v>1</v>
      </c>
      <c r="AG87">
        <v>0</v>
      </c>
      <c r="AH87">
        <v>0</v>
      </c>
      <c r="AI87">
        <v>1</v>
      </c>
      <c r="AJ87">
        <v>600</v>
      </c>
      <c r="AK87">
        <v>72</v>
      </c>
      <c r="AL87">
        <v>1</v>
      </c>
      <c r="AM87">
        <v>0</v>
      </c>
      <c r="AN87">
        <v>0</v>
      </c>
      <c r="AO87">
        <v>11</v>
      </c>
      <c r="AP87">
        <v>0</v>
      </c>
      <c r="AQ87">
        <v>882</v>
      </c>
      <c r="AT87">
        <v>988</v>
      </c>
      <c r="AU87">
        <v>10.63</v>
      </c>
      <c r="AX87" t="s">
        <v>109</v>
      </c>
    </row>
    <row r="88" spans="1:50" x14ac:dyDescent="0.45">
      <c r="A88">
        <v>10087</v>
      </c>
      <c r="B88">
        <v>1</v>
      </c>
      <c r="C88">
        <v>97.14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2.86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1</v>
      </c>
      <c r="Y88">
        <v>0</v>
      </c>
      <c r="Z88">
        <v>1</v>
      </c>
      <c r="AA88">
        <v>0</v>
      </c>
      <c r="AB88">
        <v>0</v>
      </c>
      <c r="AC88">
        <v>1</v>
      </c>
      <c r="AD88">
        <f>AQ88</f>
        <v>882</v>
      </c>
      <c r="AF88">
        <v>1</v>
      </c>
      <c r="AG88">
        <v>0</v>
      </c>
      <c r="AH88">
        <v>0</v>
      </c>
      <c r="AI88">
        <v>0</v>
      </c>
      <c r="AO88">
        <v>0.62919999999999998</v>
      </c>
      <c r="AP88">
        <v>0</v>
      </c>
      <c r="AQ88">
        <v>882</v>
      </c>
      <c r="AR88">
        <v>100</v>
      </c>
      <c r="AS88">
        <v>396</v>
      </c>
      <c r="AX88" t="s">
        <v>60</v>
      </c>
    </row>
    <row r="89" spans="1:50" x14ac:dyDescent="0.45">
      <c r="A89">
        <v>10088</v>
      </c>
      <c r="B89">
        <v>1</v>
      </c>
      <c r="C89">
        <v>89.82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10.18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Y89">
        <v>0</v>
      </c>
      <c r="Z89">
        <v>1</v>
      </c>
      <c r="AA89">
        <v>0</v>
      </c>
      <c r="AB89">
        <v>0</v>
      </c>
      <c r="AC89">
        <v>1</v>
      </c>
      <c r="AD89">
        <f>AQ89</f>
        <v>882</v>
      </c>
      <c r="AF89">
        <v>1</v>
      </c>
      <c r="AG89">
        <v>0</v>
      </c>
      <c r="AH89">
        <v>0</v>
      </c>
      <c r="AI89">
        <v>0</v>
      </c>
      <c r="AO89">
        <v>2.2395999999999998</v>
      </c>
      <c r="AP89">
        <v>0</v>
      </c>
      <c r="AQ89">
        <v>882</v>
      </c>
      <c r="AR89">
        <v>69</v>
      </c>
      <c r="AS89">
        <v>441</v>
      </c>
      <c r="AX89" t="s">
        <v>60</v>
      </c>
    </row>
    <row r="90" spans="1:50" x14ac:dyDescent="0.45">
      <c r="A90">
        <v>10089</v>
      </c>
      <c r="B90">
        <v>1</v>
      </c>
      <c r="C90">
        <v>79.08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20.919999999999998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Y90">
        <v>0</v>
      </c>
      <c r="Z90">
        <v>1</v>
      </c>
      <c r="AA90">
        <v>0</v>
      </c>
      <c r="AB90">
        <v>0</v>
      </c>
      <c r="AC90">
        <v>1</v>
      </c>
      <c r="AD90">
        <f>AQ90</f>
        <v>882</v>
      </c>
      <c r="AF90">
        <v>1</v>
      </c>
      <c r="AG90">
        <v>0</v>
      </c>
      <c r="AH90">
        <v>0</v>
      </c>
      <c r="AI90">
        <v>0</v>
      </c>
      <c r="AO90">
        <v>4.6023999999999994</v>
      </c>
      <c r="AP90">
        <v>0</v>
      </c>
      <c r="AQ90">
        <v>882</v>
      </c>
      <c r="AR90">
        <v>88</v>
      </c>
      <c r="AS90">
        <v>379</v>
      </c>
      <c r="AX90" t="s">
        <v>60</v>
      </c>
    </row>
    <row r="91" spans="1:50" x14ac:dyDescent="0.45">
      <c r="A91">
        <v>10090</v>
      </c>
      <c r="B91">
        <v>1</v>
      </c>
      <c r="C91">
        <v>61.83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38.17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Y91">
        <v>0</v>
      </c>
      <c r="Z91">
        <v>1</v>
      </c>
      <c r="AA91">
        <v>0</v>
      </c>
      <c r="AB91">
        <v>0</v>
      </c>
      <c r="AC91">
        <v>1</v>
      </c>
      <c r="AD91">
        <f>AQ91</f>
        <v>882</v>
      </c>
      <c r="AF91">
        <v>1</v>
      </c>
      <c r="AG91">
        <v>0</v>
      </c>
      <c r="AH91">
        <v>0</v>
      </c>
      <c r="AI91">
        <v>0</v>
      </c>
      <c r="AO91">
        <v>8.3974000000000011</v>
      </c>
      <c r="AP91">
        <v>0</v>
      </c>
      <c r="AQ91">
        <v>882</v>
      </c>
      <c r="AR91">
        <v>67</v>
      </c>
      <c r="AS91">
        <v>373</v>
      </c>
      <c r="AX91" t="s">
        <v>60</v>
      </c>
    </row>
    <row r="92" spans="1:50" x14ac:dyDescent="0.45">
      <c r="A92">
        <v>10091</v>
      </c>
      <c r="B92">
        <v>1</v>
      </c>
      <c r="C92">
        <v>86.02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13.98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Y92">
        <v>1</v>
      </c>
      <c r="Z92">
        <v>0</v>
      </c>
      <c r="AA92">
        <v>0</v>
      </c>
      <c r="AB92">
        <v>0</v>
      </c>
      <c r="AC92">
        <v>1</v>
      </c>
      <c r="AD92">
        <v>900</v>
      </c>
      <c r="AE92">
        <v>1.67E-2</v>
      </c>
      <c r="AF92">
        <v>1</v>
      </c>
      <c r="AG92">
        <v>0</v>
      </c>
      <c r="AH92">
        <v>0</v>
      </c>
      <c r="AI92">
        <v>0</v>
      </c>
      <c r="AO92">
        <v>13.98</v>
      </c>
      <c r="AP92">
        <v>0</v>
      </c>
      <c r="AQ92">
        <v>749.19</v>
      </c>
      <c r="AT92">
        <v>1153</v>
      </c>
      <c r="AU92">
        <v>8.18</v>
      </c>
      <c r="AX92" t="s">
        <v>61</v>
      </c>
    </row>
    <row r="93" spans="1:50" x14ac:dyDescent="0.45">
      <c r="A93">
        <v>10092</v>
      </c>
      <c r="B93">
        <v>1</v>
      </c>
      <c r="C93">
        <v>86.02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13.98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Y93">
        <v>1</v>
      </c>
      <c r="Z93">
        <v>0</v>
      </c>
      <c r="AA93">
        <v>0</v>
      </c>
      <c r="AB93">
        <v>0</v>
      </c>
      <c r="AC93">
        <v>1</v>
      </c>
      <c r="AD93">
        <v>900</v>
      </c>
      <c r="AE93">
        <v>0.05</v>
      </c>
      <c r="AF93">
        <v>1</v>
      </c>
      <c r="AG93">
        <v>0</v>
      </c>
      <c r="AH93">
        <v>0</v>
      </c>
      <c r="AI93">
        <v>0</v>
      </c>
      <c r="AO93">
        <v>13.98</v>
      </c>
      <c r="AP93">
        <v>0</v>
      </c>
      <c r="AQ93">
        <v>749.19</v>
      </c>
      <c r="AT93">
        <v>938</v>
      </c>
      <c r="AU93">
        <v>27.2</v>
      </c>
      <c r="AX93" t="s">
        <v>61</v>
      </c>
    </row>
    <row r="94" spans="1:50" x14ac:dyDescent="0.45">
      <c r="A94">
        <v>10093</v>
      </c>
      <c r="B94">
        <v>1</v>
      </c>
      <c r="C94">
        <v>86.02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13.98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Y94">
        <v>1</v>
      </c>
      <c r="Z94">
        <v>0</v>
      </c>
      <c r="AA94">
        <v>0</v>
      </c>
      <c r="AB94">
        <v>0</v>
      </c>
      <c r="AC94">
        <v>1</v>
      </c>
      <c r="AD94">
        <v>900</v>
      </c>
      <c r="AE94">
        <v>8.3000000000000004E-2</v>
      </c>
      <c r="AF94">
        <v>1</v>
      </c>
      <c r="AG94">
        <v>0</v>
      </c>
      <c r="AH94">
        <v>0</v>
      </c>
      <c r="AI94">
        <v>0</v>
      </c>
      <c r="AO94">
        <v>13.98</v>
      </c>
      <c r="AP94">
        <v>0</v>
      </c>
      <c r="AQ94">
        <v>749.19</v>
      </c>
      <c r="AT94">
        <v>924</v>
      </c>
      <c r="AU94">
        <v>28.2</v>
      </c>
      <c r="AX94" t="s">
        <v>61</v>
      </c>
    </row>
    <row r="95" spans="1:50" x14ac:dyDescent="0.45">
      <c r="A95">
        <v>10094</v>
      </c>
      <c r="B95">
        <v>1</v>
      </c>
      <c r="C95">
        <v>86.02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13.98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Y95">
        <v>1</v>
      </c>
      <c r="Z95">
        <v>0</v>
      </c>
      <c r="AA95">
        <v>0</v>
      </c>
      <c r="AB95">
        <v>0</v>
      </c>
      <c r="AC95">
        <v>1</v>
      </c>
      <c r="AD95">
        <v>900</v>
      </c>
      <c r="AE95">
        <v>0.16700000000000001</v>
      </c>
      <c r="AF95">
        <v>1</v>
      </c>
      <c r="AG95">
        <v>0</v>
      </c>
      <c r="AH95">
        <v>0</v>
      </c>
      <c r="AI95">
        <v>0</v>
      </c>
      <c r="AO95">
        <v>13.98</v>
      </c>
      <c r="AP95">
        <v>0</v>
      </c>
      <c r="AQ95">
        <v>749.19</v>
      </c>
      <c r="AT95">
        <v>921</v>
      </c>
      <c r="AU95">
        <v>21.78</v>
      </c>
      <c r="AX95" t="s">
        <v>61</v>
      </c>
    </row>
    <row r="96" spans="1:50" x14ac:dyDescent="0.45">
      <c r="A96">
        <v>10095</v>
      </c>
      <c r="B96">
        <v>1</v>
      </c>
      <c r="C96">
        <v>86.02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13.98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Y96">
        <v>1</v>
      </c>
      <c r="Z96">
        <v>0</v>
      </c>
      <c r="AA96">
        <v>0</v>
      </c>
      <c r="AB96">
        <v>0</v>
      </c>
      <c r="AC96">
        <v>1</v>
      </c>
      <c r="AD96">
        <v>900</v>
      </c>
      <c r="AE96">
        <v>0.5</v>
      </c>
      <c r="AF96">
        <v>1</v>
      </c>
      <c r="AG96">
        <v>0</v>
      </c>
      <c r="AH96">
        <v>0</v>
      </c>
      <c r="AI96">
        <v>0</v>
      </c>
      <c r="AO96">
        <v>13.98</v>
      </c>
      <c r="AP96">
        <v>0</v>
      </c>
      <c r="AQ96">
        <v>749.19</v>
      </c>
      <c r="AT96">
        <v>940</v>
      </c>
      <c r="AU96">
        <v>17.399999999999999</v>
      </c>
      <c r="AX96" t="s">
        <v>61</v>
      </c>
    </row>
    <row r="97" spans="1:50" x14ac:dyDescent="0.45">
      <c r="A97">
        <v>10096</v>
      </c>
      <c r="B97">
        <v>1</v>
      </c>
      <c r="C97">
        <v>85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15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1</v>
      </c>
      <c r="W97">
        <v>1000</v>
      </c>
      <c r="X97">
        <v>70</v>
      </c>
      <c r="Y97">
        <v>0</v>
      </c>
      <c r="Z97">
        <v>1</v>
      </c>
      <c r="AA97">
        <v>0</v>
      </c>
      <c r="AB97">
        <v>0</v>
      </c>
      <c r="AC97">
        <v>1</v>
      </c>
      <c r="AD97">
        <v>850</v>
      </c>
      <c r="AE97">
        <v>1</v>
      </c>
      <c r="AF97">
        <v>1</v>
      </c>
      <c r="AG97">
        <v>0</v>
      </c>
      <c r="AH97">
        <v>0</v>
      </c>
      <c r="AI97">
        <v>0</v>
      </c>
      <c r="AO97">
        <v>15</v>
      </c>
      <c r="AP97">
        <v>0</v>
      </c>
      <c r="AQ97">
        <v>739.5</v>
      </c>
      <c r="AT97">
        <v>669</v>
      </c>
      <c r="AU97">
        <v>45.52</v>
      </c>
      <c r="AX97" t="s">
        <v>110</v>
      </c>
    </row>
    <row r="98" spans="1:50" x14ac:dyDescent="0.45">
      <c r="A98">
        <v>10097</v>
      </c>
      <c r="B98">
        <v>1</v>
      </c>
      <c r="C98">
        <v>84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16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1</v>
      </c>
      <c r="W98">
        <v>1000</v>
      </c>
      <c r="X98">
        <v>70</v>
      </c>
      <c r="Y98">
        <v>0</v>
      </c>
      <c r="Z98">
        <v>1</v>
      </c>
      <c r="AA98">
        <v>0</v>
      </c>
      <c r="AB98">
        <v>0</v>
      </c>
      <c r="AC98">
        <v>1</v>
      </c>
      <c r="AD98">
        <v>850</v>
      </c>
      <c r="AE98">
        <v>1</v>
      </c>
      <c r="AF98">
        <v>1</v>
      </c>
      <c r="AG98">
        <v>0</v>
      </c>
      <c r="AH98">
        <v>0</v>
      </c>
      <c r="AI98">
        <v>0</v>
      </c>
      <c r="AO98">
        <v>16</v>
      </c>
      <c r="AP98">
        <v>0</v>
      </c>
      <c r="AQ98">
        <v>730</v>
      </c>
      <c r="AT98">
        <v>687</v>
      </c>
      <c r="AU98">
        <v>38.42</v>
      </c>
      <c r="AX98" t="s">
        <v>110</v>
      </c>
    </row>
    <row r="99" spans="1:50" x14ac:dyDescent="0.45">
      <c r="A99">
        <v>10098</v>
      </c>
      <c r="B99">
        <v>1</v>
      </c>
      <c r="C99">
        <v>83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17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1</v>
      </c>
      <c r="W99">
        <v>1000</v>
      </c>
      <c r="X99">
        <v>70</v>
      </c>
      <c r="Y99">
        <v>0</v>
      </c>
      <c r="Z99">
        <v>1</v>
      </c>
      <c r="AA99">
        <v>0</v>
      </c>
      <c r="AB99">
        <v>0</v>
      </c>
      <c r="AC99">
        <v>1</v>
      </c>
      <c r="AD99">
        <v>850</v>
      </c>
      <c r="AE99">
        <v>1</v>
      </c>
      <c r="AF99">
        <v>1</v>
      </c>
      <c r="AG99">
        <v>0</v>
      </c>
      <c r="AH99">
        <v>0</v>
      </c>
      <c r="AI99">
        <v>0</v>
      </c>
      <c r="AO99">
        <v>17</v>
      </c>
      <c r="AP99">
        <v>0</v>
      </c>
      <c r="AQ99">
        <v>720.5</v>
      </c>
      <c r="AT99">
        <v>722</v>
      </c>
      <c r="AU99">
        <v>23.86</v>
      </c>
      <c r="AX99" t="s">
        <v>110</v>
      </c>
    </row>
    <row r="100" spans="1:50" x14ac:dyDescent="0.45">
      <c r="A100">
        <v>10099</v>
      </c>
      <c r="B100">
        <v>1</v>
      </c>
      <c r="C100">
        <v>82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18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1</v>
      </c>
      <c r="W100">
        <v>1000</v>
      </c>
      <c r="X100">
        <v>70</v>
      </c>
      <c r="Y100">
        <v>0</v>
      </c>
      <c r="Z100">
        <v>1</v>
      </c>
      <c r="AA100">
        <v>0</v>
      </c>
      <c r="AB100">
        <v>0</v>
      </c>
      <c r="AC100">
        <v>1</v>
      </c>
      <c r="AD100">
        <v>850</v>
      </c>
      <c r="AE100">
        <v>1</v>
      </c>
      <c r="AF100">
        <v>1</v>
      </c>
      <c r="AG100">
        <v>0</v>
      </c>
      <c r="AH100">
        <v>0</v>
      </c>
      <c r="AI100">
        <v>0</v>
      </c>
      <c r="AO100">
        <v>18</v>
      </c>
      <c r="AP100">
        <v>0</v>
      </c>
      <c r="AQ100">
        <v>711</v>
      </c>
      <c r="AT100">
        <v>778</v>
      </c>
      <c r="AU100">
        <v>15.5</v>
      </c>
      <c r="AX100" t="s">
        <v>110</v>
      </c>
    </row>
    <row r="101" spans="1:50" x14ac:dyDescent="0.45">
      <c r="A101">
        <v>10100</v>
      </c>
      <c r="B101">
        <v>1</v>
      </c>
      <c r="C101">
        <v>92.5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7.5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1</v>
      </c>
      <c r="Y101">
        <v>0</v>
      </c>
      <c r="Z101">
        <v>1</v>
      </c>
      <c r="AA101">
        <v>0</v>
      </c>
      <c r="AB101">
        <v>0</v>
      </c>
      <c r="AC101">
        <v>0</v>
      </c>
      <c r="AI101">
        <v>0</v>
      </c>
      <c r="AO101">
        <v>7.5</v>
      </c>
      <c r="AP101">
        <v>0</v>
      </c>
      <c r="AQ101">
        <v>810.75</v>
      </c>
      <c r="AR101">
        <v>70</v>
      </c>
      <c r="AS101">
        <v>737</v>
      </c>
      <c r="AT101">
        <v>1019</v>
      </c>
      <c r="AU101">
        <v>16</v>
      </c>
      <c r="AX101" t="s">
        <v>62</v>
      </c>
    </row>
    <row r="102" spans="1:50" x14ac:dyDescent="0.45">
      <c r="A102">
        <v>10101</v>
      </c>
      <c r="B102">
        <v>1</v>
      </c>
      <c r="C102">
        <v>85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15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1</v>
      </c>
      <c r="Y102">
        <v>0</v>
      </c>
      <c r="Z102">
        <v>1</v>
      </c>
      <c r="AA102">
        <v>0</v>
      </c>
      <c r="AB102">
        <v>0</v>
      </c>
      <c r="AC102">
        <v>0</v>
      </c>
      <c r="AI102">
        <v>0</v>
      </c>
      <c r="AO102">
        <v>15</v>
      </c>
      <c r="AP102">
        <v>0</v>
      </c>
      <c r="AQ102">
        <v>739.5</v>
      </c>
      <c r="AR102">
        <v>84</v>
      </c>
      <c r="AS102">
        <v>745</v>
      </c>
      <c r="AT102">
        <v>921</v>
      </c>
      <c r="AU102">
        <v>25</v>
      </c>
      <c r="AX102" t="s">
        <v>63</v>
      </c>
    </row>
    <row r="103" spans="1:50" x14ac:dyDescent="0.45">
      <c r="A103">
        <v>10102</v>
      </c>
      <c r="B103">
        <v>1</v>
      </c>
      <c r="C103">
        <v>92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8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1</v>
      </c>
      <c r="W103">
        <v>20</v>
      </c>
      <c r="X103">
        <v>94</v>
      </c>
      <c r="Y103">
        <v>0</v>
      </c>
      <c r="Z103">
        <v>1</v>
      </c>
      <c r="AA103">
        <v>0</v>
      </c>
      <c r="AB103">
        <v>0</v>
      </c>
      <c r="AC103">
        <v>1</v>
      </c>
      <c r="AD103">
        <v>900</v>
      </c>
      <c r="AE103">
        <v>0.5</v>
      </c>
      <c r="AF103">
        <v>1</v>
      </c>
      <c r="AG103">
        <v>0</v>
      </c>
      <c r="AH103">
        <v>0</v>
      </c>
      <c r="AI103">
        <v>0</v>
      </c>
      <c r="AO103">
        <v>8</v>
      </c>
      <c r="AP103">
        <v>0</v>
      </c>
      <c r="AQ103">
        <v>806</v>
      </c>
      <c r="AR103">
        <v>58.6</v>
      </c>
      <c r="AS103">
        <v>322</v>
      </c>
      <c r="AT103">
        <v>743</v>
      </c>
      <c r="AU103">
        <v>31.71</v>
      </c>
      <c r="AX103" t="s">
        <v>64</v>
      </c>
    </row>
    <row r="104" spans="1:50" x14ac:dyDescent="0.45">
      <c r="A104">
        <v>10103</v>
      </c>
      <c r="B104">
        <v>1</v>
      </c>
      <c r="C104">
        <v>89.8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10.199999999999999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1</v>
      </c>
      <c r="Y104">
        <v>0</v>
      </c>
      <c r="Z104">
        <v>1</v>
      </c>
      <c r="AA104">
        <v>0</v>
      </c>
      <c r="AB104">
        <v>0</v>
      </c>
      <c r="AC104">
        <v>0</v>
      </c>
      <c r="AI104">
        <v>0</v>
      </c>
      <c r="AO104">
        <v>10.199999999999999</v>
      </c>
      <c r="AP104">
        <v>0</v>
      </c>
      <c r="AQ104">
        <v>785.1</v>
      </c>
      <c r="AS104">
        <v>741.07</v>
      </c>
      <c r="AT104">
        <v>662.99</v>
      </c>
      <c r="AU104">
        <v>0.71</v>
      </c>
      <c r="AV104">
        <v>113</v>
      </c>
      <c r="AX104" t="s">
        <v>65</v>
      </c>
    </row>
    <row r="105" spans="1:50" x14ac:dyDescent="0.45">
      <c r="A105">
        <v>10104</v>
      </c>
      <c r="B105">
        <v>1</v>
      </c>
      <c r="C105">
        <v>89.17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10.83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1</v>
      </c>
      <c r="Y105">
        <v>0</v>
      </c>
      <c r="Z105">
        <v>1</v>
      </c>
      <c r="AA105">
        <v>0</v>
      </c>
      <c r="AB105">
        <v>0</v>
      </c>
      <c r="AC105">
        <v>0</v>
      </c>
      <c r="AI105">
        <v>0</v>
      </c>
      <c r="AO105">
        <v>10.83</v>
      </c>
      <c r="AP105">
        <v>0</v>
      </c>
      <c r="AQ105">
        <v>779.11500000000001</v>
      </c>
      <c r="AT105">
        <v>885.45</v>
      </c>
      <c r="AU105">
        <v>0.35</v>
      </c>
      <c r="AV105">
        <v>105.17</v>
      </c>
      <c r="AX105" t="s">
        <v>65</v>
      </c>
    </row>
    <row r="106" spans="1:50" x14ac:dyDescent="0.45">
      <c r="A106">
        <v>10105</v>
      </c>
      <c r="B106">
        <v>1</v>
      </c>
      <c r="C106">
        <v>87.11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12.89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1</v>
      </c>
      <c r="Y106">
        <v>0</v>
      </c>
      <c r="Z106">
        <v>1</v>
      </c>
      <c r="AA106">
        <v>0</v>
      </c>
      <c r="AB106">
        <v>0</v>
      </c>
      <c r="AC106">
        <v>0</v>
      </c>
      <c r="AI106">
        <v>0</v>
      </c>
      <c r="AO106">
        <v>12.89</v>
      </c>
      <c r="AP106">
        <v>0</v>
      </c>
      <c r="AQ106">
        <v>759.54499999999996</v>
      </c>
      <c r="AT106">
        <v>643.1</v>
      </c>
      <c r="AU106">
        <v>0.09</v>
      </c>
      <c r="AV106">
        <v>104.47</v>
      </c>
      <c r="AW106" t="s">
        <v>339</v>
      </c>
      <c r="AX106" t="s">
        <v>65</v>
      </c>
    </row>
    <row r="107" spans="1:50" x14ac:dyDescent="0.45">
      <c r="A107">
        <v>10106</v>
      </c>
      <c r="B107">
        <v>1</v>
      </c>
      <c r="C107">
        <v>84.95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15.05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1</v>
      </c>
      <c r="Y107">
        <v>0</v>
      </c>
      <c r="Z107">
        <v>1</v>
      </c>
      <c r="AA107">
        <v>0</v>
      </c>
      <c r="AB107">
        <v>0</v>
      </c>
      <c r="AC107">
        <v>0</v>
      </c>
      <c r="AI107">
        <v>0</v>
      </c>
      <c r="AO107">
        <v>15.05</v>
      </c>
      <c r="AP107">
        <v>0</v>
      </c>
      <c r="AQ107">
        <v>739.02499999999998</v>
      </c>
      <c r="AS107">
        <v>542.47</v>
      </c>
      <c r="AT107">
        <v>593.48</v>
      </c>
      <c r="AU107">
        <v>0.14000000000000001</v>
      </c>
      <c r="AV107">
        <v>70.48</v>
      </c>
      <c r="AW107" t="s">
        <v>339</v>
      </c>
      <c r="AX107" t="s">
        <v>65</v>
      </c>
    </row>
    <row r="108" spans="1:50" x14ac:dyDescent="0.45">
      <c r="A108">
        <v>10107</v>
      </c>
      <c r="B108">
        <v>1</v>
      </c>
      <c r="C108">
        <v>85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15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1</v>
      </c>
      <c r="W108">
        <v>1000</v>
      </c>
      <c r="X108">
        <v>70</v>
      </c>
      <c r="Y108">
        <v>0</v>
      </c>
      <c r="Z108">
        <v>1</v>
      </c>
      <c r="AA108">
        <v>0</v>
      </c>
      <c r="AB108">
        <v>0</v>
      </c>
      <c r="AC108">
        <v>1</v>
      </c>
      <c r="AD108">
        <v>850</v>
      </c>
      <c r="AE108">
        <v>1</v>
      </c>
      <c r="AF108">
        <v>1</v>
      </c>
      <c r="AG108">
        <v>0</v>
      </c>
      <c r="AH108">
        <v>0</v>
      </c>
      <c r="AI108">
        <v>0</v>
      </c>
      <c r="AO108">
        <v>15</v>
      </c>
      <c r="AP108">
        <v>0</v>
      </c>
      <c r="AQ108">
        <v>739.5</v>
      </c>
      <c r="AS108" t="s">
        <v>216</v>
      </c>
      <c r="AT108">
        <v>669</v>
      </c>
      <c r="AU108">
        <v>45.57</v>
      </c>
      <c r="AW108" t="s">
        <v>339</v>
      </c>
      <c r="AX108" t="s">
        <v>66</v>
      </c>
    </row>
    <row r="109" spans="1:50" x14ac:dyDescent="0.45">
      <c r="A109">
        <v>10108</v>
      </c>
      <c r="B109">
        <v>1</v>
      </c>
      <c r="C109">
        <v>84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16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1</v>
      </c>
      <c r="W109">
        <v>1000</v>
      </c>
      <c r="X109">
        <v>70</v>
      </c>
      <c r="Y109">
        <v>0</v>
      </c>
      <c r="Z109">
        <v>1</v>
      </c>
      <c r="AA109">
        <v>0</v>
      </c>
      <c r="AB109">
        <v>0</v>
      </c>
      <c r="AC109">
        <v>1</v>
      </c>
      <c r="AD109">
        <v>850</v>
      </c>
      <c r="AE109">
        <v>1</v>
      </c>
      <c r="AF109">
        <v>1</v>
      </c>
      <c r="AG109">
        <v>0</v>
      </c>
      <c r="AH109">
        <v>0</v>
      </c>
      <c r="AI109">
        <v>0</v>
      </c>
      <c r="AO109">
        <v>16</v>
      </c>
      <c r="AP109">
        <v>0</v>
      </c>
      <c r="AQ109">
        <v>730</v>
      </c>
      <c r="AT109">
        <v>687</v>
      </c>
      <c r="AU109">
        <v>38.549999999999997</v>
      </c>
      <c r="AW109" t="s">
        <v>339</v>
      </c>
      <c r="AX109" t="s">
        <v>67</v>
      </c>
    </row>
    <row r="110" spans="1:50" x14ac:dyDescent="0.45">
      <c r="A110">
        <v>10109</v>
      </c>
      <c r="B110">
        <v>1</v>
      </c>
      <c r="C110">
        <v>83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17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1</v>
      </c>
      <c r="W110">
        <v>1000</v>
      </c>
      <c r="X110">
        <v>70</v>
      </c>
      <c r="Y110">
        <v>0</v>
      </c>
      <c r="Z110">
        <v>1</v>
      </c>
      <c r="AA110">
        <v>0</v>
      </c>
      <c r="AB110">
        <v>0</v>
      </c>
      <c r="AC110">
        <v>1</v>
      </c>
      <c r="AD110">
        <v>850</v>
      </c>
      <c r="AE110">
        <v>1</v>
      </c>
      <c r="AF110">
        <v>1</v>
      </c>
      <c r="AG110">
        <v>0</v>
      </c>
      <c r="AH110">
        <v>0</v>
      </c>
      <c r="AI110">
        <v>0</v>
      </c>
      <c r="AO110">
        <v>17</v>
      </c>
      <c r="AP110">
        <v>0</v>
      </c>
      <c r="AQ110">
        <v>720.5</v>
      </c>
      <c r="AT110">
        <v>722</v>
      </c>
      <c r="AU110">
        <v>23.82</v>
      </c>
      <c r="AW110" t="s">
        <v>339</v>
      </c>
      <c r="AX110" t="s">
        <v>68</v>
      </c>
    </row>
    <row r="111" spans="1:50" x14ac:dyDescent="0.45">
      <c r="A111">
        <v>10110</v>
      </c>
      <c r="B111">
        <v>1</v>
      </c>
      <c r="C111">
        <v>82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18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1</v>
      </c>
      <c r="W111">
        <v>1000</v>
      </c>
      <c r="X111">
        <v>70</v>
      </c>
      <c r="Y111">
        <v>0</v>
      </c>
      <c r="Z111">
        <v>1</v>
      </c>
      <c r="AA111">
        <v>0</v>
      </c>
      <c r="AB111">
        <v>0</v>
      </c>
      <c r="AC111">
        <v>1</v>
      </c>
      <c r="AD111">
        <v>850</v>
      </c>
      <c r="AE111">
        <v>1</v>
      </c>
      <c r="AF111">
        <v>1</v>
      </c>
      <c r="AG111">
        <v>0</v>
      </c>
      <c r="AH111">
        <v>0</v>
      </c>
      <c r="AI111">
        <v>0</v>
      </c>
      <c r="AO111">
        <v>18</v>
      </c>
      <c r="AP111">
        <v>0</v>
      </c>
      <c r="AQ111">
        <v>711</v>
      </c>
      <c r="AT111">
        <v>778</v>
      </c>
      <c r="AU111">
        <v>15.54</v>
      </c>
      <c r="AW111" t="s">
        <v>339</v>
      </c>
      <c r="AX111" t="s">
        <v>69</v>
      </c>
    </row>
    <row r="112" spans="1:50" x14ac:dyDescent="0.45">
      <c r="A112">
        <v>10111</v>
      </c>
      <c r="B112">
        <v>1</v>
      </c>
      <c r="C112">
        <v>95.35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4.6500000000000004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1</v>
      </c>
      <c r="Y112">
        <v>0</v>
      </c>
      <c r="Z112">
        <v>1</v>
      </c>
      <c r="AA112">
        <v>0</v>
      </c>
      <c r="AB112">
        <v>0</v>
      </c>
      <c r="AC112">
        <v>1</v>
      </c>
      <c r="AD112">
        <f>AQ112</f>
        <v>837.82500000000005</v>
      </c>
      <c r="AF112">
        <v>1</v>
      </c>
      <c r="AG112">
        <v>0</v>
      </c>
      <c r="AH112">
        <v>0</v>
      </c>
      <c r="AI112">
        <v>0</v>
      </c>
      <c r="AO112">
        <v>4.6500000000000004</v>
      </c>
      <c r="AP112">
        <v>0</v>
      </c>
      <c r="AQ112">
        <v>837.82500000000005</v>
      </c>
      <c r="AR112">
        <v>91</v>
      </c>
      <c r="AS112">
        <v>537</v>
      </c>
      <c r="AX112" t="s">
        <v>60</v>
      </c>
    </row>
    <row r="113" spans="1:50" x14ac:dyDescent="0.45">
      <c r="A113">
        <v>10112</v>
      </c>
      <c r="B113">
        <v>1</v>
      </c>
      <c r="C113">
        <v>94.61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5.3900000000000006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1</v>
      </c>
      <c r="Y113">
        <v>0</v>
      </c>
      <c r="Z113">
        <v>1</v>
      </c>
      <c r="AA113">
        <v>0</v>
      </c>
      <c r="AB113">
        <v>0</v>
      </c>
      <c r="AC113">
        <v>1</v>
      </c>
      <c r="AD113">
        <f>AQ113</f>
        <v>830.79499999999996</v>
      </c>
      <c r="AF113">
        <v>1</v>
      </c>
      <c r="AG113">
        <v>0</v>
      </c>
      <c r="AH113">
        <v>0</v>
      </c>
      <c r="AI113">
        <v>0</v>
      </c>
      <c r="AO113">
        <v>5.3900000000000006</v>
      </c>
      <c r="AP113">
        <v>0</v>
      </c>
      <c r="AQ113">
        <v>830.79499999999996</v>
      </c>
      <c r="AR113">
        <v>93</v>
      </c>
      <c r="AS113">
        <v>731</v>
      </c>
      <c r="AX113" t="s">
        <v>60</v>
      </c>
    </row>
    <row r="114" spans="1:50" x14ac:dyDescent="0.45">
      <c r="A114">
        <v>10113</v>
      </c>
      <c r="B114">
        <v>1</v>
      </c>
      <c r="C114">
        <v>89.24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10.76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1</v>
      </c>
      <c r="Y114">
        <v>0</v>
      </c>
      <c r="Z114">
        <v>1</v>
      </c>
      <c r="AA114">
        <v>0</v>
      </c>
      <c r="AB114">
        <v>0</v>
      </c>
      <c r="AC114">
        <v>1</v>
      </c>
      <c r="AD114">
        <f>AQ114</f>
        <v>779.78</v>
      </c>
      <c r="AF114">
        <v>1</v>
      </c>
      <c r="AG114">
        <v>0</v>
      </c>
      <c r="AH114">
        <v>0</v>
      </c>
      <c r="AI114">
        <v>0</v>
      </c>
      <c r="AO114">
        <v>10.76</v>
      </c>
      <c r="AP114">
        <v>0</v>
      </c>
      <c r="AQ114">
        <v>779.78</v>
      </c>
      <c r="AR114">
        <v>75</v>
      </c>
      <c r="AS114">
        <v>823</v>
      </c>
      <c r="AX114" t="s">
        <v>60</v>
      </c>
    </row>
    <row r="115" spans="1:50" x14ac:dyDescent="0.45">
      <c r="A115">
        <v>10114</v>
      </c>
      <c r="B115">
        <v>1</v>
      </c>
      <c r="C115">
        <v>94.75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5.25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1</v>
      </c>
      <c r="Y115">
        <v>0</v>
      </c>
      <c r="Z115">
        <v>1</v>
      </c>
      <c r="AA115">
        <v>0</v>
      </c>
      <c r="AB115">
        <v>0</v>
      </c>
      <c r="AC115">
        <v>1</v>
      </c>
      <c r="AD115">
        <f>AQ115</f>
        <v>832.125</v>
      </c>
      <c r="AF115">
        <v>0</v>
      </c>
      <c r="AG115">
        <v>0</v>
      </c>
      <c r="AH115">
        <v>1</v>
      </c>
      <c r="AI115">
        <v>0</v>
      </c>
      <c r="AO115">
        <v>5.25</v>
      </c>
      <c r="AP115">
        <v>0</v>
      </c>
      <c r="AQ115">
        <v>832.125</v>
      </c>
      <c r="AR115">
        <v>77.599999999999994</v>
      </c>
      <c r="AS115">
        <v>862</v>
      </c>
      <c r="AW115" t="s">
        <v>340</v>
      </c>
      <c r="AX115" t="s">
        <v>60</v>
      </c>
    </row>
    <row r="116" spans="1:50" x14ac:dyDescent="0.45">
      <c r="A116">
        <v>10115</v>
      </c>
      <c r="B116">
        <v>1</v>
      </c>
      <c r="C116">
        <v>93.63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6.370000000000001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1</v>
      </c>
      <c r="Y116">
        <v>0</v>
      </c>
      <c r="Z116">
        <v>1</v>
      </c>
      <c r="AA116">
        <v>0</v>
      </c>
      <c r="AB116">
        <v>0</v>
      </c>
      <c r="AC116">
        <v>1</v>
      </c>
      <c r="AD116">
        <f>AQ116</f>
        <v>821.48500000000001</v>
      </c>
      <c r="AF116">
        <v>1</v>
      </c>
      <c r="AG116">
        <v>0</v>
      </c>
      <c r="AH116">
        <v>0</v>
      </c>
      <c r="AI116">
        <v>0</v>
      </c>
      <c r="AO116">
        <v>6.370000000000001</v>
      </c>
      <c r="AP116">
        <v>0</v>
      </c>
      <c r="AQ116">
        <v>821.48500000000001</v>
      </c>
      <c r="AR116">
        <v>90</v>
      </c>
      <c r="AS116">
        <v>550</v>
      </c>
      <c r="AW116" t="s">
        <v>340</v>
      </c>
      <c r="AX116" t="s">
        <v>60</v>
      </c>
    </row>
    <row r="117" spans="1:50" x14ac:dyDescent="0.45">
      <c r="A117">
        <v>10116</v>
      </c>
      <c r="B117">
        <v>1</v>
      </c>
      <c r="C117">
        <v>93.75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6.25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Y117">
        <v>1</v>
      </c>
      <c r="Z117">
        <v>0</v>
      </c>
      <c r="AA117">
        <v>0</v>
      </c>
      <c r="AB117">
        <v>0</v>
      </c>
      <c r="AC117">
        <v>0</v>
      </c>
      <c r="AI117">
        <v>0</v>
      </c>
      <c r="AO117">
        <v>6.25</v>
      </c>
      <c r="AP117">
        <v>0</v>
      </c>
      <c r="AQ117">
        <v>822.625</v>
      </c>
      <c r="AR117">
        <v>116</v>
      </c>
      <c r="AW117" t="s">
        <v>340</v>
      </c>
    </row>
    <row r="118" spans="1:50" x14ac:dyDescent="0.45">
      <c r="A118">
        <v>10117</v>
      </c>
      <c r="B118">
        <v>1</v>
      </c>
      <c r="C118">
        <v>91.9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8.1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Y118">
        <v>1</v>
      </c>
      <c r="Z118">
        <v>0</v>
      </c>
      <c r="AA118">
        <v>0</v>
      </c>
      <c r="AB118">
        <v>0</v>
      </c>
      <c r="AC118">
        <v>0</v>
      </c>
      <c r="AI118">
        <v>0</v>
      </c>
      <c r="AO118">
        <v>8.1</v>
      </c>
      <c r="AP118">
        <v>0</v>
      </c>
      <c r="AQ118">
        <v>805.05</v>
      </c>
      <c r="AR118">
        <v>78</v>
      </c>
      <c r="AW118" t="s">
        <v>340</v>
      </c>
    </row>
    <row r="119" spans="1:50" x14ac:dyDescent="0.45">
      <c r="A119">
        <v>10118</v>
      </c>
      <c r="B119">
        <v>1</v>
      </c>
      <c r="C119">
        <v>77.8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22.2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Y119">
        <v>1</v>
      </c>
      <c r="Z119">
        <v>0</v>
      </c>
      <c r="AA119">
        <v>0</v>
      </c>
      <c r="AB119">
        <v>0</v>
      </c>
      <c r="AC119">
        <v>0</v>
      </c>
      <c r="AI119">
        <v>0</v>
      </c>
      <c r="AO119">
        <v>22.2</v>
      </c>
      <c r="AP119">
        <v>0</v>
      </c>
      <c r="AQ119">
        <v>671.1</v>
      </c>
      <c r="AR119">
        <v>99</v>
      </c>
      <c r="AW119" t="s">
        <v>340</v>
      </c>
    </row>
    <row r="120" spans="1:50" x14ac:dyDescent="0.45">
      <c r="A120">
        <v>10119</v>
      </c>
      <c r="B120">
        <v>1</v>
      </c>
      <c r="C120">
        <v>88.2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11.8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Y120">
        <v>1</v>
      </c>
      <c r="Z120">
        <v>0</v>
      </c>
      <c r="AA120">
        <v>0</v>
      </c>
      <c r="AB120">
        <v>0</v>
      </c>
      <c r="AC120">
        <v>0</v>
      </c>
      <c r="AI120">
        <v>0</v>
      </c>
      <c r="AO120">
        <v>11.8</v>
      </c>
      <c r="AP120">
        <v>0</v>
      </c>
      <c r="AQ120">
        <v>769.9</v>
      </c>
      <c r="AR120">
        <v>116</v>
      </c>
      <c r="AW120" t="s">
        <v>232</v>
      </c>
    </row>
    <row r="121" spans="1:50" x14ac:dyDescent="0.45">
      <c r="A121">
        <v>10120</v>
      </c>
      <c r="B121">
        <v>1</v>
      </c>
      <c r="C121">
        <v>96.11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3.89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Y121">
        <v>1</v>
      </c>
      <c r="Z121">
        <v>0</v>
      </c>
      <c r="AA121">
        <v>0</v>
      </c>
      <c r="AB121">
        <v>0</v>
      </c>
      <c r="AC121">
        <v>0</v>
      </c>
      <c r="AI121">
        <v>0</v>
      </c>
      <c r="AO121">
        <v>3.89</v>
      </c>
      <c r="AP121">
        <v>0</v>
      </c>
      <c r="AQ121">
        <v>845.04499999999996</v>
      </c>
      <c r="AR121">
        <v>70</v>
      </c>
      <c r="AW121" t="s">
        <v>232</v>
      </c>
    </row>
    <row r="122" spans="1:50" x14ac:dyDescent="0.45">
      <c r="A122">
        <v>10121</v>
      </c>
      <c r="B122">
        <v>1</v>
      </c>
      <c r="C122">
        <v>91.91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8.09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Y122">
        <v>1</v>
      </c>
      <c r="Z122">
        <v>0</v>
      </c>
      <c r="AA122">
        <v>0</v>
      </c>
      <c r="AB122">
        <v>0</v>
      </c>
      <c r="AC122">
        <v>0</v>
      </c>
      <c r="AI122">
        <v>0</v>
      </c>
      <c r="AO122">
        <v>8.09</v>
      </c>
      <c r="AP122">
        <v>0</v>
      </c>
      <c r="AQ122">
        <v>805.14499999999998</v>
      </c>
      <c r="AR122">
        <v>84</v>
      </c>
      <c r="AW122" t="s">
        <v>232</v>
      </c>
    </row>
    <row r="123" spans="1:50" x14ac:dyDescent="0.45">
      <c r="A123">
        <v>10122</v>
      </c>
      <c r="B123">
        <v>1</v>
      </c>
      <c r="C123">
        <v>96.8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3.2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Y123">
        <v>1</v>
      </c>
      <c r="Z123">
        <v>0</v>
      </c>
      <c r="AA123">
        <v>0</v>
      </c>
      <c r="AB123">
        <v>0</v>
      </c>
      <c r="AC123">
        <v>0</v>
      </c>
      <c r="AI123">
        <v>0</v>
      </c>
      <c r="AO123">
        <v>3.2</v>
      </c>
      <c r="AP123">
        <v>0</v>
      </c>
      <c r="AQ123">
        <v>851.6</v>
      </c>
      <c r="AR123">
        <v>83.73</v>
      </c>
      <c r="AW123" t="s">
        <v>232</v>
      </c>
    </row>
    <row r="124" spans="1:50" x14ac:dyDescent="0.45">
      <c r="A124">
        <v>10123</v>
      </c>
      <c r="B124">
        <v>1</v>
      </c>
      <c r="C124">
        <v>95.5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4.5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Y124">
        <v>1</v>
      </c>
      <c r="Z124">
        <v>0</v>
      </c>
      <c r="AA124">
        <v>0</v>
      </c>
      <c r="AB124">
        <v>0</v>
      </c>
      <c r="AC124">
        <v>0</v>
      </c>
      <c r="AI124">
        <v>0</v>
      </c>
      <c r="AO124">
        <v>4.5</v>
      </c>
      <c r="AP124">
        <v>0</v>
      </c>
      <c r="AQ124">
        <v>839.25</v>
      </c>
      <c r="AR124">
        <v>88.36</v>
      </c>
      <c r="AW124" t="s">
        <v>225</v>
      </c>
    </row>
    <row r="125" spans="1:50" x14ac:dyDescent="0.45">
      <c r="A125">
        <v>10124</v>
      </c>
      <c r="B125">
        <v>1</v>
      </c>
      <c r="C125">
        <v>94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6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Y125">
        <v>1</v>
      </c>
      <c r="Z125">
        <v>0</v>
      </c>
      <c r="AA125">
        <v>0</v>
      </c>
      <c r="AB125">
        <v>0</v>
      </c>
      <c r="AC125">
        <v>0</v>
      </c>
      <c r="AI125">
        <v>0</v>
      </c>
      <c r="AO125">
        <v>6</v>
      </c>
      <c r="AP125">
        <v>0</v>
      </c>
      <c r="AQ125">
        <v>825</v>
      </c>
      <c r="AR125">
        <v>111.7</v>
      </c>
      <c r="AW125" t="s">
        <v>226</v>
      </c>
    </row>
    <row r="126" spans="1:50" x14ac:dyDescent="0.45">
      <c r="A126">
        <v>10125</v>
      </c>
      <c r="B126">
        <v>1</v>
      </c>
      <c r="C126">
        <v>93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7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Y126">
        <v>1</v>
      </c>
      <c r="Z126">
        <v>0</v>
      </c>
      <c r="AA126">
        <v>0</v>
      </c>
      <c r="AB126">
        <v>0</v>
      </c>
      <c r="AC126">
        <v>0</v>
      </c>
      <c r="AI126">
        <v>0</v>
      </c>
      <c r="AO126">
        <v>7</v>
      </c>
      <c r="AP126">
        <v>0</v>
      </c>
      <c r="AQ126">
        <v>815.5</v>
      </c>
      <c r="AR126">
        <v>99.55</v>
      </c>
      <c r="AW126" t="s">
        <v>227</v>
      </c>
    </row>
    <row r="127" spans="1:50" x14ac:dyDescent="0.45">
      <c r="A127">
        <v>10126</v>
      </c>
      <c r="B127">
        <v>1</v>
      </c>
      <c r="C127">
        <v>92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8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Y127">
        <v>1</v>
      </c>
      <c r="Z127">
        <v>0</v>
      </c>
      <c r="AA127">
        <v>0</v>
      </c>
      <c r="AB127">
        <v>0</v>
      </c>
      <c r="AC127">
        <v>0</v>
      </c>
      <c r="AI127">
        <v>0</v>
      </c>
      <c r="AO127">
        <v>8</v>
      </c>
      <c r="AP127">
        <v>0</v>
      </c>
      <c r="AQ127">
        <v>806</v>
      </c>
      <c r="AR127">
        <v>82.84</v>
      </c>
      <c r="AW127" t="s">
        <v>228</v>
      </c>
    </row>
    <row r="128" spans="1:50" x14ac:dyDescent="0.45">
      <c r="A128">
        <v>10127</v>
      </c>
      <c r="B128">
        <v>1</v>
      </c>
      <c r="C128">
        <v>88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12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Y128">
        <v>1</v>
      </c>
      <c r="Z128">
        <v>0</v>
      </c>
      <c r="AA128">
        <v>0</v>
      </c>
      <c r="AB128">
        <v>0</v>
      </c>
      <c r="AC128">
        <v>0</v>
      </c>
      <c r="AI128">
        <v>0</v>
      </c>
      <c r="AO128">
        <v>12</v>
      </c>
      <c r="AP128">
        <v>0</v>
      </c>
      <c r="AQ128">
        <v>768</v>
      </c>
      <c r="AR128">
        <v>89.7</v>
      </c>
      <c r="AW128" t="s">
        <v>229</v>
      </c>
    </row>
    <row r="129" spans="1:50" x14ac:dyDescent="0.45">
      <c r="A129">
        <v>10128</v>
      </c>
      <c r="B129">
        <v>1</v>
      </c>
      <c r="C129">
        <v>94.74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5.26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Y129">
        <v>1</v>
      </c>
      <c r="Z129">
        <v>0</v>
      </c>
      <c r="AA129">
        <v>0</v>
      </c>
      <c r="AB129">
        <v>0</v>
      </c>
      <c r="AC129">
        <v>0</v>
      </c>
      <c r="AI129">
        <v>0</v>
      </c>
      <c r="AO129">
        <v>5.26</v>
      </c>
      <c r="AP129">
        <v>0</v>
      </c>
      <c r="AQ129">
        <v>832.03</v>
      </c>
      <c r="AR129">
        <v>113</v>
      </c>
      <c r="AW129" t="s">
        <v>230</v>
      </c>
    </row>
    <row r="130" spans="1:50" x14ac:dyDescent="0.45">
      <c r="A130">
        <v>10129</v>
      </c>
      <c r="B130">
        <v>1</v>
      </c>
      <c r="C130">
        <v>94.29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5.71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Y130">
        <v>1</v>
      </c>
      <c r="Z130">
        <v>0</v>
      </c>
      <c r="AA130">
        <v>0</v>
      </c>
      <c r="AB130">
        <v>0</v>
      </c>
      <c r="AC130">
        <v>0</v>
      </c>
      <c r="AI130">
        <v>0</v>
      </c>
      <c r="AO130">
        <v>5.71</v>
      </c>
      <c r="AP130">
        <v>0</v>
      </c>
      <c r="AQ130">
        <v>827.755</v>
      </c>
      <c r="AR130">
        <v>105.17</v>
      </c>
      <c r="AW130" t="s">
        <v>231</v>
      </c>
    </row>
    <row r="131" spans="1:50" x14ac:dyDescent="0.45">
      <c r="A131">
        <v>10130</v>
      </c>
      <c r="B131">
        <v>1</v>
      </c>
      <c r="C131">
        <v>93.13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6.87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Y131">
        <v>1</v>
      </c>
      <c r="Z131">
        <v>0</v>
      </c>
      <c r="AA131">
        <v>0</v>
      </c>
      <c r="AB131">
        <v>0</v>
      </c>
      <c r="AC131">
        <v>0</v>
      </c>
      <c r="AI131">
        <v>0</v>
      </c>
      <c r="AO131">
        <v>6.87</v>
      </c>
      <c r="AP131">
        <v>0</v>
      </c>
      <c r="AQ131">
        <v>816.73500000000001</v>
      </c>
      <c r="AR131">
        <v>104.47</v>
      </c>
      <c r="AW131" t="s">
        <v>232</v>
      </c>
    </row>
    <row r="132" spans="1:50" x14ac:dyDescent="0.45">
      <c r="A132">
        <v>10131</v>
      </c>
      <c r="B132">
        <v>1</v>
      </c>
      <c r="C132">
        <v>91.88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8.1199999999999992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Y132">
        <v>1</v>
      </c>
      <c r="Z132">
        <v>0</v>
      </c>
      <c r="AA132">
        <v>0</v>
      </c>
      <c r="AB132">
        <v>0</v>
      </c>
      <c r="AC132">
        <v>0</v>
      </c>
      <c r="AI132">
        <v>0</v>
      </c>
      <c r="AO132">
        <v>8.1199999999999992</v>
      </c>
      <c r="AP132">
        <v>0</v>
      </c>
      <c r="AQ132">
        <v>804.86</v>
      </c>
      <c r="AR132">
        <v>70.48</v>
      </c>
      <c r="AW132" t="s">
        <v>233</v>
      </c>
    </row>
    <row r="133" spans="1:50" x14ac:dyDescent="0.45">
      <c r="A133">
        <v>10132</v>
      </c>
      <c r="B133">
        <v>1</v>
      </c>
      <c r="C133">
        <v>90</v>
      </c>
      <c r="D133">
        <v>0</v>
      </c>
      <c r="E133">
        <v>0</v>
      </c>
      <c r="F133">
        <v>10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1</v>
      </c>
      <c r="W133">
        <v>1000</v>
      </c>
      <c r="X133">
        <v>70</v>
      </c>
      <c r="Y133">
        <v>0</v>
      </c>
      <c r="Z133">
        <v>1</v>
      </c>
      <c r="AA133">
        <v>0</v>
      </c>
      <c r="AB133">
        <v>0</v>
      </c>
      <c r="AC133">
        <v>1</v>
      </c>
      <c r="AD133">
        <v>850</v>
      </c>
      <c r="AE133">
        <v>1</v>
      </c>
      <c r="AF133">
        <v>1</v>
      </c>
      <c r="AG133">
        <v>0</v>
      </c>
      <c r="AH133">
        <v>0</v>
      </c>
      <c r="AI133">
        <v>0</v>
      </c>
      <c r="AO133">
        <v>16</v>
      </c>
      <c r="AP133">
        <v>0</v>
      </c>
      <c r="AQ133">
        <v>761</v>
      </c>
      <c r="AT133">
        <v>863</v>
      </c>
      <c r="AU133">
        <v>18.97</v>
      </c>
      <c r="AW133" t="s">
        <v>234</v>
      </c>
      <c r="AX133" t="s">
        <v>71</v>
      </c>
    </row>
    <row r="134" spans="1:50" x14ac:dyDescent="0.45">
      <c r="A134">
        <v>10133</v>
      </c>
      <c r="B134">
        <v>1</v>
      </c>
      <c r="C134">
        <v>89</v>
      </c>
      <c r="D134">
        <v>0</v>
      </c>
      <c r="E134">
        <v>0</v>
      </c>
      <c r="F134">
        <v>11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1</v>
      </c>
      <c r="W134">
        <v>1000</v>
      </c>
      <c r="X134">
        <v>70</v>
      </c>
      <c r="Y134">
        <v>0</v>
      </c>
      <c r="Z134">
        <v>1</v>
      </c>
      <c r="AA134">
        <v>0</v>
      </c>
      <c r="AB134">
        <v>0</v>
      </c>
      <c r="AC134">
        <v>1</v>
      </c>
      <c r="AD134">
        <v>850</v>
      </c>
      <c r="AE134">
        <v>1</v>
      </c>
      <c r="AF134">
        <v>1</v>
      </c>
      <c r="AG134">
        <v>0</v>
      </c>
      <c r="AH134">
        <v>0</v>
      </c>
      <c r="AI134">
        <v>0</v>
      </c>
      <c r="AO134">
        <v>17.600000000000001</v>
      </c>
      <c r="AP134">
        <v>0</v>
      </c>
      <c r="AQ134">
        <v>748.9</v>
      </c>
      <c r="AT134">
        <v>833</v>
      </c>
      <c r="AU134">
        <v>16.829999999999998</v>
      </c>
      <c r="AW134" t="s">
        <v>235</v>
      </c>
      <c r="AX134" t="s">
        <v>71</v>
      </c>
    </row>
    <row r="135" spans="1:50" x14ac:dyDescent="0.45">
      <c r="A135">
        <v>10134</v>
      </c>
      <c r="B135">
        <v>1</v>
      </c>
      <c r="C135">
        <v>88</v>
      </c>
      <c r="D135">
        <v>0</v>
      </c>
      <c r="E135">
        <v>0</v>
      </c>
      <c r="F135">
        <v>12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1</v>
      </c>
      <c r="W135">
        <v>1000</v>
      </c>
      <c r="X135">
        <v>70</v>
      </c>
      <c r="Y135">
        <v>0</v>
      </c>
      <c r="Z135">
        <v>1</v>
      </c>
      <c r="AA135">
        <v>0</v>
      </c>
      <c r="AB135">
        <v>0</v>
      </c>
      <c r="AC135">
        <v>1</v>
      </c>
      <c r="AD135">
        <v>850</v>
      </c>
      <c r="AE135">
        <v>1</v>
      </c>
      <c r="AF135">
        <v>1</v>
      </c>
      <c r="AG135">
        <v>0</v>
      </c>
      <c r="AH135">
        <v>0</v>
      </c>
      <c r="AI135">
        <v>0</v>
      </c>
      <c r="AO135">
        <v>19.200000000000003</v>
      </c>
      <c r="AP135">
        <v>0</v>
      </c>
      <c r="AQ135">
        <v>736.8</v>
      </c>
      <c r="AT135">
        <v>753</v>
      </c>
      <c r="AU135">
        <v>13.27</v>
      </c>
      <c r="AX135" t="s">
        <v>71</v>
      </c>
    </row>
    <row r="136" spans="1:50" x14ac:dyDescent="0.45">
      <c r="A136">
        <v>10135</v>
      </c>
      <c r="B136">
        <v>1</v>
      </c>
      <c r="C136">
        <v>87</v>
      </c>
      <c r="D136">
        <v>0</v>
      </c>
      <c r="E136">
        <v>0</v>
      </c>
      <c r="F136">
        <v>13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1</v>
      </c>
      <c r="W136">
        <v>1000</v>
      </c>
      <c r="X136">
        <v>70</v>
      </c>
      <c r="Y136">
        <v>0</v>
      </c>
      <c r="Z136">
        <v>1</v>
      </c>
      <c r="AA136">
        <v>0</v>
      </c>
      <c r="AB136">
        <v>0</v>
      </c>
      <c r="AC136">
        <v>1</v>
      </c>
      <c r="AD136">
        <v>850</v>
      </c>
      <c r="AE136">
        <v>1</v>
      </c>
      <c r="AF136">
        <v>1</v>
      </c>
      <c r="AG136">
        <v>0</v>
      </c>
      <c r="AH136">
        <v>0</v>
      </c>
      <c r="AI136">
        <v>0</v>
      </c>
      <c r="AO136">
        <v>20.8</v>
      </c>
      <c r="AP136">
        <v>0</v>
      </c>
      <c r="AQ136">
        <v>724.7</v>
      </c>
      <c r="AT136">
        <v>785</v>
      </c>
      <c r="AU136">
        <v>12.6</v>
      </c>
      <c r="AX136" t="s">
        <v>71</v>
      </c>
    </row>
    <row r="137" spans="1:50" x14ac:dyDescent="0.45">
      <c r="A137">
        <v>10136</v>
      </c>
      <c r="B137">
        <v>1</v>
      </c>
      <c r="C137">
        <v>86</v>
      </c>
      <c r="D137">
        <v>0</v>
      </c>
      <c r="E137">
        <v>0</v>
      </c>
      <c r="F137">
        <v>14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1</v>
      </c>
      <c r="W137">
        <v>1000</v>
      </c>
      <c r="X137">
        <v>70</v>
      </c>
      <c r="Y137">
        <v>0</v>
      </c>
      <c r="Z137">
        <v>1</v>
      </c>
      <c r="AA137">
        <v>0</v>
      </c>
      <c r="AB137">
        <v>0</v>
      </c>
      <c r="AC137">
        <v>1</v>
      </c>
      <c r="AD137">
        <v>850</v>
      </c>
      <c r="AE137">
        <v>1</v>
      </c>
      <c r="AF137">
        <v>1</v>
      </c>
      <c r="AG137">
        <v>0</v>
      </c>
      <c r="AH137">
        <v>0</v>
      </c>
      <c r="AI137">
        <v>0</v>
      </c>
      <c r="AO137">
        <v>22.400000000000002</v>
      </c>
      <c r="AP137">
        <v>0</v>
      </c>
      <c r="AQ137">
        <v>712.6</v>
      </c>
      <c r="AT137">
        <v>789</v>
      </c>
      <c r="AU137">
        <v>13.52</v>
      </c>
      <c r="AX137" t="s">
        <v>71</v>
      </c>
    </row>
    <row r="138" spans="1:50" x14ac:dyDescent="0.45">
      <c r="A138">
        <v>10137</v>
      </c>
      <c r="B138">
        <v>1</v>
      </c>
      <c r="C138">
        <v>88</v>
      </c>
      <c r="D138">
        <v>0</v>
      </c>
      <c r="E138">
        <v>0</v>
      </c>
      <c r="F138">
        <v>12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1</v>
      </c>
      <c r="W138">
        <v>1000</v>
      </c>
      <c r="X138">
        <v>70</v>
      </c>
      <c r="Y138">
        <v>0</v>
      </c>
      <c r="Z138">
        <v>1</v>
      </c>
      <c r="AA138">
        <v>0</v>
      </c>
      <c r="AB138">
        <v>0</v>
      </c>
      <c r="AC138">
        <v>1</v>
      </c>
      <c r="AD138">
        <v>850</v>
      </c>
      <c r="AE138">
        <v>1</v>
      </c>
      <c r="AF138">
        <v>1</v>
      </c>
      <c r="AG138">
        <v>0</v>
      </c>
      <c r="AH138">
        <v>0</v>
      </c>
      <c r="AI138">
        <v>0</v>
      </c>
      <c r="AO138">
        <v>19.200000000000003</v>
      </c>
      <c r="AP138">
        <v>0</v>
      </c>
      <c r="AQ138">
        <v>736.8</v>
      </c>
      <c r="AT138">
        <v>754</v>
      </c>
      <c r="AU138">
        <v>13.31</v>
      </c>
      <c r="AX138" t="s">
        <v>72</v>
      </c>
    </row>
    <row r="139" spans="1:50" x14ac:dyDescent="0.45">
      <c r="A139">
        <v>10138</v>
      </c>
      <c r="B139">
        <v>1</v>
      </c>
      <c r="C139">
        <v>90</v>
      </c>
      <c r="D139">
        <v>0</v>
      </c>
      <c r="E139">
        <v>0</v>
      </c>
      <c r="F139">
        <v>10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1</v>
      </c>
      <c r="W139">
        <v>1000</v>
      </c>
      <c r="X139">
        <v>70</v>
      </c>
      <c r="Y139">
        <v>0</v>
      </c>
      <c r="Z139">
        <v>1</v>
      </c>
      <c r="AA139">
        <v>0</v>
      </c>
      <c r="AB139">
        <v>0</v>
      </c>
      <c r="AC139">
        <v>1</v>
      </c>
      <c r="AD139">
        <v>850</v>
      </c>
      <c r="AE139">
        <v>1</v>
      </c>
      <c r="AF139">
        <v>1</v>
      </c>
      <c r="AG139">
        <v>0</v>
      </c>
      <c r="AH139">
        <v>0</v>
      </c>
      <c r="AI139">
        <v>0</v>
      </c>
      <c r="AO139">
        <v>16</v>
      </c>
      <c r="AP139">
        <v>0</v>
      </c>
      <c r="AQ139">
        <v>761</v>
      </c>
      <c r="AT139">
        <v>863</v>
      </c>
      <c r="AU139">
        <v>18.989999999999998</v>
      </c>
      <c r="AX139" t="s">
        <v>73</v>
      </c>
    </row>
    <row r="140" spans="1:50" x14ac:dyDescent="0.45">
      <c r="A140">
        <v>10139</v>
      </c>
      <c r="B140">
        <v>1</v>
      </c>
      <c r="C140">
        <v>89</v>
      </c>
      <c r="D140">
        <v>0</v>
      </c>
      <c r="E140">
        <v>0</v>
      </c>
      <c r="F140">
        <v>11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1</v>
      </c>
      <c r="W140">
        <v>1000</v>
      </c>
      <c r="X140">
        <v>70</v>
      </c>
      <c r="Y140">
        <v>0</v>
      </c>
      <c r="Z140">
        <v>1</v>
      </c>
      <c r="AA140">
        <v>0</v>
      </c>
      <c r="AB140">
        <v>0</v>
      </c>
      <c r="AC140">
        <v>1</v>
      </c>
      <c r="AD140">
        <v>850</v>
      </c>
      <c r="AE140">
        <v>1</v>
      </c>
      <c r="AF140">
        <v>1</v>
      </c>
      <c r="AG140">
        <v>0</v>
      </c>
      <c r="AH140">
        <v>0</v>
      </c>
      <c r="AI140">
        <v>0</v>
      </c>
      <c r="AO140">
        <v>17.600000000000001</v>
      </c>
      <c r="AP140">
        <v>0</v>
      </c>
      <c r="AQ140">
        <v>748.9</v>
      </c>
      <c r="AT140">
        <v>833</v>
      </c>
      <c r="AU140">
        <v>16.84</v>
      </c>
      <c r="AX140" t="s">
        <v>74</v>
      </c>
    </row>
    <row r="141" spans="1:50" x14ac:dyDescent="0.45">
      <c r="A141">
        <v>10140</v>
      </c>
      <c r="B141">
        <v>1</v>
      </c>
      <c r="C141">
        <v>88</v>
      </c>
      <c r="D141">
        <v>0</v>
      </c>
      <c r="E141">
        <v>0</v>
      </c>
      <c r="F141">
        <v>12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1</v>
      </c>
      <c r="W141">
        <v>1000</v>
      </c>
      <c r="X141">
        <v>70</v>
      </c>
      <c r="Y141">
        <v>0</v>
      </c>
      <c r="Z141">
        <v>1</v>
      </c>
      <c r="AA141">
        <v>0</v>
      </c>
      <c r="AB141">
        <v>0</v>
      </c>
      <c r="AC141">
        <v>1</v>
      </c>
      <c r="AD141">
        <v>850</v>
      </c>
      <c r="AE141">
        <v>1</v>
      </c>
      <c r="AF141">
        <v>1</v>
      </c>
      <c r="AG141">
        <v>0</v>
      </c>
      <c r="AH141">
        <v>0</v>
      </c>
      <c r="AI141">
        <v>0</v>
      </c>
      <c r="AO141">
        <v>19.200000000000003</v>
      </c>
      <c r="AP141">
        <v>0</v>
      </c>
      <c r="AQ141">
        <v>736.8</v>
      </c>
      <c r="AT141">
        <v>753</v>
      </c>
      <c r="AU141">
        <v>13.29</v>
      </c>
      <c r="AX141" t="s">
        <v>75</v>
      </c>
    </row>
    <row r="142" spans="1:50" x14ac:dyDescent="0.45">
      <c r="A142">
        <v>10141</v>
      </c>
      <c r="B142">
        <v>1</v>
      </c>
      <c r="C142">
        <v>87</v>
      </c>
      <c r="D142">
        <v>0</v>
      </c>
      <c r="E142">
        <v>0</v>
      </c>
      <c r="F142">
        <v>13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1</v>
      </c>
      <c r="W142">
        <v>1000</v>
      </c>
      <c r="X142">
        <v>70</v>
      </c>
      <c r="Y142">
        <v>0</v>
      </c>
      <c r="Z142">
        <v>1</v>
      </c>
      <c r="AA142">
        <v>0</v>
      </c>
      <c r="AB142">
        <v>0</v>
      </c>
      <c r="AC142">
        <v>1</v>
      </c>
      <c r="AD142">
        <v>850</v>
      </c>
      <c r="AE142">
        <v>1</v>
      </c>
      <c r="AF142">
        <v>1</v>
      </c>
      <c r="AG142">
        <v>0</v>
      </c>
      <c r="AH142">
        <v>0</v>
      </c>
      <c r="AI142">
        <v>0</v>
      </c>
      <c r="AO142">
        <v>20.8</v>
      </c>
      <c r="AP142">
        <v>0</v>
      </c>
      <c r="AQ142">
        <v>724.7</v>
      </c>
      <c r="AT142">
        <v>785</v>
      </c>
      <c r="AU142">
        <v>12.58</v>
      </c>
      <c r="AX142" t="s">
        <v>76</v>
      </c>
    </row>
    <row r="143" spans="1:50" x14ac:dyDescent="0.45">
      <c r="A143">
        <v>10142</v>
      </c>
      <c r="B143">
        <v>1</v>
      </c>
      <c r="C143">
        <v>86</v>
      </c>
      <c r="D143">
        <v>0</v>
      </c>
      <c r="E143">
        <v>0</v>
      </c>
      <c r="F143">
        <v>14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1</v>
      </c>
      <c r="W143">
        <v>1000</v>
      </c>
      <c r="X143">
        <v>70</v>
      </c>
      <c r="Y143">
        <v>0</v>
      </c>
      <c r="Z143">
        <v>1</v>
      </c>
      <c r="AA143">
        <v>0</v>
      </c>
      <c r="AB143">
        <v>0</v>
      </c>
      <c r="AC143">
        <v>1</v>
      </c>
      <c r="AD143">
        <v>850</v>
      </c>
      <c r="AE143">
        <v>1</v>
      </c>
      <c r="AF143">
        <v>1</v>
      </c>
      <c r="AG143">
        <v>0</v>
      </c>
      <c r="AH143">
        <v>0</v>
      </c>
      <c r="AI143">
        <v>0</v>
      </c>
      <c r="AO143">
        <v>22.400000000000002</v>
      </c>
      <c r="AP143">
        <v>0</v>
      </c>
      <c r="AQ143">
        <v>712.6</v>
      </c>
      <c r="AT143">
        <v>789</v>
      </c>
      <c r="AU143">
        <v>13.49</v>
      </c>
      <c r="AX143" t="s">
        <v>77</v>
      </c>
    </row>
    <row r="144" spans="1:50" x14ac:dyDescent="0.45">
      <c r="A144">
        <v>10143</v>
      </c>
      <c r="B144">
        <v>1</v>
      </c>
      <c r="C144">
        <v>94.129000000000005</v>
      </c>
      <c r="D144">
        <v>5.73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Y144">
        <v>1</v>
      </c>
      <c r="Z144">
        <v>0</v>
      </c>
      <c r="AA144">
        <v>0</v>
      </c>
      <c r="AB144">
        <v>0</v>
      </c>
      <c r="AC144">
        <v>1</v>
      </c>
      <c r="AD144">
        <v>1000</v>
      </c>
      <c r="AE144">
        <v>1</v>
      </c>
      <c r="AI144">
        <v>0</v>
      </c>
      <c r="AO144">
        <v>-5.73</v>
      </c>
      <c r="AP144">
        <v>5.73</v>
      </c>
      <c r="AQ144">
        <v>894.03300000000002</v>
      </c>
      <c r="AT144">
        <v>932</v>
      </c>
      <c r="AX144" t="s">
        <v>49</v>
      </c>
    </row>
    <row r="145" spans="1:50" x14ac:dyDescent="0.45">
      <c r="A145">
        <v>10144</v>
      </c>
      <c r="B145">
        <v>1</v>
      </c>
      <c r="C145">
        <v>94.207999999999998</v>
      </c>
      <c r="D145">
        <v>5.73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Y145">
        <v>1</v>
      </c>
      <c r="Z145">
        <v>0</v>
      </c>
      <c r="AA145">
        <v>0</v>
      </c>
      <c r="AB145">
        <v>0</v>
      </c>
      <c r="AC145">
        <v>1</v>
      </c>
      <c r="AD145">
        <v>1000</v>
      </c>
      <c r="AE145">
        <v>1</v>
      </c>
      <c r="AI145">
        <v>0</v>
      </c>
      <c r="AO145">
        <v>-5.73</v>
      </c>
      <c r="AP145">
        <v>5.73</v>
      </c>
      <c r="AQ145">
        <v>894.03300000000002</v>
      </c>
      <c r="AT145">
        <v>695</v>
      </c>
      <c r="AX145" t="s">
        <v>49</v>
      </c>
    </row>
    <row r="146" spans="1:50" x14ac:dyDescent="0.45">
      <c r="A146">
        <v>10145</v>
      </c>
      <c r="B146">
        <v>1</v>
      </c>
      <c r="C146">
        <v>93.06</v>
      </c>
      <c r="D146">
        <v>0</v>
      </c>
      <c r="E146">
        <v>0</v>
      </c>
      <c r="F146">
        <v>0</v>
      </c>
      <c r="G146">
        <v>0</v>
      </c>
      <c r="H146">
        <v>6.94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Y146">
        <v>1</v>
      </c>
      <c r="Z146">
        <v>0</v>
      </c>
      <c r="AA146">
        <v>0</v>
      </c>
      <c r="AB146">
        <v>0</v>
      </c>
      <c r="AC146">
        <v>0</v>
      </c>
      <c r="AI146">
        <v>0</v>
      </c>
      <c r="AO146">
        <v>20.126000000000001</v>
      </c>
      <c r="AP146">
        <v>0</v>
      </c>
      <c r="AQ146">
        <v>775.12400000000002</v>
      </c>
      <c r="AR146">
        <v>129</v>
      </c>
      <c r="AS146">
        <v>1560</v>
      </c>
      <c r="AX146" t="s">
        <v>60</v>
      </c>
    </row>
    <row r="147" spans="1:50" x14ac:dyDescent="0.45">
      <c r="A147">
        <v>10146</v>
      </c>
      <c r="B147">
        <v>1</v>
      </c>
      <c r="C147">
        <v>93.94</v>
      </c>
      <c r="D147">
        <v>0</v>
      </c>
      <c r="E147">
        <v>0</v>
      </c>
      <c r="F147">
        <v>0</v>
      </c>
      <c r="G147">
        <v>0</v>
      </c>
      <c r="H147">
        <v>6.0600000000000005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Y147">
        <v>1</v>
      </c>
      <c r="Z147">
        <v>0</v>
      </c>
      <c r="AA147">
        <v>0</v>
      </c>
      <c r="AB147">
        <v>0</v>
      </c>
      <c r="AC147">
        <v>0</v>
      </c>
      <c r="AI147">
        <v>0</v>
      </c>
      <c r="AO147">
        <v>17.574000000000002</v>
      </c>
      <c r="AP147">
        <v>0</v>
      </c>
      <c r="AQ147">
        <v>788.67599999999993</v>
      </c>
      <c r="AR147">
        <v>130</v>
      </c>
      <c r="AS147">
        <v>1847</v>
      </c>
      <c r="AX147" t="s">
        <v>60</v>
      </c>
    </row>
    <row r="148" spans="1:50" x14ac:dyDescent="0.45">
      <c r="A148">
        <v>10147</v>
      </c>
      <c r="B148">
        <v>1</v>
      </c>
      <c r="C148">
        <v>30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70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Y148">
        <v>1</v>
      </c>
      <c r="Z148">
        <v>0</v>
      </c>
      <c r="AA148">
        <v>0</v>
      </c>
      <c r="AB148">
        <v>0</v>
      </c>
      <c r="AC148">
        <v>0</v>
      </c>
      <c r="AI148">
        <v>0</v>
      </c>
      <c r="AO148">
        <v>0</v>
      </c>
      <c r="AP148">
        <v>11.666666666666666</v>
      </c>
      <c r="AQ148">
        <v>399</v>
      </c>
      <c r="AR148">
        <v>74.7</v>
      </c>
    </row>
    <row r="149" spans="1:50" x14ac:dyDescent="0.45">
      <c r="A149">
        <v>10148</v>
      </c>
      <c r="B149">
        <v>1</v>
      </c>
      <c r="C149">
        <v>91.53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8.4700000000000006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Y149">
        <v>1</v>
      </c>
      <c r="Z149">
        <v>0</v>
      </c>
      <c r="AA149">
        <v>0</v>
      </c>
      <c r="AB149">
        <v>0</v>
      </c>
      <c r="AC149">
        <v>0</v>
      </c>
      <c r="AI149">
        <v>0</v>
      </c>
      <c r="AO149">
        <v>0</v>
      </c>
      <c r="AP149">
        <v>1.4116666666666668</v>
      </c>
      <c r="AQ149">
        <v>823.55700000000002</v>
      </c>
      <c r="AR149">
        <v>110.5</v>
      </c>
    </row>
    <row r="150" spans="1:50" x14ac:dyDescent="0.45">
      <c r="A150">
        <v>10149</v>
      </c>
      <c r="B150">
        <v>1</v>
      </c>
      <c r="C150">
        <v>72.5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27.5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Y150">
        <v>1</v>
      </c>
      <c r="Z150">
        <v>0</v>
      </c>
      <c r="AA150">
        <v>0</v>
      </c>
      <c r="AB150">
        <v>0</v>
      </c>
      <c r="AC150">
        <v>0</v>
      </c>
      <c r="AI150">
        <v>0</v>
      </c>
      <c r="AO150">
        <v>0</v>
      </c>
      <c r="AP150">
        <v>4.583333333333333</v>
      </c>
      <c r="AQ150">
        <v>692.25</v>
      </c>
      <c r="AR150">
        <v>94.61</v>
      </c>
    </row>
    <row r="151" spans="1:50" x14ac:dyDescent="0.45">
      <c r="A151">
        <v>10150</v>
      </c>
      <c r="B151">
        <v>1</v>
      </c>
      <c r="C151">
        <v>59.47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1.53</v>
      </c>
      <c r="K151">
        <v>39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Y151">
        <v>1</v>
      </c>
      <c r="Z151">
        <v>0</v>
      </c>
      <c r="AA151">
        <v>0</v>
      </c>
      <c r="AB151">
        <v>0</v>
      </c>
      <c r="AC151">
        <v>1</v>
      </c>
      <c r="AD151">
        <v>850</v>
      </c>
      <c r="AE151">
        <v>1</v>
      </c>
      <c r="AF151">
        <v>1</v>
      </c>
      <c r="AG151">
        <v>0</v>
      </c>
      <c r="AH151">
        <v>0</v>
      </c>
      <c r="AI151">
        <v>0</v>
      </c>
      <c r="AO151">
        <v>10.920000000000002</v>
      </c>
      <c r="AP151">
        <v>0.255</v>
      </c>
      <c r="AQ151">
        <v>871.44299999999998</v>
      </c>
      <c r="AT151">
        <v>598.70000000000005</v>
      </c>
      <c r="AU151">
        <v>21.88</v>
      </c>
      <c r="AX151" t="s">
        <v>51</v>
      </c>
    </row>
    <row r="152" spans="1:50" x14ac:dyDescent="0.45">
      <c r="A152">
        <v>10151</v>
      </c>
      <c r="B152">
        <v>1</v>
      </c>
      <c r="C152">
        <v>58.24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3.04</v>
      </c>
      <c r="K152">
        <v>38.72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Y152">
        <v>1</v>
      </c>
      <c r="Z152">
        <v>0</v>
      </c>
      <c r="AA152">
        <v>0</v>
      </c>
      <c r="AB152">
        <v>0</v>
      </c>
      <c r="AC152">
        <v>1</v>
      </c>
      <c r="AD152">
        <v>850</v>
      </c>
      <c r="AE152">
        <v>1</v>
      </c>
      <c r="AF152">
        <v>1</v>
      </c>
      <c r="AG152">
        <v>0</v>
      </c>
      <c r="AH152">
        <v>0</v>
      </c>
      <c r="AI152">
        <v>0</v>
      </c>
      <c r="AO152">
        <v>10.841600000000001</v>
      </c>
      <c r="AP152">
        <v>0.50666666666666671</v>
      </c>
      <c r="AQ152">
        <v>861.024</v>
      </c>
      <c r="AT152">
        <v>667.1</v>
      </c>
      <c r="AU152">
        <v>11.03</v>
      </c>
      <c r="AX152" t="s">
        <v>51</v>
      </c>
    </row>
    <row r="153" spans="1:50" x14ac:dyDescent="0.45">
      <c r="A153">
        <v>10152</v>
      </c>
      <c r="B153">
        <v>1</v>
      </c>
      <c r="C153">
        <v>57.03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4.53</v>
      </c>
      <c r="K153">
        <v>38.44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Y153">
        <v>1</v>
      </c>
      <c r="Z153">
        <v>0</v>
      </c>
      <c r="AA153">
        <v>0</v>
      </c>
      <c r="AB153">
        <v>0</v>
      </c>
      <c r="AC153">
        <v>1</v>
      </c>
      <c r="AD153">
        <v>850</v>
      </c>
      <c r="AE153">
        <v>1</v>
      </c>
      <c r="AF153">
        <v>1</v>
      </c>
      <c r="AG153">
        <v>0</v>
      </c>
      <c r="AH153">
        <v>0</v>
      </c>
      <c r="AI153">
        <v>0</v>
      </c>
      <c r="AO153">
        <v>10.763200000000001</v>
      </c>
      <c r="AP153">
        <v>0.755</v>
      </c>
      <c r="AQ153">
        <v>850.74299999999994</v>
      </c>
      <c r="AT153">
        <v>768.2</v>
      </c>
      <c r="AU153">
        <v>5.26</v>
      </c>
      <c r="AX153" t="s">
        <v>51</v>
      </c>
    </row>
    <row r="154" spans="1:50" x14ac:dyDescent="0.45">
      <c r="A154">
        <v>10153</v>
      </c>
      <c r="B154">
        <v>1</v>
      </c>
      <c r="C154">
        <v>55.84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6</v>
      </c>
      <c r="K154">
        <v>38.159999999999997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Y154">
        <v>1</v>
      </c>
      <c r="Z154">
        <v>0</v>
      </c>
      <c r="AA154">
        <v>0</v>
      </c>
      <c r="AB154">
        <v>0</v>
      </c>
      <c r="AC154">
        <v>1</v>
      </c>
      <c r="AD154">
        <v>850</v>
      </c>
      <c r="AE154">
        <v>1</v>
      </c>
      <c r="AF154">
        <v>1</v>
      </c>
      <c r="AG154">
        <v>0</v>
      </c>
      <c r="AH154">
        <v>0</v>
      </c>
      <c r="AI154">
        <v>0</v>
      </c>
      <c r="AO154">
        <v>10.684799999999999</v>
      </c>
      <c r="AP154">
        <v>1</v>
      </c>
      <c r="AQ154">
        <v>840.6</v>
      </c>
      <c r="AT154">
        <v>746.6</v>
      </c>
      <c r="AU154">
        <v>3.88</v>
      </c>
      <c r="AX154" t="s">
        <v>51</v>
      </c>
    </row>
    <row r="155" spans="1:50" x14ac:dyDescent="0.45">
      <c r="A155">
        <v>10154</v>
      </c>
      <c r="B155">
        <v>1</v>
      </c>
      <c r="C155">
        <v>53.5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8.8699999999999992</v>
      </c>
      <c r="K155">
        <v>37.630000000000003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Y155">
        <v>1</v>
      </c>
      <c r="Z155">
        <v>0</v>
      </c>
      <c r="AA155">
        <v>0</v>
      </c>
      <c r="AB155">
        <v>0</v>
      </c>
      <c r="AC155">
        <v>1</v>
      </c>
      <c r="AD155">
        <v>850</v>
      </c>
      <c r="AE155">
        <v>1</v>
      </c>
      <c r="AF155">
        <v>1</v>
      </c>
      <c r="AG155">
        <v>0</v>
      </c>
      <c r="AH155">
        <v>0</v>
      </c>
      <c r="AI155">
        <v>0</v>
      </c>
      <c r="AO155">
        <v>10.536400000000002</v>
      </c>
      <c r="AP155">
        <v>1.4783333333333333</v>
      </c>
      <c r="AQ155">
        <v>820.79700000000003</v>
      </c>
      <c r="AT155">
        <v>655.29999999999995</v>
      </c>
      <c r="AU155">
        <v>8.0500000000000007</v>
      </c>
      <c r="AW155" t="s">
        <v>237</v>
      </c>
      <c r="AX155" t="s">
        <v>51</v>
      </c>
    </row>
    <row r="156" spans="1:50" x14ac:dyDescent="0.45">
      <c r="A156">
        <v>10155</v>
      </c>
      <c r="B156">
        <v>1</v>
      </c>
      <c r="C156">
        <v>62.04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3.11</v>
      </c>
      <c r="K156">
        <v>34.85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1</v>
      </c>
      <c r="W156">
        <v>20</v>
      </c>
      <c r="X156">
        <v>95</v>
      </c>
      <c r="Y156">
        <v>0</v>
      </c>
      <c r="Z156">
        <v>1</v>
      </c>
      <c r="AA156">
        <v>0</v>
      </c>
      <c r="AB156">
        <v>0</v>
      </c>
      <c r="AC156">
        <v>1</v>
      </c>
      <c r="AD156">
        <v>900</v>
      </c>
      <c r="AE156">
        <v>0.5</v>
      </c>
      <c r="AF156">
        <v>1</v>
      </c>
      <c r="AG156">
        <v>0</v>
      </c>
      <c r="AH156">
        <v>0</v>
      </c>
      <c r="AI156">
        <v>0</v>
      </c>
      <c r="AO156">
        <v>9.7580000000000009</v>
      </c>
      <c r="AP156">
        <v>0.51833333333333331</v>
      </c>
      <c r="AQ156">
        <v>860.54100000000005</v>
      </c>
      <c r="AT156">
        <v>459</v>
      </c>
      <c r="AU156">
        <v>38.22</v>
      </c>
      <c r="AW156" t="s">
        <v>237</v>
      </c>
      <c r="AX156" t="s">
        <v>111</v>
      </c>
    </row>
    <row r="157" spans="1:50" x14ac:dyDescent="0.45">
      <c r="A157">
        <v>10156</v>
      </c>
      <c r="B157">
        <v>1</v>
      </c>
      <c r="C157">
        <v>59.52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6.13</v>
      </c>
      <c r="K157">
        <v>34.35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1</v>
      </c>
      <c r="W157">
        <v>20</v>
      </c>
      <c r="X157">
        <v>95</v>
      </c>
      <c r="Y157">
        <v>0</v>
      </c>
      <c r="Z157">
        <v>1</v>
      </c>
      <c r="AA157">
        <v>0</v>
      </c>
      <c r="AB157">
        <v>0</v>
      </c>
      <c r="AC157">
        <v>1</v>
      </c>
      <c r="AD157">
        <v>900</v>
      </c>
      <c r="AE157">
        <v>0.5</v>
      </c>
      <c r="AF157">
        <v>1</v>
      </c>
      <c r="AG157">
        <v>0</v>
      </c>
      <c r="AH157">
        <v>0</v>
      </c>
      <c r="AI157">
        <v>0</v>
      </c>
      <c r="AO157">
        <v>9.6180000000000021</v>
      </c>
      <c r="AP157">
        <v>1.0216666666666667</v>
      </c>
      <c r="AQ157">
        <v>839.70299999999997</v>
      </c>
      <c r="AT157">
        <v>468</v>
      </c>
      <c r="AU157">
        <v>40.65</v>
      </c>
      <c r="AW157" t="s">
        <v>237</v>
      </c>
      <c r="AX157" t="s">
        <v>79</v>
      </c>
    </row>
    <row r="158" spans="1:50" x14ac:dyDescent="0.45">
      <c r="A158">
        <v>10157</v>
      </c>
      <c r="B158">
        <v>1</v>
      </c>
      <c r="C158">
        <v>57.08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9.07</v>
      </c>
      <c r="K158">
        <v>33.85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1</v>
      </c>
      <c r="W158">
        <v>20</v>
      </c>
      <c r="X158">
        <v>95</v>
      </c>
      <c r="Y158">
        <v>0</v>
      </c>
      <c r="Z158">
        <v>1</v>
      </c>
      <c r="AA158">
        <v>0</v>
      </c>
      <c r="AB158">
        <v>0</v>
      </c>
      <c r="AC158">
        <v>1</v>
      </c>
      <c r="AD158">
        <v>900</v>
      </c>
      <c r="AE158">
        <v>0.5</v>
      </c>
      <c r="AF158">
        <v>1</v>
      </c>
      <c r="AG158">
        <v>0</v>
      </c>
      <c r="AH158">
        <v>0</v>
      </c>
      <c r="AI158">
        <v>0</v>
      </c>
      <c r="AO158">
        <v>9.4780000000000015</v>
      </c>
      <c r="AP158">
        <v>1.5116666666666667</v>
      </c>
      <c r="AQ158">
        <v>819.41700000000003</v>
      </c>
      <c r="AT158">
        <v>456</v>
      </c>
      <c r="AU158">
        <v>28.57</v>
      </c>
      <c r="AW158" t="s">
        <v>237</v>
      </c>
      <c r="AX158" t="s">
        <v>80</v>
      </c>
    </row>
    <row r="159" spans="1:50" x14ac:dyDescent="0.45">
      <c r="A159">
        <v>10158</v>
      </c>
      <c r="B159">
        <v>1</v>
      </c>
      <c r="C159">
        <v>54.71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11.92</v>
      </c>
      <c r="K159">
        <v>33.369999999999997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1</v>
      </c>
      <c r="W159">
        <v>20</v>
      </c>
      <c r="X159">
        <v>95</v>
      </c>
      <c r="Y159">
        <v>0</v>
      </c>
      <c r="Z159">
        <v>1</v>
      </c>
      <c r="AA159">
        <v>0</v>
      </c>
      <c r="AB159">
        <v>0</v>
      </c>
      <c r="AC159">
        <v>1</v>
      </c>
      <c r="AD159">
        <v>900</v>
      </c>
      <c r="AE159">
        <v>0.5</v>
      </c>
      <c r="AF159">
        <v>1</v>
      </c>
      <c r="AG159">
        <v>0</v>
      </c>
      <c r="AH159">
        <v>0</v>
      </c>
      <c r="AI159">
        <v>0</v>
      </c>
      <c r="AO159">
        <v>9.3436000000000003</v>
      </c>
      <c r="AP159">
        <v>1.9866666666666666</v>
      </c>
      <c r="AQ159">
        <v>799.75199999999995</v>
      </c>
      <c r="AT159">
        <v>480</v>
      </c>
      <c r="AU159">
        <v>27.6</v>
      </c>
      <c r="AW159" t="s">
        <v>237</v>
      </c>
      <c r="AX159" t="s">
        <v>81</v>
      </c>
    </row>
    <row r="160" spans="1:50" x14ac:dyDescent="0.45">
      <c r="A160">
        <v>10159</v>
      </c>
      <c r="B160">
        <v>1</v>
      </c>
      <c r="C160">
        <v>74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13</v>
      </c>
      <c r="K160">
        <v>13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1</v>
      </c>
      <c r="W160">
        <v>800</v>
      </c>
      <c r="X160">
        <v>35</v>
      </c>
      <c r="Y160">
        <v>0</v>
      </c>
      <c r="Z160">
        <v>1</v>
      </c>
      <c r="AA160">
        <v>0</v>
      </c>
      <c r="AB160">
        <v>0</v>
      </c>
      <c r="AC160">
        <v>1</v>
      </c>
      <c r="AD160">
        <v>800</v>
      </c>
      <c r="AE160">
        <v>1</v>
      </c>
      <c r="AF160">
        <v>0</v>
      </c>
      <c r="AG160">
        <v>0</v>
      </c>
      <c r="AH160">
        <v>1</v>
      </c>
      <c r="AI160">
        <v>0</v>
      </c>
      <c r="AO160">
        <v>3.6400000000000006</v>
      </c>
      <c r="AP160">
        <v>2.1666666666666665</v>
      </c>
      <c r="AQ160">
        <v>792.3</v>
      </c>
      <c r="AT160">
        <v>732</v>
      </c>
      <c r="AU160">
        <v>16.25</v>
      </c>
      <c r="AW160" t="s">
        <v>236</v>
      </c>
      <c r="AX160" t="s">
        <v>82</v>
      </c>
    </row>
    <row r="161" spans="1:50" x14ac:dyDescent="0.45">
      <c r="A161">
        <v>10160</v>
      </c>
      <c r="B161">
        <v>1</v>
      </c>
      <c r="C161">
        <v>74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13</v>
      </c>
      <c r="K161">
        <v>13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1</v>
      </c>
      <c r="W161">
        <v>800</v>
      </c>
      <c r="X161">
        <v>35</v>
      </c>
      <c r="Y161">
        <v>0</v>
      </c>
      <c r="Z161">
        <v>1</v>
      </c>
      <c r="AA161">
        <v>0</v>
      </c>
      <c r="AB161">
        <v>0</v>
      </c>
      <c r="AC161">
        <v>1</v>
      </c>
      <c r="AD161">
        <v>800</v>
      </c>
      <c r="AE161">
        <v>1</v>
      </c>
      <c r="AF161">
        <v>0</v>
      </c>
      <c r="AG161">
        <v>1</v>
      </c>
      <c r="AH161">
        <v>0</v>
      </c>
      <c r="AI161">
        <v>0</v>
      </c>
      <c r="AO161">
        <v>3.6400000000000006</v>
      </c>
      <c r="AP161">
        <v>2.1666666666666665</v>
      </c>
      <c r="AQ161">
        <v>792.3</v>
      </c>
      <c r="AT161">
        <v>773</v>
      </c>
      <c r="AU161">
        <v>12.24</v>
      </c>
      <c r="AW161" t="s">
        <v>237</v>
      </c>
      <c r="AX161" t="s">
        <v>82</v>
      </c>
    </row>
    <row r="162" spans="1:50" x14ac:dyDescent="0.45">
      <c r="A162">
        <v>10161</v>
      </c>
      <c r="B162">
        <v>1</v>
      </c>
      <c r="C162">
        <v>74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13</v>
      </c>
      <c r="K162">
        <v>13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1</v>
      </c>
      <c r="W162">
        <v>800</v>
      </c>
      <c r="X162">
        <v>35</v>
      </c>
      <c r="Y162">
        <v>0</v>
      </c>
      <c r="Z162">
        <v>1</v>
      </c>
      <c r="AA162">
        <v>0</v>
      </c>
      <c r="AB162">
        <v>0</v>
      </c>
      <c r="AC162">
        <v>1</v>
      </c>
      <c r="AD162">
        <v>800</v>
      </c>
      <c r="AE162">
        <v>1</v>
      </c>
      <c r="AF162">
        <v>1</v>
      </c>
      <c r="AG162">
        <v>0</v>
      </c>
      <c r="AH162">
        <v>0</v>
      </c>
      <c r="AI162">
        <v>0</v>
      </c>
      <c r="AO162">
        <v>3.6400000000000006</v>
      </c>
      <c r="AP162">
        <v>2.1666666666666665</v>
      </c>
      <c r="AQ162">
        <v>792.3</v>
      </c>
      <c r="AT162">
        <v>743</v>
      </c>
      <c r="AU162">
        <v>20.23</v>
      </c>
      <c r="AW162" t="s">
        <v>238</v>
      </c>
      <c r="AX162" t="s">
        <v>82</v>
      </c>
    </row>
    <row r="163" spans="1:50" x14ac:dyDescent="0.45">
      <c r="A163">
        <v>10162</v>
      </c>
      <c r="B163">
        <v>1</v>
      </c>
      <c r="C163">
        <v>74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13</v>
      </c>
      <c r="K163">
        <v>13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1</v>
      </c>
      <c r="W163">
        <v>800</v>
      </c>
      <c r="X163">
        <v>35</v>
      </c>
      <c r="Y163">
        <v>0</v>
      </c>
      <c r="Z163">
        <v>1</v>
      </c>
      <c r="AA163">
        <v>0</v>
      </c>
      <c r="AB163">
        <v>0</v>
      </c>
      <c r="AC163">
        <v>1</v>
      </c>
      <c r="AD163">
        <v>800</v>
      </c>
      <c r="AE163">
        <v>1</v>
      </c>
      <c r="AF163">
        <v>1</v>
      </c>
      <c r="AG163">
        <v>0</v>
      </c>
      <c r="AH163">
        <v>0</v>
      </c>
      <c r="AI163">
        <v>1</v>
      </c>
      <c r="AJ163">
        <v>500</v>
      </c>
      <c r="AK163">
        <v>5</v>
      </c>
      <c r="AL163">
        <v>1</v>
      </c>
      <c r="AM163">
        <v>0</v>
      </c>
      <c r="AN163">
        <v>0</v>
      </c>
      <c r="AO163">
        <v>3.6400000000000006</v>
      </c>
      <c r="AP163">
        <v>2.1666666666666665</v>
      </c>
      <c r="AQ163">
        <v>792.3</v>
      </c>
      <c r="AT163">
        <v>1047</v>
      </c>
      <c r="AU163">
        <v>4.26</v>
      </c>
      <c r="AW163" t="s">
        <v>239</v>
      </c>
      <c r="AX163" t="s">
        <v>82</v>
      </c>
    </row>
    <row r="164" spans="1:50" x14ac:dyDescent="0.45">
      <c r="A164">
        <v>10163</v>
      </c>
      <c r="B164">
        <v>1</v>
      </c>
      <c r="C164">
        <v>74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13</v>
      </c>
      <c r="K164">
        <v>13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1</v>
      </c>
      <c r="W164">
        <v>800</v>
      </c>
      <c r="X164">
        <v>35</v>
      </c>
      <c r="Y164">
        <v>0</v>
      </c>
      <c r="Z164">
        <v>1</v>
      </c>
      <c r="AA164">
        <v>0</v>
      </c>
      <c r="AB164">
        <v>0</v>
      </c>
      <c r="AC164">
        <v>1</v>
      </c>
      <c r="AD164">
        <v>650</v>
      </c>
      <c r="AE164">
        <v>1</v>
      </c>
      <c r="AF164">
        <v>0</v>
      </c>
      <c r="AG164">
        <v>0</v>
      </c>
      <c r="AH164">
        <v>1</v>
      </c>
      <c r="AI164">
        <v>0</v>
      </c>
      <c r="AO164">
        <v>3.6400000000000006</v>
      </c>
      <c r="AP164">
        <v>2.1666666666666665</v>
      </c>
      <c r="AQ164">
        <v>792.3</v>
      </c>
      <c r="AT164">
        <v>791</v>
      </c>
      <c r="AU164">
        <v>11.11</v>
      </c>
      <c r="AW164" t="s">
        <v>240</v>
      </c>
      <c r="AX164" t="s">
        <v>82</v>
      </c>
    </row>
    <row r="165" spans="1:50" x14ac:dyDescent="0.45">
      <c r="A165">
        <v>10164</v>
      </c>
      <c r="B165">
        <v>1</v>
      </c>
      <c r="C165">
        <v>74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13</v>
      </c>
      <c r="K165">
        <v>13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1</v>
      </c>
      <c r="W165">
        <v>800</v>
      </c>
      <c r="X165">
        <v>35</v>
      </c>
      <c r="Y165">
        <v>0</v>
      </c>
      <c r="Z165">
        <v>1</v>
      </c>
      <c r="AA165">
        <v>0</v>
      </c>
      <c r="AB165">
        <v>0</v>
      </c>
      <c r="AC165">
        <v>1</v>
      </c>
      <c r="AD165">
        <v>650</v>
      </c>
      <c r="AE165">
        <v>1</v>
      </c>
      <c r="AF165">
        <v>0</v>
      </c>
      <c r="AG165">
        <v>1</v>
      </c>
      <c r="AH165">
        <v>0</v>
      </c>
      <c r="AI165">
        <v>0</v>
      </c>
      <c r="AO165">
        <v>3.6400000000000006</v>
      </c>
      <c r="AP165">
        <v>2.1666666666666665</v>
      </c>
      <c r="AQ165">
        <v>792.3</v>
      </c>
      <c r="AT165">
        <v>871</v>
      </c>
      <c r="AU165">
        <v>11.15</v>
      </c>
      <c r="AW165" t="s">
        <v>241</v>
      </c>
      <c r="AX165" t="s">
        <v>82</v>
      </c>
    </row>
    <row r="166" spans="1:50" x14ac:dyDescent="0.45">
      <c r="A166">
        <v>10165</v>
      </c>
      <c r="B166">
        <v>1</v>
      </c>
      <c r="C166">
        <v>74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13</v>
      </c>
      <c r="K166">
        <v>13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1</v>
      </c>
      <c r="W166">
        <v>800</v>
      </c>
      <c r="X166">
        <v>35</v>
      </c>
      <c r="Y166">
        <v>0</v>
      </c>
      <c r="Z166">
        <v>1</v>
      </c>
      <c r="AA166">
        <v>0</v>
      </c>
      <c r="AB166">
        <v>0</v>
      </c>
      <c r="AC166">
        <v>1</v>
      </c>
      <c r="AD166">
        <v>650</v>
      </c>
      <c r="AE166">
        <v>1</v>
      </c>
      <c r="AF166">
        <v>1</v>
      </c>
      <c r="AG166">
        <v>0</v>
      </c>
      <c r="AH166">
        <v>0</v>
      </c>
      <c r="AI166">
        <v>0</v>
      </c>
      <c r="AO166">
        <v>3.6400000000000006</v>
      </c>
      <c r="AP166">
        <v>2.1666666666666665</v>
      </c>
      <c r="AQ166">
        <v>792.3</v>
      </c>
      <c r="AT166">
        <v>807</v>
      </c>
      <c r="AU166">
        <v>16.989999999999998</v>
      </c>
      <c r="AX166" t="s">
        <v>82</v>
      </c>
    </row>
    <row r="167" spans="1:50" x14ac:dyDescent="0.45">
      <c r="A167">
        <v>10166</v>
      </c>
      <c r="B167">
        <v>1</v>
      </c>
      <c r="C167">
        <v>74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13</v>
      </c>
      <c r="K167">
        <v>13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1</v>
      </c>
      <c r="W167">
        <v>800</v>
      </c>
      <c r="X167">
        <v>35</v>
      </c>
      <c r="Y167">
        <v>0</v>
      </c>
      <c r="Z167">
        <v>1</v>
      </c>
      <c r="AA167">
        <v>0</v>
      </c>
      <c r="AB167">
        <v>0</v>
      </c>
      <c r="AC167">
        <v>1</v>
      </c>
      <c r="AD167">
        <v>650</v>
      </c>
      <c r="AE167">
        <v>1</v>
      </c>
      <c r="AF167">
        <v>1</v>
      </c>
      <c r="AG167">
        <v>0</v>
      </c>
      <c r="AH167">
        <v>0</v>
      </c>
      <c r="AI167">
        <v>1</v>
      </c>
      <c r="AJ167">
        <v>500</v>
      </c>
      <c r="AK167">
        <v>5</v>
      </c>
      <c r="AL167">
        <v>1</v>
      </c>
      <c r="AM167">
        <v>0</v>
      </c>
      <c r="AN167">
        <v>0</v>
      </c>
      <c r="AO167">
        <v>3.6400000000000006</v>
      </c>
      <c r="AP167">
        <v>2.1666666666666665</v>
      </c>
      <c r="AQ167">
        <v>792.3</v>
      </c>
      <c r="AT167">
        <v>881</v>
      </c>
      <c r="AU167">
        <v>8.34</v>
      </c>
      <c r="AX167" t="s">
        <v>82</v>
      </c>
    </row>
    <row r="168" spans="1:50" x14ac:dyDescent="0.45">
      <c r="A168">
        <v>10167</v>
      </c>
      <c r="B168">
        <v>1</v>
      </c>
      <c r="C168">
        <v>74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13</v>
      </c>
      <c r="K168">
        <v>13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1</v>
      </c>
      <c r="W168">
        <v>650</v>
      </c>
      <c r="X168">
        <v>35</v>
      </c>
      <c r="Y168">
        <v>0</v>
      </c>
      <c r="Z168">
        <v>1</v>
      </c>
      <c r="AA168">
        <v>0</v>
      </c>
      <c r="AB168">
        <v>0</v>
      </c>
      <c r="AC168">
        <v>1</v>
      </c>
      <c r="AD168">
        <v>700</v>
      </c>
      <c r="AE168">
        <v>1</v>
      </c>
      <c r="AF168">
        <v>0</v>
      </c>
      <c r="AG168">
        <v>0</v>
      </c>
      <c r="AH168">
        <v>1</v>
      </c>
      <c r="AI168">
        <v>0</v>
      </c>
      <c r="AO168">
        <v>3.6400000000000006</v>
      </c>
      <c r="AP168">
        <v>2.1666666666666665</v>
      </c>
      <c r="AQ168">
        <v>792.3</v>
      </c>
      <c r="AT168">
        <v>814</v>
      </c>
      <c r="AU168">
        <v>19.489999999999998</v>
      </c>
      <c r="AX168" t="s">
        <v>82</v>
      </c>
    </row>
    <row r="169" spans="1:50" x14ac:dyDescent="0.45">
      <c r="A169">
        <v>10168</v>
      </c>
      <c r="B169">
        <v>1</v>
      </c>
      <c r="C169">
        <v>74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13</v>
      </c>
      <c r="K169">
        <v>13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1</v>
      </c>
      <c r="W169">
        <v>650</v>
      </c>
      <c r="X169">
        <v>35</v>
      </c>
      <c r="Y169">
        <v>0</v>
      </c>
      <c r="Z169">
        <v>1</v>
      </c>
      <c r="AA169">
        <v>0</v>
      </c>
      <c r="AB169">
        <v>0</v>
      </c>
      <c r="AC169">
        <v>1</v>
      </c>
      <c r="AD169">
        <v>700</v>
      </c>
      <c r="AE169">
        <v>1</v>
      </c>
      <c r="AF169">
        <v>0</v>
      </c>
      <c r="AG169">
        <v>1</v>
      </c>
      <c r="AH169">
        <v>0</v>
      </c>
      <c r="AI169">
        <v>0</v>
      </c>
      <c r="AO169">
        <v>3.6400000000000006</v>
      </c>
      <c r="AP169">
        <v>2.1666666666666665</v>
      </c>
      <c r="AQ169">
        <v>792.3</v>
      </c>
      <c r="AT169">
        <v>876</v>
      </c>
      <c r="AU169">
        <v>15.45</v>
      </c>
      <c r="AX169" t="s">
        <v>82</v>
      </c>
    </row>
    <row r="170" spans="1:50" x14ac:dyDescent="0.45">
      <c r="A170">
        <v>10169</v>
      </c>
      <c r="B170">
        <v>1</v>
      </c>
      <c r="C170">
        <v>74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13</v>
      </c>
      <c r="K170">
        <v>13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1</v>
      </c>
      <c r="W170">
        <v>650</v>
      </c>
      <c r="X170">
        <v>35</v>
      </c>
      <c r="Y170">
        <v>0</v>
      </c>
      <c r="Z170">
        <v>1</v>
      </c>
      <c r="AA170">
        <v>0</v>
      </c>
      <c r="AB170">
        <v>0</v>
      </c>
      <c r="AC170">
        <v>1</v>
      </c>
      <c r="AD170">
        <v>700</v>
      </c>
      <c r="AE170">
        <v>1</v>
      </c>
      <c r="AF170">
        <v>1</v>
      </c>
      <c r="AG170">
        <v>0</v>
      </c>
      <c r="AH170">
        <v>0</v>
      </c>
      <c r="AI170">
        <v>0</v>
      </c>
      <c r="AO170">
        <v>3.6400000000000006</v>
      </c>
      <c r="AP170">
        <v>2.1666666666666665</v>
      </c>
      <c r="AQ170">
        <v>792.3</v>
      </c>
      <c r="AT170">
        <v>804</v>
      </c>
      <c r="AU170">
        <v>20.2</v>
      </c>
      <c r="AX170" t="s">
        <v>82</v>
      </c>
    </row>
    <row r="171" spans="1:50" x14ac:dyDescent="0.45">
      <c r="A171">
        <v>10170</v>
      </c>
      <c r="B171">
        <v>1</v>
      </c>
      <c r="C171">
        <v>74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13</v>
      </c>
      <c r="K171">
        <v>13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1</v>
      </c>
      <c r="W171">
        <v>650</v>
      </c>
      <c r="X171">
        <v>35</v>
      </c>
      <c r="Y171">
        <v>0</v>
      </c>
      <c r="Z171">
        <v>1</v>
      </c>
      <c r="AA171">
        <v>0</v>
      </c>
      <c r="AB171">
        <v>0</v>
      </c>
      <c r="AC171">
        <v>1</v>
      </c>
      <c r="AD171">
        <v>700</v>
      </c>
      <c r="AE171">
        <v>1</v>
      </c>
      <c r="AF171">
        <v>1</v>
      </c>
      <c r="AG171">
        <v>0</v>
      </c>
      <c r="AH171">
        <v>0</v>
      </c>
      <c r="AI171">
        <v>1</v>
      </c>
      <c r="AJ171">
        <v>500</v>
      </c>
      <c r="AK171">
        <v>5</v>
      </c>
      <c r="AL171">
        <v>1</v>
      </c>
      <c r="AM171">
        <v>0</v>
      </c>
      <c r="AN171">
        <v>0</v>
      </c>
      <c r="AO171">
        <v>3.6400000000000006</v>
      </c>
      <c r="AP171">
        <v>2.1666666666666665</v>
      </c>
      <c r="AQ171">
        <v>792.3</v>
      </c>
      <c r="AT171">
        <v>1000</v>
      </c>
      <c r="AU171">
        <v>11.83</v>
      </c>
      <c r="AX171" t="s">
        <v>82</v>
      </c>
    </row>
    <row r="172" spans="1:50" x14ac:dyDescent="0.45">
      <c r="A172">
        <v>10171</v>
      </c>
      <c r="B172">
        <v>1</v>
      </c>
      <c r="C172">
        <v>74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13</v>
      </c>
      <c r="K172">
        <v>13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1</v>
      </c>
      <c r="W172">
        <v>650</v>
      </c>
      <c r="X172">
        <v>35</v>
      </c>
      <c r="Y172">
        <v>0</v>
      </c>
      <c r="Z172">
        <v>1</v>
      </c>
      <c r="AA172">
        <v>0</v>
      </c>
      <c r="AB172">
        <v>0</v>
      </c>
      <c r="AC172">
        <v>1</v>
      </c>
      <c r="AD172">
        <v>700</v>
      </c>
      <c r="AE172">
        <v>1</v>
      </c>
      <c r="AF172">
        <v>0</v>
      </c>
      <c r="AG172">
        <v>0</v>
      </c>
      <c r="AH172">
        <v>1</v>
      </c>
      <c r="AI172">
        <v>0</v>
      </c>
      <c r="AO172">
        <v>3.6400000000000006</v>
      </c>
      <c r="AP172">
        <v>2.1666666666666665</v>
      </c>
      <c r="AQ172">
        <v>792.3</v>
      </c>
      <c r="AT172">
        <v>687</v>
      </c>
      <c r="AU172">
        <v>16.059999999999999</v>
      </c>
      <c r="AX172" t="s">
        <v>82</v>
      </c>
    </row>
    <row r="173" spans="1:50" x14ac:dyDescent="0.45">
      <c r="A173">
        <v>10172</v>
      </c>
      <c r="B173">
        <v>1</v>
      </c>
      <c r="C173">
        <v>74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13</v>
      </c>
      <c r="K173">
        <v>13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1</v>
      </c>
      <c r="W173">
        <v>650</v>
      </c>
      <c r="X173">
        <v>35</v>
      </c>
      <c r="Y173">
        <v>0</v>
      </c>
      <c r="Z173">
        <v>1</v>
      </c>
      <c r="AA173">
        <v>0</v>
      </c>
      <c r="AB173">
        <v>0</v>
      </c>
      <c r="AC173">
        <v>1</v>
      </c>
      <c r="AD173">
        <v>700</v>
      </c>
      <c r="AE173">
        <v>1</v>
      </c>
      <c r="AF173">
        <v>0</v>
      </c>
      <c r="AG173">
        <v>1</v>
      </c>
      <c r="AH173">
        <v>0</v>
      </c>
      <c r="AI173">
        <v>0</v>
      </c>
      <c r="AO173">
        <v>3.6400000000000006</v>
      </c>
      <c r="AP173">
        <v>2.1666666666666665</v>
      </c>
      <c r="AQ173">
        <v>792.3</v>
      </c>
      <c r="AT173">
        <v>850</v>
      </c>
      <c r="AU173">
        <v>19.93</v>
      </c>
      <c r="AX173" t="s">
        <v>82</v>
      </c>
    </row>
    <row r="174" spans="1:50" x14ac:dyDescent="0.45">
      <c r="A174">
        <v>10173</v>
      </c>
      <c r="B174">
        <v>1</v>
      </c>
      <c r="C174">
        <v>74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13</v>
      </c>
      <c r="K174">
        <v>13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1</v>
      </c>
      <c r="W174">
        <v>650</v>
      </c>
      <c r="X174">
        <v>35</v>
      </c>
      <c r="Y174">
        <v>0</v>
      </c>
      <c r="Z174">
        <v>1</v>
      </c>
      <c r="AA174">
        <v>0</v>
      </c>
      <c r="AB174">
        <v>0</v>
      </c>
      <c r="AC174">
        <v>1</v>
      </c>
      <c r="AD174">
        <v>650</v>
      </c>
      <c r="AE174">
        <v>1</v>
      </c>
      <c r="AF174">
        <v>1</v>
      </c>
      <c r="AG174">
        <v>0</v>
      </c>
      <c r="AH174">
        <v>0</v>
      </c>
      <c r="AI174">
        <v>0</v>
      </c>
      <c r="AO174">
        <v>3.6400000000000006</v>
      </c>
      <c r="AP174">
        <v>2.1666666666666665</v>
      </c>
      <c r="AQ174">
        <v>792.3</v>
      </c>
      <c r="AT174">
        <v>761</v>
      </c>
      <c r="AU174">
        <v>13.08</v>
      </c>
      <c r="AX174" t="s">
        <v>82</v>
      </c>
    </row>
    <row r="175" spans="1:50" x14ac:dyDescent="0.45">
      <c r="A175">
        <v>10174</v>
      </c>
      <c r="B175">
        <v>1</v>
      </c>
      <c r="C175">
        <v>74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13</v>
      </c>
      <c r="K175">
        <v>13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1</v>
      </c>
      <c r="W175">
        <v>650</v>
      </c>
      <c r="X175">
        <v>35</v>
      </c>
      <c r="Y175">
        <v>0</v>
      </c>
      <c r="Z175">
        <v>1</v>
      </c>
      <c r="AA175">
        <v>0</v>
      </c>
      <c r="AB175">
        <v>0</v>
      </c>
      <c r="AC175">
        <v>1</v>
      </c>
      <c r="AD175">
        <v>650</v>
      </c>
      <c r="AE175">
        <v>1</v>
      </c>
      <c r="AF175">
        <v>1</v>
      </c>
      <c r="AG175">
        <v>0</v>
      </c>
      <c r="AH175">
        <v>0</v>
      </c>
      <c r="AI175">
        <v>1</v>
      </c>
      <c r="AJ175">
        <v>500</v>
      </c>
      <c r="AK175">
        <v>5</v>
      </c>
      <c r="AL175">
        <v>1</v>
      </c>
      <c r="AM175">
        <v>0</v>
      </c>
      <c r="AN175">
        <v>0</v>
      </c>
      <c r="AO175">
        <v>3.6400000000000006</v>
      </c>
      <c r="AP175">
        <v>2.1666666666666665</v>
      </c>
      <c r="AQ175">
        <v>792.3</v>
      </c>
      <c r="AT175">
        <v>853</v>
      </c>
      <c r="AU175">
        <v>14.65</v>
      </c>
      <c r="AW175" t="s">
        <v>335</v>
      </c>
      <c r="AX175" t="s">
        <v>82</v>
      </c>
    </row>
    <row r="176" spans="1:50" x14ac:dyDescent="0.45">
      <c r="A176">
        <v>10175</v>
      </c>
      <c r="B176">
        <v>1</v>
      </c>
      <c r="C176">
        <v>74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13</v>
      </c>
      <c r="K176">
        <v>13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1</v>
      </c>
      <c r="W176">
        <v>20</v>
      </c>
      <c r="X176">
        <v>75</v>
      </c>
      <c r="Y176">
        <v>0</v>
      </c>
      <c r="Z176">
        <v>1</v>
      </c>
      <c r="AA176">
        <v>0</v>
      </c>
      <c r="AB176">
        <v>0</v>
      </c>
      <c r="AC176">
        <v>1</v>
      </c>
      <c r="AD176">
        <v>844</v>
      </c>
      <c r="AE176">
        <v>0.5</v>
      </c>
      <c r="AF176">
        <v>0</v>
      </c>
      <c r="AG176">
        <v>0</v>
      </c>
      <c r="AH176">
        <v>1</v>
      </c>
      <c r="AI176">
        <v>0</v>
      </c>
      <c r="AO176">
        <v>3.6400000000000006</v>
      </c>
      <c r="AP176">
        <v>2.1666666666666665</v>
      </c>
      <c r="AQ176">
        <v>792.3</v>
      </c>
      <c r="AT176">
        <v>847</v>
      </c>
      <c r="AU176">
        <v>19.600000000000001</v>
      </c>
      <c r="AW176" t="s">
        <v>335</v>
      </c>
      <c r="AX176" t="s">
        <v>83</v>
      </c>
    </row>
    <row r="177" spans="1:50" x14ac:dyDescent="0.45">
      <c r="A177">
        <v>10176</v>
      </c>
      <c r="B177">
        <v>0</v>
      </c>
      <c r="C177">
        <v>74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13</v>
      </c>
      <c r="K177">
        <v>13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1</v>
      </c>
      <c r="W177">
        <v>20</v>
      </c>
      <c r="X177">
        <v>75</v>
      </c>
      <c r="Y177">
        <v>0</v>
      </c>
      <c r="Z177">
        <v>1</v>
      </c>
      <c r="AA177">
        <v>0</v>
      </c>
      <c r="AB177">
        <v>0</v>
      </c>
      <c r="AC177">
        <v>1</v>
      </c>
      <c r="AD177">
        <v>844</v>
      </c>
      <c r="AE177">
        <v>0.5</v>
      </c>
      <c r="AF177">
        <v>0</v>
      </c>
      <c r="AG177">
        <v>0</v>
      </c>
      <c r="AH177">
        <v>1</v>
      </c>
      <c r="AI177">
        <v>1</v>
      </c>
      <c r="AJ177">
        <v>400</v>
      </c>
      <c r="AK177">
        <v>3</v>
      </c>
      <c r="AL177">
        <v>0</v>
      </c>
      <c r="AM177">
        <v>0</v>
      </c>
      <c r="AN177">
        <v>1</v>
      </c>
      <c r="AO177">
        <v>3.6400000000000006</v>
      </c>
      <c r="AP177">
        <v>2.1666666666666665</v>
      </c>
      <c r="AQ177">
        <v>792.3</v>
      </c>
      <c r="AT177">
        <v>1003</v>
      </c>
      <c r="AU177">
        <v>14.69</v>
      </c>
      <c r="AW177" t="s">
        <v>335</v>
      </c>
      <c r="AX177" t="s">
        <v>83</v>
      </c>
    </row>
    <row r="178" spans="1:50" x14ac:dyDescent="0.45">
      <c r="A178">
        <v>10177</v>
      </c>
      <c r="B178">
        <v>1</v>
      </c>
      <c r="C178">
        <v>41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25</v>
      </c>
      <c r="K178">
        <v>34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1</v>
      </c>
      <c r="W178">
        <v>20</v>
      </c>
      <c r="Y178">
        <v>0</v>
      </c>
      <c r="Z178">
        <v>1</v>
      </c>
      <c r="AA178">
        <v>0</v>
      </c>
      <c r="AB178">
        <v>0</v>
      </c>
      <c r="AC178">
        <v>0</v>
      </c>
      <c r="AI178">
        <v>0</v>
      </c>
      <c r="AO178">
        <v>9.5200000000000014</v>
      </c>
      <c r="AP178">
        <v>4.166666666666667</v>
      </c>
      <c r="AQ178">
        <v>709.5</v>
      </c>
      <c r="AT178">
        <v>839</v>
      </c>
      <c r="AU178">
        <v>15</v>
      </c>
      <c r="AW178" t="s">
        <v>335</v>
      </c>
      <c r="AX178" t="s">
        <v>85</v>
      </c>
    </row>
    <row r="179" spans="1:50" x14ac:dyDescent="0.45">
      <c r="A179">
        <v>10178</v>
      </c>
      <c r="B179">
        <v>1</v>
      </c>
      <c r="C179">
        <v>41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25</v>
      </c>
      <c r="K179">
        <v>34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1</v>
      </c>
      <c r="W179">
        <v>20</v>
      </c>
      <c r="Y179">
        <v>0</v>
      </c>
      <c r="Z179">
        <v>1</v>
      </c>
      <c r="AA179">
        <v>0</v>
      </c>
      <c r="AB179">
        <v>0</v>
      </c>
      <c r="AC179">
        <v>1</v>
      </c>
      <c r="AD179">
        <v>890</v>
      </c>
      <c r="AE179">
        <v>1</v>
      </c>
      <c r="AF179">
        <v>1</v>
      </c>
      <c r="AG179">
        <v>0</v>
      </c>
      <c r="AH179">
        <v>0</v>
      </c>
      <c r="AI179">
        <v>0</v>
      </c>
      <c r="AO179">
        <v>9.5200000000000014</v>
      </c>
      <c r="AP179">
        <v>4.166666666666667</v>
      </c>
      <c r="AQ179">
        <v>709.5</v>
      </c>
      <c r="AT179">
        <v>747</v>
      </c>
      <c r="AU179">
        <v>12</v>
      </c>
      <c r="AW179" t="s">
        <v>341</v>
      </c>
      <c r="AX179" t="s">
        <v>86</v>
      </c>
    </row>
    <row r="180" spans="1:50" x14ac:dyDescent="0.45">
      <c r="A180">
        <v>10179</v>
      </c>
      <c r="B180">
        <v>1</v>
      </c>
      <c r="C180">
        <v>41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25</v>
      </c>
      <c r="K180">
        <v>34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1</v>
      </c>
      <c r="W180">
        <v>20</v>
      </c>
      <c r="X180">
        <v>20</v>
      </c>
      <c r="Y180">
        <v>0</v>
      </c>
      <c r="Z180">
        <v>1</v>
      </c>
      <c r="AA180">
        <v>0</v>
      </c>
      <c r="AB180">
        <v>0</v>
      </c>
      <c r="AC180">
        <v>1</v>
      </c>
      <c r="AD180">
        <v>890</v>
      </c>
      <c r="AE180">
        <v>1</v>
      </c>
      <c r="AF180">
        <v>1</v>
      </c>
      <c r="AG180">
        <v>0</v>
      </c>
      <c r="AH180">
        <v>0</v>
      </c>
      <c r="AI180">
        <v>0</v>
      </c>
      <c r="AO180">
        <v>9.5200000000000014</v>
      </c>
      <c r="AP180">
        <v>4.166666666666667</v>
      </c>
      <c r="AQ180">
        <v>709.5</v>
      </c>
      <c r="AT180">
        <v>788</v>
      </c>
      <c r="AU180">
        <v>8</v>
      </c>
      <c r="AW180" t="s">
        <v>341</v>
      </c>
      <c r="AX180" t="s">
        <v>87</v>
      </c>
    </row>
    <row r="181" spans="1:50" x14ac:dyDescent="0.45">
      <c r="A181">
        <v>10180</v>
      </c>
      <c r="B181">
        <v>1</v>
      </c>
      <c r="C181">
        <v>41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25</v>
      </c>
      <c r="K181">
        <v>34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1</v>
      </c>
      <c r="W181">
        <v>20</v>
      </c>
      <c r="X181">
        <v>56</v>
      </c>
      <c r="Y181">
        <v>0</v>
      </c>
      <c r="Z181">
        <v>1</v>
      </c>
      <c r="AA181">
        <v>0</v>
      </c>
      <c r="AB181">
        <v>0</v>
      </c>
      <c r="AC181">
        <v>1</v>
      </c>
      <c r="AD181">
        <v>890</v>
      </c>
      <c r="AE181">
        <v>1</v>
      </c>
      <c r="AF181">
        <v>1</v>
      </c>
      <c r="AG181">
        <v>0</v>
      </c>
      <c r="AH181">
        <v>0</v>
      </c>
      <c r="AI181">
        <v>0</v>
      </c>
      <c r="AO181">
        <v>9.5200000000000014</v>
      </c>
      <c r="AP181">
        <v>4.166666666666667</v>
      </c>
      <c r="AQ181">
        <v>709.5</v>
      </c>
      <c r="AT181">
        <v>895</v>
      </c>
      <c r="AU181">
        <v>7</v>
      </c>
      <c r="AW181" t="s">
        <v>341</v>
      </c>
      <c r="AX181" t="s">
        <v>88</v>
      </c>
    </row>
    <row r="182" spans="1:50" x14ac:dyDescent="0.45">
      <c r="A182">
        <v>10181</v>
      </c>
      <c r="B182">
        <v>1</v>
      </c>
      <c r="C182">
        <v>41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25</v>
      </c>
      <c r="K182">
        <v>34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1</v>
      </c>
      <c r="W182">
        <v>20</v>
      </c>
      <c r="X182">
        <v>76</v>
      </c>
      <c r="Y182">
        <v>0</v>
      </c>
      <c r="Z182">
        <v>1</v>
      </c>
      <c r="AA182">
        <v>0</v>
      </c>
      <c r="AB182">
        <v>0</v>
      </c>
      <c r="AC182">
        <v>1</v>
      </c>
      <c r="AD182">
        <v>890</v>
      </c>
      <c r="AE182">
        <v>1</v>
      </c>
      <c r="AF182">
        <v>1</v>
      </c>
      <c r="AG182">
        <v>0</v>
      </c>
      <c r="AH182">
        <v>0</v>
      </c>
      <c r="AI182">
        <v>0</v>
      </c>
      <c r="AO182">
        <v>9.5200000000000014</v>
      </c>
      <c r="AP182">
        <v>4.166666666666667</v>
      </c>
      <c r="AQ182">
        <v>709.5</v>
      </c>
      <c r="AT182">
        <v>1015</v>
      </c>
      <c r="AU182">
        <v>10</v>
      </c>
      <c r="AW182" t="s">
        <v>341</v>
      </c>
      <c r="AX182" t="s">
        <v>89</v>
      </c>
    </row>
    <row r="183" spans="1:50" x14ac:dyDescent="0.45">
      <c r="A183">
        <v>10182</v>
      </c>
      <c r="B183">
        <v>1</v>
      </c>
      <c r="C183">
        <v>41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25</v>
      </c>
      <c r="K183">
        <v>34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1</v>
      </c>
      <c r="W183">
        <v>20</v>
      </c>
      <c r="X183">
        <v>86</v>
      </c>
      <c r="Y183">
        <v>0</v>
      </c>
      <c r="Z183">
        <v>1</v>
      </c>
      <c r="AA183">
        <v>0</v>
      </c>
      <c r="AB183">
        <v>0</v>
      </c>
      <c r="AC183">
        <v>1</v>
      </c>
      <c r="AD183">
        <v>890</v>
      </c>
      <c r="AE183">
        <v>1</v>
      </c>
      <c r="AF183">
        <v>1</v>
      </c>
      <c r="AG183">
        <v>0</v>
      </c>
      <c r="AH183">
        <v>0</v>
      </c>
      <c r="AI183">
        <v>0</v>
      </c>
      <c r="AO183">
        <v>9.5200000000000014</v>
      </c>
      <c r="AP183">
        <v>4.166666666666667</v>
      </c>
      <c r="AQ183">
        <v>709.5</v>
      </c>
      <c r="AT183">
        <v>1071</v>
      </c>
      <c r="AU183">
        <v>8</v>
      </c>
      <c r="AW183" t="s">
        <v>342</v>
      </c>
      <c r="AX183" t="s">
        <v>90</v>
      </c>
    </row>
    <row r="184" spans="1:50" x14ac:dyDescent="0.45">
      <c r="A184">
        <v>10183</v>
      </c>
      <c r="B184">
        <v>1</v>
      </c>
      <c r="C184">
        <v>57.230000000000004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18.310000000000002</v>
      </c>
      <c r="K184">
        <v>24.45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Y184">
        <v>1</v>
      </c>
      <c r="Z184">
        <v>0</v>
      </c>
      <c r="AA184">
        <v>0</v>
      </c>
      <c r="AB184">
        <v>0</v>
      </c>
      <c r="AC184">
        <v>0</v>
      </c>
      <c r="AI184">
        <v>0</v>
      </c>
      <c r="AO184">
        <v>6.8460000000000001</v>
      </c>
      <c r="AP184">
        <v>3.0516666666666672</v>
      </c>
      <c r="AQ184">
        <v>755.66099999999994</v>
      </c>
      <c r="AR184">
        <v>62</v>
      </c>
      <c r="AS184">
        <v>810</v>
      </c>
      <c r="AW184" t="s">
        <v>342</v>
      </c>
      <c r="AX184" t="s">
        <v>60</v>
      </c>
    </row>
    <row r="185" spans="1:50" x14ac:dyDescent="0.45">
      <c r="A185">
        <v>10184</v>
      </c>
      <c r="B185">
        <v>1</v>
      </c>
      <c r="C185">
        <v>54.09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23.9</v>
      </c>
      <c r="K185">
        <v>22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Y185">
        <v>1</v>
      </c>
      <c r="Z185">
        <v>0</v>
      </c>
      <c r="AA185">
        <v>0</v>
      </c>
      <c r="AB185">
        <v>0</v>
      </c>
      <c r="AC185">
        <v>0</v>
      </c>
      <c r="AI185">
        <v>0</v>
      </c>
      <c r="AO185">
        <v>6.16</v>
      </c>
      <c r="AP185">
        <v>3.9833333333333329</v>
      </c>
      <c r="AQ185">
        <v>717.09</v>
      </c>
      <c r="AR185">
        <v>65</v>
      </c>
      <c r="AS185">
        <v>782</v>
      </c>
      <c r="AW185" t="s">
        <v>342</v>
      </c>
      <c r="AX185" t="s">
        <v>60</v>
      </c>
    </row>
    <row r="186" spans="1:50" x14ac:dyDescent="0.45">
      <c r="A186">
        <v>10185</v>
      </c>
      <c r="B186">
        <v>1</v>
      </c>
      <c r="C186">
        <v>52.59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26.69</v>
      </c>
      <c r="K186">
        <v>20.73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Y186">
        <v>1</v>
      </c>
      <c r="Z186">
        <v>0</v>
      </c>
      <c r="AA186">
        <v>0</v>
      </c>
      <c r="AB186">
        <v>0</v>
      </c>
      <c r="AC186">
        <v>0</v>
      </c>
      <c r="AI186">
        <v>0</v>
      </c>
      <c r="AO186">
        <v>5.8044000000000011</v>
      </c>
      <c r="AP186">
        <v>4.4483333333333333</v>
      </c>
      <c r="AQ186">
        <v>697.83899999999994</v>
      </c>
      <c r="AR186">
        <v>64</v>
      </c>
      <c r="AS186">
        <v>729</v>
      </c>
      <c r="AW186" t="s">
        <v>342</v>
      </c>
      <c r="AX186" t="s">
        <v>60</v>
      </c>
    </row>
    <row r="187" spans="1:50" x14ac:dyDescent="0.45">
      <c r="A187">
        <v>10186</v>
      </c>
      <c r="B187">
        <v>1</v>
      </c>
      <c r="C187">
        <v>50.27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31.119999999999997</v>
      </c>
      <c r="K187">
        <v>18.62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Y187">
        <v>1</v>
      </c>
      <c r="Z187">
        <v>0</v>
      </c>
      <c r="AA187">
        <v>0</v>
      </c>
      <c r="AB187">
        <v>0</v>
      </c>
      <c r="AC187">
        <v>0</v>
      </c>
      <c r="AI187">
        <v>0</v>
      </c>
      <c r="AO187">
        <v>5.2136000000000005</v>
      </c>
      <c r="AP187">
        <v>5.1866666666666665</v>
      </c>
      <c r="AQ187">
        <v>667.27200000000005</v>
      </c>
      <c r="AR187">
        <v>63</v>
      </c>
      <c r="AS187">
        <v>682</v>
      </c>
      <c r="AW187" t="s">
        <v>342</v>
      </c>
      <c r="AX187" t="s">
        <v>60</v>
      </c>
    </row>
    <row r="188" spans="1:50" x14ac:dyDescent="0.45">
      <c r="A188">
        <v>10187</v>
      </c>
      <c r="B188">
        <v>1</v>
      </c>
      <c r="C188">
        <v>84.16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7.9200000000000008</v>
      </c>
      <c r="K188">
        <v>7.9200000000000008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1</v>
      </c>
      <c r="Y188">
        <v>0</v>
      </c>
      <c r="Z188">
        <v>1</v>
      </c>
      <c r="AA188">
        <v>0</v>
      </c>
      <c r="AB188">
        <v>0</v>
      </c>
      <c r="AC188">
        <v>1</v>
      </c>
      <c r="AD188">
        <f>AQ188</f>
        <v>827.35199999999998</v>
      </c>
      <c r="AF188">
        <v>1</v>
      </c>
      <c r="AG188">
        <v>0</v>
      </c>
      <c r="AH188">
        <v>0</v>
      </c>
      <c r="AI188">
        <v>0</v>
      </c>
      <c r="AO188">
        <v>2.2176000000000005</v>
      </c>
      <c r="AP188">
        <v>1.32</v>
      </c>
      <c r="AQ188">
        <v>827.35199999999998</v>
      </c>
      <c r="AR188">
        <v>66</v>
      </c>
      <c r="AS188">
        <v>501</v>
      </c>
      <c r="AW188" t="s">
        <v>342</v>
      </c>
      <c r="AX188" t="s">
        <v>60</v>
      </c>
    </row>
    <row r="189" spans="1:50" x14ac:dyDescent="0.45">
      <c r="A189">
        <v>10188</v>
      </c>
      <c r="B189">
        <v>1</v>
      </c>
      <c r="C189">
        <v>77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1</v>
      </c>
      <c r="K189">
        <v>22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1</v>
      </c>
      <c r="Y189">
        <v>0</v>
      </c>
      <c r="Z189">
        <v>1</v>
      </c>
      <c r="AA189">
        <v>0</v>
      </c>
      <c r="AB189">
        <v>0</v>
      </c>
      <c r="AC189">
        <v>1</v>
      </c>
      <c r="AD189">
        <f>AQ189</f>
        <v>875.1</v>
      </c>
      <c r="AF189">
        <v>1</v>
      </c>
      <c r="AG189">
        <v>0</v>
      </c>
      <c r="AH189">
        <v>0</v>
      </c>
      <c r="AI189">
        <v>0</v>
      </c>
      <c r="AO189">
        <v>6.16</v>
      </c>
      <c r="AP189">
        <v>0.16666666666666666</v>
      </c>
      <c r="AQ189">
        <v>875.1</v>
      </c>
      <c r="AR189">
        <v>68</v>
      </c>
      <c r="AS189">
        <v>370</v>
      </c>
      <c r="AW189" t="s">
        <v>342</v>
      </c>
      <c r="AX189" t="s">
        <v>60</v>
      </c>
    </row>
    <row r="190" spans="1:50" x14ac:dyDescent="0.45">
      <c r="A190">
        <v>10189</v>
      </c>
      <c r="B190">
        <v>1</v>
      </c>
      <c r="C190">
        <v>74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2</v>
      </c>
      <c r="K190">
        <v>24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1</v>
      </c>
      <c r="Y190">
        <v>0</v>
      </c>
      <c r="Z190">
        <v>1</v>
      </c>
      <c r="AA190">
        <v>0</v>
      </c>
      <c r="AB190">
        <v>0</v>
      </c>
      <c r="AC190">
        <v>1</v>
      </c>
      <c r="AD190">
        <f>AQ190</f>
        <v>868.2</v>
      </c>
      <c r="AF190">
        <v>1</v>
      </c>
      <c r="AG190">
        <v>0</v>
      </c>
      <c r="AH190">
        <v>0</v>
      </c>
      <c r="AI190">
        <v>0</v>
      </c>
      <c r="AO190">
        <v>6.7200000000000006</v>
      </c>
      <c r="AP190">
        <v>0.33333333333333331</v>
      </c>
      <c r="AQ190">
        <v>868.2</v>
      </c>
      <c r="AR190">
        <v>59</v>
      </c>
      <c r="AS190">
        <v>249</v>
      </c>
      <c r="AW190" t="s">
        <v>342</v>
      </c>
      <c r="AX190" t="s">
        <v>60</v>
      </c>
    </row>
    <row r="191" spans="1:50" x14ac:dyDescent="0.45">
      <c r="A191">
        <v>10190</v>
      </c>
      <c r="B191">
        <v>1</v>
      </c>
      <c r="C191">
        <v>72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4</v>
      </c>
      <c r="K191">
        <v>24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Y191">
        <v>0</v>
      </c>
      <c r="Z191">
        <v>1</v>
      </c>
      <c r="AA191">
        <v>0</v>
      </c>
      <c r="AB191">
        <v>0</v>
      </c>
      <c r="AC191">
        <v>1</v>
      </c>
      <c r="AD191">
        <f>AQ191</f>
        <v>854.4</v>
      </c>
      <c r="AF191">
        <v>1</v>
      </c>
      <c r="AG191">
        <v>0</v>
      </c>
      <c r="AH191">
        <v>0</v>
      </c>
      <c r="AI191">
        <v>0</v>
      </c>
      <c r="AO191">
        <v>6.7200000000000006</v>
      </c>
      <c r="AP191">
        <v>0.66666666666666663</v>
      </c>
      <c r="AQ191">
        <v>854.4</v>
      </c>
      <c r="AR191">
        <v>60</v>
      </c>
      <c r="AS191">
        <v>417</v>
      </c>
      <c r="AW191" t="s">
        <v>342</v>
      </c>
      <c r="AX191" t="s">
        <v>60</v>
      </c>
    </row>
    <row r="192" spans="1:50" x14ac:dyDescent="0.45">
      <c r="A192">
        <v>10191</v>
      </c>
      <c r="B192">
        <v>1</v>
      </c>
      <c r="C192">
        <v>76.319999999999993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4.8099999999999996</v>
      </c>
      <c r="K192">
        <v>18.87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Y192">
        <v>1</v>
      </c>
      <c r="Z192">
        <v>0</v>
      </c>
      <c r="AA192">
        <v>0</v>
      </c>
      <c r="AB192">
        <v>0</v>
      </c>
      <c r="AC192">
        <v>0</v>
      </c>
      <c r="AI192">
        <v>0</v>
      </c>
      <c r="AO192">
        <v>5.2836000000000007</v>
      </c>
      <c r="AP192">
        <v>0.80166666666666664</v>
      </c>
      <c r="AQ192">
        <v>848.81100000000004</v>
      </c>
      <c r="AR192">
        <v>65</v>
      </c>
      <c r="AW192" t="s">
        <v>342</v>
      </c>
    </row>
    <row r="193" spans="1:49" x14ac:dyDescent="0.45">
      <c r="A193">
        <v>10192</v>
      </c>
      <c r="B193">
        <v>1</v>
      </c>
      <c r="C193">
        <v>68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12</v>
      </c>
      <c r="K193">
        <v>20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Y193">
        <v>1</v>
      </c>
      <c r="Z193">
        <v>0</v>
      </c>
      <c r="AA193">
        <v>0</v>
      </c>
      <c r="AB193">
        <v>0</v>
      </c>
      <c r="AC193">
        <v>0</v>
      </c>
      <c r="AI193">
        <v>0</v>
      </c>
      <c r="AO193">
        <v>5.6000000000000005</v>
      </c>
      <c r="AP193">
        <v>2</v>
      </c>
      <c r="AQ193">
        <v>799.2</v>
      </c>
      <c r="AR193">
        <v>54.8</v>
      </c>
      <c r="AW193" t="s">
        <v>342</v>
      </c>
    </row>
    <row r="194" spans="1:49" x14ac:dyDescent="0.45">
      <c r="A194">
        <v>10193</v>
      </c>
      <c r="B194">
        <v>1</v>
      </c>
      <c r="C194">
        <v>62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21</v>
      </c>
      <c r="K194">
        <v>17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Y194">
        <v>1</v>
      </c>
      <c r="Z194">
        <v>0</v>
      </c>
      <c r="AA194">
        <v>0</v>
      </c>
      <c r="AB194">
        <v>0</v>
      </c>
      <c r="AC194">
        <v>0</v>
      </c>
      <c r="AI194">
        <v>0</v>
      </c>
      <c r="AO194">
        <v>4.7600000000000007</v>
      </c>
      <c r="AP194">
        <v>3.5</v>
      </c>
      <c r="AQ194">
        <v>737.1</v>
      </c>
      <c r="AR194">
        <v>52.4</v>
      </c>
      <c r="AW194" t="s">
        <v>342</v>
      </c>
    </row>
    <row r="195" spans="1:49" x14ac:dyDescent="0.45">
      <c r="A195">
        <v>10194</v>
      </c>
      <c r="B195">
        <v>1</v>
      </c>
      <c r="C195">
        <v>51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38</v>
      </c>
      <c r="K195">
        <v>11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Y195">
        <v>1</v>
      </c>
      <c r="Z195">
        <v>0</v>
      </c>
      <c r="AA195">
        <v>0</v>
      </c>
      <c r="AB195">
        <v>0</v>
      </c>
      <c r="AC195">
        <v>0</v>
      </c>
      <c r="AI195">
        <v>0</v>
      </c>
      <c r="AO195">
        <v>3.08</v>
      </c>
      <c r="AP195">
        <v>6.333333333333333</v>
      </c>
      <c r="AQ195">
        <v>619.79999999999995</v>
      </c>
      <c r="AR195">
        <v>48.8</v>
      </c>
      <c r="AW195" t="s">
        <v>342</v>
      </c>
    </row>
    <row r="196" spans="1:49" x14ac:dyDescent="0.45">
      <c r="A196">
        <v>10195</v>
      </c>
      <c r="B196">
        <v>1</v>
      </c>
      <c r="C196">
        <v>41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53</v>
      </c>
      <c r="K196">
        <v>6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Y196">
        <v>1</v>
      </c>
      <c r="Z196">
        <v>0</v>
      </c>
      <c r="AA196">
        <v>0</v>
      </c>
      <c r="AB196">
        <v>0</v>
      </c>
      <c r="AC196">
        <v>0</v>
      </c>
      <c r="AI196">
        <v>0</v>
      </c>
      <c r="AO196">
        <v>1.6800000000000002</v>
      </c>
      <c r="AP196">
        <v>8.8333333333333339</v>
      </c>
      <c r="AQ196">
        <v>516.29999999999995</v>
      </c>
      <c r="AR196">
        <v>48</v>
      </c>
      <c r="AW196" t="s">
        <v>342</v>
      </c>
    </row>
    <row r="197" spans="1:49" x14ac:dyDescent="0.45">
      <c r="A197">
        <v>10196</v>
      </c>
      <c r="B197">
        <v>1</v>
      </c>
      <c r="C197">
        <v>84.55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7.79</v>
      </c>
      <c r="K197">
        <v>7.66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Y197">
        <v>1</v>
      </c>
      <c r="Z197">
        <v>0</v>
      </c>
      <c r="AA197">
        <v>0</v>
      </c>
      <c r="AB197">
        <v>0</v>
      </c>
      <c r="AC197">
        <v>0</v>
      </c>
      <c r="AI197">
        <v>0</v>
      </c>
      <c r="AO197">
        <v>2.1448</v>
      </c>
      <c r="AP197">
        <v>1.2983333333333333</v>
      </c>
      <c r="AQ197">
        <v>828.24900000000002</v>
      </c>
      <c r="AR197">
        <v>91.2</v>
      </c>
      <c r="AW197" t="s">
        <v>342</v>
      </c>
    </row>
    <row r="198" spans="1:49" x14ac:dyDescent="0.45">
      <c r="A198">
        <v>10197</v>
      </c>
      <c r="B198">
        <v>1</v>
      </c>
      <c r="C198">
        <v>52.8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29.5</v>
      </c>
      <c r="K198">
        <v>17.7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Y198">
        <v>1</v>
      </c>
      <c r="Z198">
        <v>0</v>
      </c>
      <c r="AA198">
        <v>0</v>
      </c>
      <c r="AB198">
        <v>0</v>
      </c>
      <c r="AC198">
        <v>0</v>
      </c>
      <c r="AI198">
        <v>0</v>
      </c>
      <c r="AO198">
        <v>4.9560000000000004</v>
      </c>
      <c r="AP198">
        <v>4.916666666666667</v>
      </c>
      <c r="AQ198">
        <v>678.45</v>
      </c>
      <c r="AR198">
        <v>68.2</v>
      </c>
      <c r="AW198" t="s">
        <v>342</v>
      </c>
    </row>
    <row r="199" spans="1:49" x14ac:dyDescent="0.45">
      <c r="A199">
        <v>10198</v>
      </c>
      <c r="B199">
        <v>1</v>
      </c>
      <c r="C199">
        <v>54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20</v>
      </c>
      <c r="K199">
        <v>26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I199">
        <v>0</v>
      </c>
      <c r="AO199">
        <v>7.2800000000000011</v>
      </c>
      <c r="AP199">
        <v>3.3333333333333335</v>
      </c>
      <c r="AQ199">
        <v>744</v>
      </c>
      <c r="AR199">
        <v>59.07</v>
      </c>
      <c r="AW199" t="s">
        <v>242</v>
      </c>
    </row>
    <row r="200" spans="1:49" x14ac:dyDescent="0.45">
      <c r="A200">
        <v>10199</v>
      </c>
      <c r="B200">
        <v>1</v>
      </c>
      <c r="C200">
        <v>53.1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10.4</v>
      </c>
      <c r="K200">
        <v>36.5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I200">
        <v>0</v>
      </c>
      <c r="AO200">
        <v>10.220000000000001</v>
      </c>
      <c r="AP200">
        <v>1.7333333333333334</v>
      </c>
      <c r="AQ200">
        <v>810.24</v>
      </c>
      <c r="AR200">
        <v>92.18</v>
      </c>
      <c r="AW200" t="s">
        <v>242</v>
      </c>
    </row>
    <row r="201" spans="1:49" x14ac:dyDescent="0.45">
      <c r="A201">
        <v>10200</v>
      </c>
      <c r="B201">
        <v>1</v>
      </c>
      <c r="C201">
        <v>84.09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8.1199999999999992</v>
      </c>
      <c r="K201">
        <v>7.79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I201">
        <v>0</v>
      </c>
      <c r="AO201">
        <v>2.1812</v>
      </c>
      <c r="AP201">
        <v>1.3533333333333333</v>
      </c>
      <c r="AQ201">
        <v>825.97199999999998</v>
      </c>
      <c r="AR201">
        <v>80</v>
      </c>
      <c r="AW201" t="s">
        <v>243</v>
      </c>
    </row>
    <row r="202" spans="1:49" x14ac:dyDescent="0.45">
      <c r="A202">
        <v>10201</v>
      </c>
      <c r="B202">
        <v>1</v>
      </c>
      <c r="C202">
        <v>67.53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4.8600000000000003</v>
      </c>
      <c r="K202">
        <v>27.61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I202">
        <v>0</v>
      </c>
      <c r="AO202">
        <v>7.7308000000000003</v>
      </c>
      <c r="AP202">
        <v>0.81</v>
      </c>
      <c r="AQ202">
        <v>848.46600000000001</v>
      </c>
      <c r="AR202">
        <v>65</v>
      </c>
      <c r="AW202" t="s">
        <v>244</v>
      </c>
    </row>
    <row r="203" spans="1:49" x14ac:dyDescent="0.45">
      <c r="A203">
        <v>10202</v>
      </c>
      <c r="B203">
        <v>1</v>
      </c>
      <c r="C203">
        <v>72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3</v>
      </c>
      <c r="K203">
        <v>25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I203">
        <v>0</v>
      </c>
      <c r="AO203">
        <v>7.0000000000000009</v>
      </c>
      <c r="AP203">
        <v>0.5</v>
      </c>
      <c r="AQ203">
        <v>861.3</v>
      </c>
      <c r="AR203">
        <v>66</v>
      </c>
      <c r="AW203" t="s">
        <v>245</v>
      </c>
    </row>
    <row r="204" spans="1:49" x14ac:dyDescent="0.45">
      <c r="A204">
        <v>10203</v>
      </c>
      <c r="B204">
        <v>1</v>
      </c>
      <c r="C204">
        <v>71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4</v>
      </c>
      <c r="K204">
        <v>25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I204">
        <v>0</v>
      </c>
      <c r="AO204">
        <v>7.0000000000000009</v>
      </c>
      <c r="AP204">
        <v>0.66666666666666663</v>
      </c>
      <c r="AQ204">
        <v>854.4</v>
      </c>
      <c r="AR204">
        <v>69</v>
      </c>
      <c r="AW204" t="s">
        <v>246</v>
      </c>
    </row>
    <row r="205" spans="1:49" x14ac:dyDescent="0.45">
      <c r="A205">
        <v>10204</v>
      </c>
      <c r="B205">
        <v>1</v>
      </c>
      <c r="C205">
        <v>69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6</v>
      </c>
      <c r="K205">
        <v>25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Y205">
        <v>1</v>
      </c>
      <c r="Z205">
        <v>0</v>
      </c>
      <c r="AA205">
        <v>0</v>
      </c>
      <c r="AB205">
        <v>0</v>
      </c>
      <c r="AC205">
        <v>0</v>
      </c>
      <c r="AI205">
        <v>0</v>
      </c>
      <c r="AO205">
        <v>7.0000000000000009</v>
      </c>
      <c r="AP205">
        <v>1</v>
      </c>
      <c r="AQ205">
        <v>840.6</v>
      </c>
      <c r="AR205">
        <v>68</v>
      </c>
      <c r="AW205" t="s">
        <v>247</v>
      </c>
    </row>
    <row r="206" spans="1:49" x14ac:dyDescent="0.45">
      <c r="A206">
        <v>10205</v>
      </c>
      <c r="B206">
        <v>1</v>
      </c>
      <c r="C206">
        <v>57.23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18.32</v>
      </c>
      <c r="K206">
        <v>24.45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Y206">
        <v>1</v>
      </c>
      <c r="Z206">
        <v>0</v>
      </c>
      <c r="AA206">
        <v>0</v>
      </c>
      <c r="AB206">
        <v>0</v>
      </c>
      <c r="AC206">
        <v>0</v>
      </c>
      <c r="AI206">
        <v>0</v>
      </c>
      <c r="AO206">
        <v>6.8460000000000001</v>
      </c>
      <c r="AP206">
        <v>3.0533333333333332</v>
      </c>
      <c r="AQ206">
        <v>755.59199999999998</v>
      </c>
      <c r="AR206">
        <v>62</v>
      </c>
      <c r="AW206" t="s">
        <v>248</v>
      </c>
    </row>
    <row r="207" spans="1:49" x14ac:dyDescent="0.45">
      <c r="A207">
        <v>10206</v>
      </c>
      <c r="B207">
        <v>1</v>
      </c>
      <c r="C207">
        <v>75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5</v>
      </c>
      <c r="K207">
        <v>20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Y207">
        <v>1</v>
      </c>
      <c r="Z207">
        <v>0</v>
      </c>
      <c r="AA207">
        <v>0</v>
      </c>
      <c r="AB207">
        <v>0</v>
      </c>
      <c r="AC207">
        <v>0</v>
      </c>
      <c r="AI207">
        <v>0</v>
      </c>
      <c r="AO207">
        <v>5.6000000000000005</v>
      </c>
      <c r="AP207">
        <v>0.83333333333333337</v>
      </c>
      <c r="AQ207">
        <v>847.5</v>
      </c>
      <c r="AR207">
        <v>51.3</v>
      </c>
      <c r="AW207" t="s">
        <v>249</v>
      </c>
    </row>
    <row r="208" spans="1:49" x14ac:dyDescent="0.45">
      <c r="A208">
        <v>10207</v>
      </c>
      <c r="B208">
        <v>1</v>
      </c>
      <c r="C208">
        <v>60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20</v>
      </c>
      <c r="K208">
        <v>20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Y208">
        <v>1</v>
      </c>
      <c r="Z208">
        <v>0</v>
      </c>
      <c r="AA208">
        <v>0</v>
      </c>
      <c r="AB208">
        <v>0</v>
      </c>
      <c r="AC208">
        <v>0</v>
      </c>
      <c r="AI208">
        <v>0</v>
      </c>
      <c r="AO208">
        <v>5.6000000000000005</v>
      </c>
      <c r="AP208">
        <v>3.3333333333333335</v>
      </c>
      <c r="AQ208">
        <v>744</v>
      </c>
      <c r="AR208">
        <v>47.3</v>
      </c>
    </row>
    <row r="209" spans="1:44" x14ac:dyDescent="0.45">
      <c r="A209">
        <v>10208</v>
      </c>
      <c r="B209">
        <v>1</v>
      </c>
      <c r="C209">
        <v>50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30</v>
      </c>
      <c r="K209">
        <v>20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Y209">
        <v>1</v>
      </c>
      <c r="Z209">
        <v>0</v>
      </c>
      <c r="AA209">
        <v>0</v>
      </c>
      <c r="AB209">
        <v>0</v>
      </c>
      <c r="AC209">
        <v>0</v>
      </c>
      <c r="AI209">
        <v>0</v>
      </c>
      <c r="AO209">
        <v>5.6000000000000005</v>
      </c>
      <c r="AP209">
        <v>5</v>
      </c>
      <c r="AQ209">
        <v>675</v>
      </c>
      <c r="AR209">
        <v>52.7</v>
      </c>
    </row>
    <row r="210" spans="1:44" x14ac:dyDescent="0.45">
      <c r="A210">
        <v>10209</v>
      </c>
      <c r="B210">
        <v>1</v>
      </c>
      <c r="C210">
        <v>40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40</v>
      </c>
      <c r="K210">
        <v>20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Y210">
        <v>1</v>
      </c>
      <c r="Z210">
        <v>0</v>
      </c>
      <c r="AA210">
        <v>0</v>
      </c>
      <c r="AB210">
        <v>0</v>
      </c>
      <c r="AC210">
        <v>0</v>
      </c>
      <c r="AI210">
        <v>0</v>
      </c>
      <c r="AO210">
        <v>5.6000000000000005</v>
      </c>
      <c r="AP210">
        <v>6.666666666666667</v>
      </c>
      <c r="AQ210">
        <v>606</v>
      </c>
      <c r="AR210">
        <v>50.5</v>
      </c>
    </row>
    <row r="211" spans="1:44" x14ac:dyDescent="0.45">
      <c r="A211">
        <v>10210</v>
      </c>
      <c r="B211">
        <v>1</v>
      </c>
      <c r="C211">
        <v>21.12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39.08</v>
      </c>
      <c r="K211">
        <v>39.799999999999997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Y211">
        <v>1</v>
      </c>
      <c r="Z211">
        <v>0</v>
      </c>
      <c r="AA211">
        <v>0</v>
      </c>
      <c r="AB211">
        <v>0</v>
      </c>
      <c r="AC211">
        <v>0</v>
      </c>
      <c r="AI211">
        <v>0</v>
      </c>
      <c r="AO211">
        <v>11.144</v>
      </c>
      <c r="AP211">
        <v>6.5133333333333328</v>
      </c>
      <c r="AQ211">
        <v>612.34799999999996</v>
      </c>
      <c r="AR211">
        <v>78</v>
      </c>
    </row>
    <row r="212" spans="1:44" x14ac:dyDescent="0.45">
      <c r="A212">
        <v>10211</v>
      </c>
      <c r="B212">
        <v>1</v>
      </c>
      <c r="C212">
        <v>11.5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43.85</v>
      </c>
      <c r="K212">
        <v>44.65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Y212">
        <v>1</v>
      </c>
      <c r="Z212">
        <v>0</v>
      </c>
      <c r="AA212">
        <v>0</v>
      </c>
      <c r="AB212">
        <v>0</v>
      </c>
      <c r="AC212">
        <v>0</v>
      </c>
      <c r="AI212">
        <v>0</v>
      </c>
      <c r="AO212">
        <v>12.502000000000001</v>
      </c>
      <c r="AP212">
        <v>7.3083333333333336</v>
      </c>
      <c r="AQ212">
        <v>579.43499999999995</v>
      </c>
      <c r="AR212">
        <v>75</v>
      </c>
    </row>
    <row r="213" spans="1:44" x14ac:dyDescent="0.45">
      <c r="A213">
        <v>10212</v>
      </c>
      <c r="B213">
        <v>1</v>
      </c>
      <c r="C213">
        <v>57.24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18.309999999999999</v>
      </c>
      <c r="K213">
        <v>24.45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Y213">
        <v>1</v>
      </c>
      <c r="Z213">
        <v>0</v>
      </c>
      <c r="AA213">
        <v>0</v>
      </c>
      <c r="AB213">
        <v>0</v>
      </c>
      <c r="AC213">
        <v>0</v>
      </c>
      <c r="AI213">
        <v>0</v>
      </c>
      <c r="AO213">
        <v>6.8460000000000001</v>
      </c>
      <c r="AP213">
        <v>3.0516666666666663</v>
      </c>
      <c r="AQ213">
        <v>755.66100000000006</v>
      </c>
      <c r="AR213">
        <v>62</v>
      </c>
    </row>
    <row r="214" spans="1:44" x14ac:dyDescent="0.45">
      <c r="A214">
        <v>10213</v>
      </c>
      <c r="B214">
        <v>1</v>
      </c>
      <c r="C214">
        <v>54.1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23.9</v>
      </c>
      <c r="K214">
        <v>22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Y214">
        <v>1</v>
      </c>
      <c r="Z214">
        <v>0</v>
      </c>
      <c r="AA214">
        <v>0</v>
      </c>
      <c r="AB214">
        <v>0</v>
      </c>
      <c r="AC214">
        <v>0</v>
      </c>
      <c r="AI214">
        <v>0</v>
      </c>
      <c r="AO214">
        <v>6.16</v>
      </c>
      <c r="AP214">
        <v>3.9833333333333329</v>
      </c>
      <c r="AQ214">
        <v>717.09</v>
      </c>
      <c r="AR214">
        <v>65</v>
      </c>
    </row>
    <row r="215" spans="1:44" x14ac:dyDescent="0.45">
      <c r="A215">
        <v>10214</v>
      </c>
      <c r="B215">
        <v>1</v>
      </c>
      <c r="C215">
        <v>52.58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26.69</v>
      </c>
      <c r="K215">
        <v>20.73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Y215">
        <v>1</v>
      </c>
      <c r="Z215">
        <v>0</v>
      </c>
      <c r="AA215">
        <v>0</v>
      </c>
      <c r="AB215">
        <v>0</v>
      </c>
      <c r="AC215">
        <v>0</v>
      </c>
      <c r="AI215">
        <v>0</v>
      </c>
      <c r="AO215">
        <v>5.8044000000000011</v>
      </c>
      <c r="AP215">
        <v>4.4483333333333333</v>
      </c>
      <c r="AQ215">
        <v>697.83899999999994</v>
      </c>
      <c r="AR215">
        <v>64</v>
      </c>
    </row>
    <row r="216" spans="1:44" x14ac:dyDescent="0.45">
      <c r="A216">
        <v>10215</v>
      </c>
      <c r="B216">
        <v>1</v>
      </c>
      <c r="C216">
        <v>50.26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31.12</v>
      </c>
      <c r="K216">
        <v>18.62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Y216">
        <v>1</v>
      </c>
      <c r="Z216">
        <v>0</v>
      </c>
      <c r="AA216">
        <v>0</v>
      </c>
      <c r="AB216">
        <v>0</v>
      </c>
      <c r="AC216">
        <v>0</v>
      </c>
      <c r="AI216">
        <v>0</v>
      </c>
      <c r="AO216">
        <v>5.2136000000000005</v>
      </c>
      <c r="AP216">
        <v>5.1866666666666665</v>
      </c>
      <c r="AQ216">
        <v>667.27199999999993</v>
      </c>
      <c r="AR216">
        <v>63</v>
      </c>
    </row>
    <row r="217" spans="1:44" x14ac:dyDescent="0.45">
      <c r="A217">
        <v>10216</v>
      </c>
      <c r="B217">
        <v>1</v>
      </c>
      <c r="C217">
        <v>38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32</v>
      </c>
      <c r="K217">
        <v>30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Y217">
        <v>1</v>
      </c>
      <c r="Z217">
        <v>0</v>
      </c>
      <c r="AA217">
        <v>0</v>
      </c>
      <c r="AB217">
        <v>0</v>
      </c>
      <c r="AC217">
        <v>0</v>
      </c>
      <c r="AI217">
        <v>0</v>
      </c>
      <c r="AO217">
        <v>8.4</v>
      </c>
      <c r="AP217">
        <v>5.333333333333333</v>
      </c>
      <c r="AQ217">
        <v>661.2</v>
      </c>
      <c r="AR217">
        <v>65</v>
      </c>
    </row>
    <row r="218" spans="1:44" x14ac:dyDescent="0.45">
      <c r="A218">
        <v>10217</v>
      </c>
      <c r="B218">
        <v>1</v>
      </c>
      <c r="C218">
        <v>41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25</v>
      </c>
      <c r="K218">
        <v>34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Y218">
        <v>1</v>
      </c>
      <c r="Z218">
        <v>0</v>
      </c>
      <c r="AA218">
        <v>0</v>
      </c>
      <c r="AB218">
        <v>0</v>
      </c>
      <c r="AC218">
        <v>0</v>
      </c>
      <c r="AI218">
        <v>0</v>
      </c>
      <c r="AO218">
        <v>9.5200000000000014</v>
      </c>
      <c r="AP218">
        <v>4.166666666666667</v>
      </c>
      <c r="AQ218">
        <v>709.5</v>
      </c>
      <c r="AR218">
        <v>62</v>
      </c>
    </row>
    <row r="219" spans="1:44" x14ac:dyDescent="0.45">
      <c r="A219">
        <v>10218</v>
      </c>
      <c r="B219">
        <v>1</v>
      </c>
      <c r="C219">
        <v>55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10</v>
      </c>
      <c r="K219">
        <v>35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Y219">
        <v>1</v>
      </c>
      <c r="Z219">
        <v>0</v>
      </c>
      <c r="AA219">
        <v>0</v>
      </c>
      <c r="AB219">
        <v>0</v>
      </c>
      <c r="AC219">
        <v>0</v>
      </c>
      <c r="AI219">
        <v>0</v>
      </c>
      <c r="AO219">
        <v>9.8000000000000007</v>
      </c>
      <c r="AP219">
        <v>1.6666666666666667</v>
      </c>
      <c r="AQ219">
        <v>813</v>
      </c>
      <c r="AR219">
        <v>58.8</v>
      </c>
    </row>
    <row r="220" spans="1:44" x14ac:dyDescent="0.45">
      <c r="A220">
        <v>10219</v>
      </c>
      <c r="B220">
        <v>1</v>
      </c>
      <c r="C220">
        <v>60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5</v>
      </c>
      <c r="K220">
        <v>35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Y220">
        <v>1</v>
      </c>
      <c r="Z220">
        <v>0</v>
      </c>
      <c r="AA220">
        <v>0</v>
      </c>
      <c r="AB220">
        <v>0</v>
      </c>
      <c r="AC220">
        <v>0</v>
      </c>
      <c r="AI220">
        <v>0</v>
      </c>
      <c r="AO220">
        <v>9.8000000000000007</v>
      </c>
      <c r="AP220">
        <v>0.83333333333333337</v>
      </c>
      <c r="AQ220">
        <v>847.5</v>
      </c>
      <c r="AR220">
        <v>59.8</v>
      </c>
    </row>
    <row r="221" spans="1:44" x14ac:dyDescent="0.45">
      <c r="A221">
        <v>10220</v>
      </c>
      <c r="B221">
        <v>1</v>
      </c>
      <c r="C221">
        <v>57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6</v>
      </c>
      <c r="K221">
        <v>37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Y221">
        <v>1</v>
      </c>
      <c r="Z221">
        <v>0</v>
      </c>
      <c r="AA221">
        <v>0</v>
      </c>
      <c r="AB221">
        <v>0</v>
      </c>
      <c r="AC221">
        <v>0</v>
      </c>
      <c r="AI221">
        <v>0</v>
      </c>
      <c r="AO221">
        <v>10.360000000000001</v>
      </c>
      <c r="AP221">
        <v>1</v>
      </c>
      <c r="AQ221">
        <v>840.6</v>
      </c>
      <c r="AR221">
        <v>60</v>
      </c>
    </row>
    <row r="222" spans="1:44" x14ac:dyDescent="0.45">
      <c r="A222">
        <v>10221</v>
      </c>
      <c r="B222">
        <v>1</v>
      </c>
      <c r="C222">
        <v>60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3</v>
      </c>
      <c r="K222">
        <v>37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Y222">
        <v>1</v>
      </c>
      <c r="Z222">
        <v>0</v>
      </c>
      <c r="AA222">
        <v>0</v>
      </c>
      <c r="AB222">
        <v>0</v>
      </c>
      <c r="AC222">
        <v>0</v>
      </c>
      <c r="AI222">
        <v>0</v>
      </c>
      <c r="AO222">
        <v>10.360000000000001</v>
      </c>
      <c r="AP222">
        <v>0.5</v>
      </c>
      <c r="AQ222">
        <v>861.3</v>
      </c>
      <c r="AR222">
        <v>58</v>
      </c>
    </row>
    <row r="223" spans="1:44" x14ac:dyDescent="0.45">
      <c r="A223">
        <v>10222</v>
      </c>
      <c r="B223">
        <v>1</v>
      </c>
      <c r="C223">
        <v>67.53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4.8600000000000003</v>
      </c>
      <c r="K223">
        <v>27.61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Y223">
        <v>1</v>
      </c>
      <c r="Z223">
        <v>0</v>
      </c>
      <c r="AA223">
        <v>0</v>
      </c>
      <c r="AB223">
        <v>0</v>
      </c>
      <c r="AC223">
        <v>0</v>
      </c>
      <c r="AI223">
        <v>0</v>
      </c>
      <c r="AO223">
        <v>7.7308000000000003</v>
      </c>
      <c r="AP223">
        <v>0.81</v>
      </c>
      <c r="AQ223">
        <v>848.46600000000001</v>
      </c>
      <c r="AR223">
        <v>64.900000000000006</v>
      </c>
    </row>
    <row r="224" spans="1:44" x14ac:dyDescent="0.45">
      <c r="A224">
        <v>10223</v>
      </c>
      <c r="B224">
        <v>1</v>
      </c>
      <c r="C224">
        <v>80.38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7.44</v>
      </c>
      <c r="K224">
        <v>12.18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Y224">
        <v>1</v>
      </c>
      <c r="Z224">
        <v>0</v>
      </c>
      <c r="AA224">
        <v>0</v>
      </c>
      <c r="AB224">
        <v>0</v>
      </c>
      <c r="AC224">
        <v>0</v>
      </c>
      <c r="AI224">
        <v>0</v>
      </c>
      <c r="AO224">
        <v>3.4104000000000001</v>
      </c>
      <c r="AP224">
        <v>1.24</v>
      </c>
      <c r="AQ224">
        <v>830.66399999999999</v>
      </c>
      <c r="AR224">
        <v>55</v>
      </c>
    </row>
    <row r="225" spans="1:50" x14ac:dyDescent="0.45">
      <c r="A225">
        <v>10224</v>
      </c>
      <c r="B225">
        <v>1</v>
      </c>
      <c r="C225">
        <v>73.59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3.27</v>
      </c>
      <c r="K225">
        <v>23.14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Y225">
        <v>1</v>
      </c>
      <c r="Z225">
        <v>0</v>
      </c>
      <c r="AA225">
        <v>0</v>
      </c>
      <c r="AB225">
        <v>0</v>
      </c>
      <c r="AC225">
        <v>0</v>
      </c>
      <c r="AI225">
        <v>0</v>
      </c>
      <c r="AO225">
        <v>6.4792000000000005</v>
      </c>
      <c r="AP225">
        <v>0.54500000000000004</v>
      </c>
      <c r="AQ225">
        <v>859.43700000000001</v>
      </c>
      <c r="AR225">
        <v>76</v>
      </c>
    </row>
    <row r="226" spans="1:50" x14ac:dyDescent="0.45">
      <c r="A226">
        <v>10225</v>
      </c>
      <c r="B226">
        <v>1</v>
      </c>
      <c r="C226">
        <v>74.3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9.75</v>
      </c>
      <c r="K226">
        <v>15.95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Y226">
        <v>1</v>
      </c>
      <c r="Z226">
        <v>0</v>
      </c>
      <c r="AA226">
        <v>0</v>
      </c>
      <c r="AB226">
        <v>0</v>
      </c>
      <c r="AC226">
        <v>0</v>
      </c>
      <c r="AI226">
        <v>0</v>
      </c>
      <c r="AO226">
        <v>4.4660000000000002</v>
      </c>
      <c r="AP226">
        <v>1.625</v>
      </c>
      <c r="AQ226">
        <v>814.72500000000002</v>
      </c>
      <c r="AR226">
        <v>75</v>
      </c>
    </row>
    <row r="227" spans="1:50" x14ac:dyDescent="0.45">
      <c r="A227">
        <v>10226</v>
      </c>
      <c r="B227">
        <v>1</v>
      </c>
      <c r="C227">
        <v>90</v>
      </c>
      <c r="D227">
        <v>0</v>
      </c>
      <c r="E227">
        <v>0</v>
      </c>
      <c r="F227">
        <v>8.5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1.5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1</v>
      </c>
      <c r="W227">
        <v>20</v>
      </c>
      <c r="X227">
        <v>95</v>
      </c>
      <c r="Y227">
        <v>0</v>
      </c>
      <c r="Z227">
        <v>1</v>
      </c>
      <c r="AA227">
        <v>0</v>
      </c>
      <c r="AB227">
        <v>0</v>
      </c>
      <c r="AC227">
        <v>1</v>
      </c>
      <c r="AD227">
        <v>900</v>
      </c>
      <c r="AE227">
        <v>0.5</v>
      </c>
      <c r="AF227">
        <v>1</v>
      </c>
      <c r="AG227">
        <v>0</v>
      </c>
      <c r="AH227">
        <v>0</v>
      </c>
      <c r="AI227">
        <v>0</v>
      </c>
      <c r="AO227">
        <v>13.600000000000001</v>
      </c>
      <c r="AP227">
        <v>0.5</v>
      </c>
      <c r="AQ227">
        <v>785.44999999999993</v>
      </c>
      <c r="AT227">
        <v>1264</v>
      </c>
      <c r="AU227">
        <v>36.049999999999997</v>
      </c>
      <c r="AX227" t="s">
        <v>112</v>
      </c>
    </row>
    <row r="228" spans="1:50" x14ac:dyDescent="0.45">
      <c r="A228">
        <v>10227</v>
      </c>
      <c r="B228">
        <v>1</v>
      </c>
      <c r="C228">
        <v>90</v>
      </c>
      <c r="D228">
        <v>0</v>
      </c>
      <c r="E228">
        <v>0</v>
      </c>
      <c r="F228">
        <v>8.52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1.48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1</v>
      </c>
      <c r="Y228">
        <v>0</v>
      </c>
      <c r="Z228">
        <v>1</v>
      </c>
      <c r="AA228">
        <v>0</v>
      </c>
      <c r="AB228">
        <v>0</v>
      </c>
      <c r="AC228">
        <v>1</v>
      </c>
      <c r="AD228">
        <v>890</v>
      </c>
      <c r="AE228">
        <v>0.5</v>
      </c>
      <c r="AF228">
        <v>1</v>
      </c>
      <c r="AG228">
        <v>0</v>
      </c>
      <c r="AH228">
        <v>0</v>
      </c>
      <c r="AI228">
        <v>1</v>
      </c>
      <c r="AJ228">
        <v>760</v>
      </c>
      <c r="AK228">
        <v>0.5</v>
      </c>
      <c r="AL228">
        <v>1</v>
      </c>
      <c r="AM228">
        <v>0</v>
      </c>
      <c r="AN228">
        <v>0</v>
      </c>
      <c r="AO228">
        <v>13.632</v>
      </c>
      <c r="AP228">
        <v>0.49333333333333335</v>
      </c>
      <c r="AQ228">
        <v>785.12400000000002</v>
      </c>
      <c r="AS228">
        <v>428.2</v>
      </c>
      <c r="AT228">
        <v>806.3</v>
      </c>
      <c r="AU228">
        <v>44.8</v>
      </c>
      <c r="AX228" t="s">
        <v>91</v>
      </c>
    </row>
    <row r="229" spans="1:50" x14ac:dyDescent="0.45">
      <c r="A229">
        <v>10228</v>
      </c>
      <c r="B229">
        <v>1</v>
      </c>
      <c r="C229">
        <v>90</v>
      </c>
      <c r="D229">
        <v>0</v>
      </c>
      <c r="E229">
        <v>0</v>
      </c>
      <c r="F229">
        <v>8.5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1.5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1</v>
      </c>
      <c r="Y229">
        <v>0</v>
      </c>
      <c r="Z229">
        <v>1</v>
      </c>
      <c r="AA229">
        <v>0</v>
      </c>
      <c r="AB229">
        <v>0</v>
      </c>
      <c r="AC229">
        <v>1</v>
      </c>
      <c r="AD229">
        <v>780</v>
      </c>
      <c r="AE229">
        <v>0.16666666666666699</v>
      </c>
      <c r="AF229">
        <v>1</v>
      </c>
      <c r="AG229">
        <v>0</v>
      </c>
      <c r="AH229">
        <v>0</v>
      </c>
      <c r="AI229">
        <v>0</v>
      </c>
      <c r="AO229">
        <v>13.600000000000001</v>
      </c>
      <c r="AP229">
        <v>0.5</v>
      </c>
      <c r="AQ229">
        <v>785.44999999999993</v>
      </c>
      <c r="AS229">
        <v>356.5</v>
      </c>
      <c r="AT229">
        <v>835.9</v>
      </c>
      <c r="AU229">
        <v>56</v>
      </c>
      <c r="AX229" t="s">
        <v>92</v>
      </c>
    </row>
    <row r="230" spans="1:50" x14ac:dyDescent="0.45">
      <c r="A230">
        <v>10229</v>
      </c>
      <c r="B230">
        <v>1</v>
      </c>
      <c r="C230">
        <v>90</v>
      </c>
      <c r="D230">
        <v>0</v>
      </c>
      <c r="E230">
        <v>0</v>
      </c>
      <c r="F230">
        <v>8.5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1.5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Y230">
        <v>1</v>
      </c>
      <c r="Z230">
        <v>0</v>
      </c>
      <c r="AA230">
        <v>0</v>
      </c>
      <c r="AB230">
        <v>0</v>
      </c>
      <c r="AC230">
        <v>1</v>
      </c>
      <c r="AD230">
        <v>780</v>
      </c>
      <c r="AE230">
        <v>0.16666666666666699</v>
      </c>
      <c r="AF230">
        <v>1</v>
      </c>
      <c r="AG230">
        <v>0</v>
      </c>
      <c r="AH230">
        <v>0</v>
      </c>
      <c r="AI230">
        <v>0</v>
      </c>
      <c r="AO230">
        <v>13.600000000000001</v>
      </c>
      <c r="AP230">
        <v>0.5</v>
      </c>
      <c r="AQ230">
        <v>785.44999999999993</v>
      </c>
      <c r="AS230">
        <v>1019.2</v>
      </c>
      <c r="AT230">
        <v>1577.8</v>
      </c>
      <c r="AU230">
        <v>38.6</v>
      </c>
      <c r="AX230" t="s">
        <v>92</v>
      </c>
    </row>
    <row r="231" spans="1:50" x14ac:dyDescent="0.45">
      <c r="A231">
        <v>10230</v>
      </c>
      <c r="B231">
        <v>1</v>
      </c>
      <c r="C231">
        <v>91.44</v>
      </c>
      <c r="D231">
        <v>0</v>
      </c>
      <c r="E231">
        <v>0</v>
      </c>
      <c r="F231">
        <v>7.95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0.61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1</v>
      </c>
      <c r="Y231">
        <v>0</v>
      </c>
      <c r="Z231">
        <v>1</v>
      </c>
      <c r="AA231">
        <v>0</v>
      </c>
      <c r="AB231">
        <v>0</v>
      </c>
      <c r="AC231">
        <v>1</v>
      </c>
      <c r="AD231">
        <f>AQ231</f>
        <v>788.36699999999996</v>
      </c>
      <c r="AF231">
        <v>1</v>
      </c>
      <c r="AG231">
        <v>0</v>
      </c>
      <c r="AH231">
        <v>0</v>
      </c>
      <c r="AI231">
        <v>0</v>
      </c>
      <c r="AO231">
        <v>12.72</v>
      </c>
      <c r="AP231">
        <v>0.20333333333333334</v>
      </c>
      <c r="AQ231">
        <v>788.36699999999996</v>
      </c>
      <c r="AR231">
        <v>83</v>
      </c>
      <c r="AS231">
        <v>554</v>
      </c>
      <c r="AX231" t="s">
        <v>60</v>
      </c>
    </row>
    <row r="232" spans="1:50" x14ac:dyDescent="0.45">
      <c r="A232">
        <v>10231</v>
      </c>
      <c r="B232">
        <v>1</v>
      </c>
      <c r="C232">
        <v>90</v>
      </c>
      <c r="D232">
        <v>0</v>
      </c>
      <c r="E232">
        <v>0</v>
      </c>
      <c r="F232">
        <v>3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7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1</v>
      </c>
      <c r="W232">
        <v>20</v>
      </c>
      <c r="X232">
        <v>60</v>
      </c>
      <c r="Y232">
        <v>0</v>
      </c>
      <c r="Z232">
        <v>1</v>
      </c>
      <c r="AA232">
        <v>0</v>
      </c>
      <c r="AB232">
        <v>0</v>
      </c>
      <c r="AC232">
        <v>1</v>
      </c>
      <c r="AD232">
        <v>850</v>
      </c>
      <c r="AE232">
        <v>0.33</v>
      </c>
      <c r="AF232">
        <v>0</v>
      </c>
      <c r="AG232">
        <v>1</v>
      </c>
      <c r="AH232">
        <v>0</v>
      </c>
      <c r="AI232">
        <v>0</v>
      </c>
      <c r="AO232">
        <v>11.8</v>
      </c>
      <c r="AP232">
        <v>0</v>
      </c>
      <c r="AQ232">
        <v>779.2</v>
      </c>
      <c r="AT232">
        <v>958.4</v>
      </c>
      <c r="AU232">
        <v>1.1000000000000001</v>
      </c>
      <c r="AX232" t="s">
        <v>93</v>
      </c>
    </row>
    <row r="233" spans="1:50" x14ac:dyDescent="0.45">
      <c r="A233">
        <v>10232</v>
      </c>
      <c r="B233">
        <v>1</v>
      </c>
      <c r="C233">
        <v>90</v>
      </c>
      <c r="D233">
        <v>0</v>
      </c>
      <c r="E233">
        <v>0</v>
      </c>
      <c r="F233">
        <v>3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7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1</v>
      </c>
      <c r="W233">
        <v>20</v>
      </c>
      <c r="X233">
        <v>60</v>
      </c>
      <c r="Y233">
        <v>0</v>
      </c>
      <c r="Z233">
        <v>1</v>
      </c>
      <c r="AA233">
        <v>0</v>
      </c>
      <c r="AB233">
        <v>0</v>
      </c>
      <c r="AC233">
        <v>1</v>
      </c>
      <c r="AD233">
        <v>850</v>
      </c>
      <c r="AE233">
        <v>0.33</v>
      </c>
      <c r="AF233">
        <v>1</v>
      </c>
      <c r="AG233">
        <v>0</v>
      </c>
      <c r="AH233">
        <v>0</v>
      </c>
      <c r="AI233">
        <v>0</v>
      </c>
      <c r="AO233">
        <v>11.8</v>
      </c>
      <c r="AP233">
        <v>0</v>
      </c>
      <c r="AQ233">
        <v>779.2</v>
      </c>
      <c r="AT233">
        <v>886.4</v>
      </c>
      <c r="AU233">
        <v>46.37</v>
      </c>
      <c r="AX233" t="s">
        <v>93</v>
      </c>
    </row>
    <row r="234" spans="1:50" x14ac:dyDescent="0.45">
      <c r="A234">
        <v>10233</v>
      </c>
      <c r="B234">
        <v>1</v>
      </c>
      <c r="C234">
        <v>77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22</v>
      </c>
      <c r="L234">
        <v>1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1</v>
      </c>
      <c r="Y234">
        <v>0</v>
      </c>
      <c r="Z234">
        <v>1</v>
      </c>
      <c r="AA234">
        <v>0</v>
      </c>
      <c r="AB234">
        <v>0</v>
      </c>
      <c r="AC234">
        <v>1</v>
      </c>
      <c r="AD234">
        <f>AQ234</f>
        <v>872.5</v>
      </c>
      <c r="AF234">
        <v>1</v>
      </c>
      <c r="AG234">
        <v>0</v>
      </c>
      <c r="AH234">
        <v>0</v>
      </c>
      <c r="AI234">
        <v>0</v>
      </c>
      <c r="AO234">
        <v>7.16</v>
      </c>
      <c r="AP234">
        <v>0</v>
      </c>
      <c r="AQ234">
        <v>872.5</v>
      </c>
      <c r="AR234">
        <v>87</v>
      </c>
      <c r="AS234">
        <v>452</v>
      </c>
      <c r="AX234" t="s">
        <v>60</v>
      </c>
    </row>
    <row r="235" spans="1:50" x14ac:dyDescent="0.45">
      <c r="A235">
        <v>10234</v>
      </c>
      <c r="B235">
        <v>1</v>
      </c>
      <c r="C235">
        <v>91.86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1.67</v>
      </c>
      <c r="L235">
        <v>6.47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1</v>
      </c>
      <c r="Y235">
        <v>0</v>
      </c>
      <c r="Z235">
        <v>1</v>
      </c>
      <c r="AA235">
        <v>0</v>
      </c>
      <c r="AB235">
        <v>0</v>
      </c>
      <c r="AC235">
        <v>1</v>
      </c>
      <c r="AD235">
        <f>AQ235</f>
        <v>820.53499999999997</v>
      </c>
      <c r="AF235">
        <v>1</v>
      </c>
      <c r="AG235">
        <v>0</v>
      </c>
      <c r="AH235">
        <v>0</v>
      </c>
      <c r="AI235">
        <v>0</v>
      </c>
      <c r="AO235">
        <v>6.9375999999999998</v>
      </c>
      <c r="AP235">
        <v>0</v>
      </c>
      <c r="AQ235">
        <v>820.53499999999997</v>
      </c>
      <c r="AR235">
        <v>105</v>
      </c>
      <c r="AS235">
        <v>449</v>
      </c>
      <c r="AX235" t="s">
        <v>60</v>
      </c>
    </row>
    <row r="236" spans="1:50" x14ac:dyDescent="0.45">
      <c r="A236">
        <v>10235</v>
      </c>
      <c r="B236">
        <v>1</v>
      </c>
      <c r="C236">
        <v>72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26</v>
      </c>
      <c r="L236">
        <v>2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Y236">
        <v>1</v>
      </c>
      <c r="Z236">
        <v>0</v>
      </c>
      <c r="AA236">
        <v>0</v>
      </c>
      <c r="AB236">
        <v>0</v>
      </c>
      <c r="AC236">
        <v>0</v>
      </c>
      <c r="AI236">
        <v>0</v>
      </c>
      <c r="AO236">
        <v>9.2800000000000011</v>
      </c>
      <c r="AP236">
        <v>0</v>
      </c>
      <c r="AQ236">
        <v>863</v>
      </c>
      <c r="AR236">
        <v>67</v>
      </c>
      <c r="AS236">
        <v>535</v>
      </c>
      <c r="AX236" t="s">
        <v>60</v>
      </c>
    </row>
    <row r="237" spans="1:50" x14ac:dyDescent="0.45">
      <c r="A237">
        <v>10236</v>
      </c>
      <c r="B237">
        <v>1</v>
      </c>
      <c r="C237">
        <v>70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26</v>
      </c>
      <c r="L237">
        <v>4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Y237">
        <v>1</v>
      </c>
      <c r="Z237">
        <v>0</v>
      </c>
      <c r="AA237">
        <v>0</v>
      </c>
      <c r="AB237">
        <v>0</v>
      </c>
      <c r="AC237">
        <v>0</v>
      </c>
      <c r="AI237">
        <v>0</v>
      </c>
      <c r="AO237">
        <v>11.280000000000001</v>
      </c>
      <c r="AP237">
        <v>0</v>
      </c>
      <c r="AQ237">
        <v>844</v>
      </c>
      <c r="AR237">
        <v>64</v>
      </c>
      <c r="AS237">
        <v>621</v>
      </c>
      <c r="AX237" t="s">
        <v>60</v>
      </c>
    </row>
    <row r="238" spans="1:50" x14ac:dyDescent="0.45">
      <c r="A238">
        <v>10237</v>
      </c>
      <c r="B238">
        <v>1</v>
      </c>
      <c r="C238">
        <v>68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26</v>
      </c>
      <c r="L238">
        <v>6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Y238">
        <v>1</v>
      </c>
      <c r="Z238">
        <v>0</v>
      </c>
      <c r="AA238">
        <v>0</v>
      </c>
      <c r="AB238">
        <v>0</v>
      </c>
      <c r="AC238">
        <v>0</v>
      </c>
      <c r="AI238">
        <v>0</v>
      </c>
      <c r="AO238">
        <v>13.280000000000001</v>
      </c>
      <c r="AP238">
        <v>0</v>
      </c>
      <c r="AQ238">
        <v>825</v>
      </c>
      <c r="AR238">
        <v>56</v>
      </c>
      <c r="AS238">
        <v>634</v>
      </c>
      <c r="AX238" t="s">
        <v>60</v>
      </c>
    </row>
    <row r="239" spans="1:50" x14ac:dyDescent="0.45">
      <c r="A239">
        <v>10238</v>
      </c>
      <c r="B239">
        <v>1</v>
      </c>
      <c r="C239">
        <v>66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26</v>
      </c>
      <c r="L239">
        <v>8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Y239">
        <v>1</v>
      </c>
      <c r="Z239">
        <v>0</v>
      </c>
      <c r="AA239">
        <v>0</v>
      </c>
      <c r="AB239">
        <v>0</v>
      </c>
      <c r="AC239">
        <v>0</v>
      </c>
      <c r="AI239">
        <v>0</v>
      </c>
      <c r="AO239">
        <v>15.280000000000001</v>
      </c>
      <c r="AP239">
        <v>0</v>
      </c>
      <c r="AQ239">
        <v>806</v>
      </c>
      <c r="AR239">
        <v>55</v>
      </c>
      <c r="AS239">
        <v>663</v>
      </c>
      <c r="AX239" t="s">
        <v>60</v>
      </c>
    </row>
    <row r="240" spans="1:50" x14ac:dyDescent="0.45">
      <c r="A240">
        <v>10239</v>
      </c>
      <c r="B240">
        <v>1</v>
      </c>
      <c r="C240">
        <v>87.5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6.25</v>
      </c>
      <c r="L240">
        <v>6.25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Y240">
        <v>1</v>
      </c>
      <c r="Z240">
        <v>0</v>
      </c>
      <c r="AA240">
        <v>0</v>
      </c>
      <c r="AB240">
        <v>0</v>
      </c>
      <c r="AC240">
        <v>0</v>
      </c>
      <c r="AI240">
        <v>0</v>
      </c>
      <c r="AO240">
        <v>8</v>
      </c>
      <c r="AP240">
        <v>0</v>
      </c>
      <c r="AQ240">
        <v>822.625</v>
      </c>
      <c r="AR240">
        <v>92</v>
      </c>
    </row>
    <row r="241" spans="1:50" x14ac:dyDescent="0.45">
      <c r="A241">
        <v>10240</v>
      </c>
      <c r="B241">
        <v>1</v>
      </c>
      <c r="C241">
        <v>90.1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1.7</v>
      </c>
      <c r="L241">
        <v>8.1999999999999993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Y241">
        <v>1</v>
      </c>
      <c r="Z241">
        <v>0</v>
      </c>
      <c r="AA241">
        <v>0</v>
      </c>
      <c r="AB241">
        <v>0</v>
      </c>
      <c r="AC241">
        <v>0</v>
      </c>
      <c r="AI241">
        <v>0</v>
      </c>
      <c r="AO241">
        <v>8.6760000000000002</v>
      </c>
      <c r="AP241">
        <v>0</v>
      </c>
      <c r="AQ241">
        <v>804.1</v>
      </c>
      <c r="AR241">
        <v>82</v>
      </c>
    </row>
    <row r="242" spans="1:50" x14ac:dyDescent="0.45">
      <c r="A242">
        <v>10241</v>
      </c>
      <c r="B242">
        <v>1</v>
      </c>
      <c r="C242">
        <v>78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10.8</v>
      </c>
      <c r="L242">
        <v>11.2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Y242">
        <v>1</v>
      </c>
      <c r="Z242">
        <v>0</v>
      </c>
      <c r="AA242">
        <v>0</v>
      </c>
      <c r="AB242">
        <v>0</v>
      </c>
      <c r="AC242">
        <v>0</v>
      </c>
      <c r="AI242">
        <v>0</v>
      </c>
      <c r="AO242">
        <v>14.224</v>
      </c>
      <c r="AP242">
        <v>0</v>
      </c>
      <c r="AQ242">
        <v>775.6</v>
      </c>
      <c r="AR242">
        <v>92</v>
      </c>
    </row>
    <row r="243" spans="1:50" x14ac:dyDescent="0.45">
      <c r="A243">
        <v>10242</v>
      </c>
      <c r="B243">
        <v>1</v>
      </c>
      <c r="C243">
        <v>70.400000000000006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19.5</v>
      </c>
      <c r="L243">
        <v>10.1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I243">
        <v>0</v>
      </c>
      <c r="AO243">
        <v>15.56</v>
      </c>
      <c r="AP243">
        <v>0</v>
      </c>
      <c r="AQ243">
        <v>786.05</v>
      </c>
      <c r="AR243">
        <v>83</v>
      </c>
    </row>
    <row r="244" spans="1:50" x14ac:dyDescent="0.45">
      <c r="A244">
        <v>10243</v>
      </c>
      <c r="B244">
        <v>1</v>
      </c>
      <c r="C244">
        <v>64.099999999999994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26.7</v>
      </c>
      <c r="L244">
        <v>9.1999999999999993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Y244">
        <v>1</v>
      </c>
      <c r="Z244">
        <v>0</v>
      </c>
      <c r="AA244">
        <v>0</v>
      </c>
      <c r="AB244">
        <v>0</v>
      </c>
      <c r="AC244">
        <v>0</v>
      </c>
      <c r="AI244">
        <v>0</v>
      </c>
      <c r="AO244">
        <v>16.676000000000002</v>
      </c>
      <c r="AP244">
        <v>0</v>
      </c>
      <c r="AQ244">
        <v>794.6</v>
      </c>
      <c r="AR244">
        <v>73</v>
      </c>
    </row>
    <row r="245" spans="1:50" x14ac:dyDescent="0.45">
      <c r="A245">
        <v>10244</v>
      </c>
      <c r="B245">
        <v>1</v>
      </c>
      <c r="C245">
        <v>82.35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11.77</v>
      </c>
      <c r="L245">
        <v>5.88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Y245">
        <v>1</v>
      </c>
      <c r="Z245">
        <v>0</v>
      </c>
      <c r="AA245">
        <v>0</v>
      </c>
      <c r="AB245">
        <v>0</v>
      </c>
      <c r="AC245">
        <v>0</v>
      </c>
      <c r="AI245">
        <v>0</v>
      </c>
      <c r="AO245">
        <v>9.1755999999999993</v>
      </c>
      <c r="AP245">
        <v>0</v>
      </c>
      <c r="AQ245">
        <v>826.14</v>
      </c>
      <c r="AR245">
        <v>83</v>
      </c>
    </row>
    <row r="246" spans="1:50" x14ac:dyDescent="0.45">
      <c r="A246">
        <v>10245</v>
      </c>
      <c r="B246">
        <v>1</v>
      </c>
      <c r="C246">
        <v>88.83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2.86</v>
      </c>
      <c r="L246">
        <v>8.31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Y246">
        <v>1</v>
      </c>
      <c r="Z246">
        <v>0</v>
      </c>
      <c r="AA246">
        <v>0</v>
      </c>
      <c r="AB246">
        <v>0</v>
      </c>
      <c r="AC246">
        <v>0</v>
      </c>
      <c r="AI246">
        <v>0</v>
      </c>
      <c r="AO246">
        <v>9.1108000000000011</v>
      </c>
      <c r="AP246">
        <v>0</v>
      </c>
      <c r="AQ246">
        <v>803.05499999999995</v>
      </c>
      <c r="AR246">
        <v>78</v>
      </c>
    </row>
    <row r="247" spans="1:50" x14ac:dyDescent="0.45">
      <c r="A247">
        <v>10246</v>
      </c>
      <c r="B247">
        <v>1</v>
      </c>
      <c r="C247">
        <v>90.35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2.82</v>
      </c>
      <c r="L247">
        <v>6.83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I247">
        <v>0</v>
      </c>
      <c r="AO247">
        <v>7.6196000000000002</v>
      </c>
      <c r="AP247">
        <v>0</v>
      </c>
      <c r="AQ247">
        <v>817.11500000000001</v>
      </c>
      <c r="AR247">
        <v>89</v>
      </c>
    </row>
    <row r="248" spans="1:50" x14ac:dyDescent="0.45">
      <c r="A248">
        <v>10247</v>
      </c>
      <c r="B248">
        <v>1</v>
      </c>
      <c r="C248">
        <v>63.75</v>
      </c>
      <c r="D248">
        <v>0</v>
      </c>
      <c r="E248">
        <v>0</v>
      </c>
      <c r="F248">
        <v>0.9</v>
      </c>
      <c r="G248">
        <v>0</v>
      </c>
      <c r="H248">
        <v>0</v>
      </c>
      <c r="I248">
        <v>0</v>
      </c>
      <c r="J248">
        <v>0</v>
      </c>
      <c r="K248">
        <v>35.35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1</v>
      </c>
      <c r="W248">
        <v>20</v>
      </c>
      <c r="X248">
        <v>85</v>
      </c>
      <c r="Y248">
        <v>0</v>
      </c>
      <c r="Z248">
        <v>1</v>
      </c>
      <c r="AA248">
        <v>0</v>
      </c>
      <c r="AB248">
        <v>0</v>
      </c>
      <c r="AC248">
        <v>1</v>
      </c>
      <c r="AD248">
        <v>800</v>
      </c>
      <c r="AE248">
        <v>1</v>
      </c>
      <c r="AF248">
        <v>1</v>
      </c>
      <c r="AG248">
        <v>0</v>
      </c>
      <c r="AH248">
        <v>0</v>
      </c>
      <c r="AI248">
        <v>0</v>
      </c>
      <c r="AO248">
        <v>11.338000000000001</v>
      </c>
      <c r="AP248">
        <v>0</v>
      </c>
      <c r="AQ248">
        <v>871.11</v>
      </c>
      <c r="AT248">
        <v>503</v>
      </c>
      <c r="AU248">
        <v>35.799999999999997</v>
      </c>
      <c r="AX248" t="s">
        <v>53</v>
      </c>
    </row>
    <row r="249" spans="1:50" x14ac:dyDescent="0.45">
      <c r="A249">
        <v>10248</v>
      </c>
      <c r="B249">
        <v>1</v>
      </c>
      <c r="C249">
        <v>65.55</v>
      </c>
      <c r="D249">
        <v>0</v>
      </c>
      <c r="E249">
        <v>0</v>
      </c>
      <c r="F249">
        <v>1.83</v>
      </c>
      <c r="G249">
        <v>0</v>
      </c>
      <c r="H249">
        <v>0</v>
      </c>
      <c r="I249">
        <v>0</v>
      </c>
      <c r="J249">
        <v>0</v>
      </c>
      <c r="K249">
        <v>32.619999999999997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1</v>
      </c>
      <c r="W249">
        <v>20</v>
      </c>
      <c r="X249">
        <v>85</v>
      </c>
      <c r="Y249">
        <v>0</v>
      </c>
      <c r="Z249">
        <v>1</v>
      </c>
      <c r="AA249">
        <v>0</v>
      </c>
      <c r="AB249">
        <v>0</v>
      </c>
      <c r="AC249">
        <v>1</v>
      </c>
      <c r="AD249">
        <v>800</v>
      </c>
      <c r="AE249">
        <v>1</v>
      </c>
      <c r="AF249">
        <v>1</v>
      </c>
      <c r="AG249">
        <v>0</v>
      </c>
      <c r="AH249">
        <v>0</v>
      </c>
      <c r="AI249">
        <v>0</v>
      </c>
      <c r="AO249">
        <v>12.0616</v>
      </c>
      <c r="AP249">
        <v>0</v>
      </c>
      <c r="AQ249">
        <v>859.85699999999997</v>
      </c>
      <c r="AT249">
        <v>474</v>
      </c>
      <c r="AU249">
        <v>28.5</v>
      </c>
      <c r="AW249" t="s">
        <v>343</v>
      </c>
      <c r="AX249" t="s">
        <v>53</v>
      </c>
    </row>
    <row r="250" spans="1:50" x14ac:dyDescent="0.45">
      <c r="A250">
        <v>10249</v>
      </c>
      <c r="B250">
        <v>1</v>
      </c>
      <c r="C250">
        <v>67.41</v>
      </c>
      <c r="D250">
        <v>0</v>
      </c>
      <c r="E250">
        <v>0</v>
      </c>
      <c r="F250">
        <v>2.78</v>
      </c>
      <c r="G250">
        <v>0</v>
      </c>
      <c r="H250">
        <v>0</v>
      </c>
      <c r="I250">
        <v>0</v>
      </c>
      <c r="J250">
        <v>0</v>
      </c>
      <c r="K250">
        <v>29.81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1</v>
      </c>
      <c r="W250">
        <v>20</v>
      </c>
      <c r="X250">
        <v>85</v>
      </c>
      <c r="Y250">
        <v>0</v>
      </c>
      <c r="Z250">
        <v>1</v>
      </c>
      <c r="AA250">
        <v>0</v>
      </c>
      <c r="AB250">
        <v>0</v>
      </c>
      <c r="AC250">
        <v>1</v>
      </c>
      <c r="AD250">
        <v>800</v>
      </c>
      <c r="AE250">
        <v>1</v>
      </c>
      <c r="AF250">
        <v>1</v>
      </c>
      <c r="AG250">
        <v>0</v>
      </c>
      <c r="AH250">
        <v>0</v>
      </c>
      <c r="AI250">
        <v>0</v>
      </c>
      <c r="AO250">
        <v>12.794799999999999</v>
      </c>
      <c r="AP250">
        <v>0</v>
      </c>
      <c r="AQ250">
        <v>848.36199999999997</v>
      </c>
      <c r="AT250">
        <v>523</v>
      </c>
      <c r="AU250">
        <v>18.899999999999999</v>
      </c>
      <c r="AX250" t="s">
        <v>53</v>
      </c>
    </row>
    <row r="251" spans="1:50" x14ac:dyDescent="0.45">
      <c r="A251">
        <v>10250</v>
      </c>
      <c r="B251">
        <v>1</v>
      </c>
      <c r="C251">
        <v>69.319999999999993</v>
      </c>
      <c r="D251">
        <v>0</v>
      </c>
      <c r="E251">
        <v>0</v>
      </c>
      <c r="F251">
        <v>3.77</v>
      </c>
      <c r="G251">
        <v>0</v>
      </c>
      <c r="H251">
        <v>0</v>
      </c>
      <c r="I251">
        <v>0</v>
      </c>
      <c r="J251">
        <v>0</v>
      </c>
      <c r="K251">
        <v>26.91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1</v>
      </c>
      <c r="W251">
        <v>20</v>
      </c>
      <c r="X251">
        <v>85</v>
      </c>
      <c r="Y251">
        <v>0</v>
      </c>
      <c r="Z251">
        <v>1</v>
      </c>
      <c r="AA251">
        <v>0</v>
      </c>
      <c r="AB251">
        <v>0</v>
      </c>
      <c r="AC251">
        <v>1</v>
      </c>
      <c r="AD251">
        <v>800</v>
      </c>
      <c r="AE251">
        <v>1</v>
      </c>
      <c r="AF251">
        <v>1</v>
      </c>
      <c r="AG251">
        <v>0</v>
      </c>
      <c r="AH251">
        <v>0</v>
      </c>
      <c r="AI251">
        <v>0</v>
      </c>
      <c r="AO251">
        <v>13.566800000000001</v>
      </c>
      <c r="AP251">
        <v>0</v>
      </c>
      <c r="AQ251">
        <v>836.38300000000004</v>
      </c>
      <c r="AT251">
        <v>557</v>
      </c>
      <c r="AU251">
        <v>22.5</v>
      </c>
      <c r="AX251" t="s">
        <v>53</v>
      </c>
    </row>
    <row r="252" spans="1:50" x14ac:dyDescent="0.45">
      <c r="A252">
        <v>10251</v>
      </c>
      <c r="B252">
        <v>1</v>
      </c>
      <c r="C252">
        <v>71.3</v>
      </c>
      <c r="D252">
        <v>0</v>
      </c>
      <c r="E252">
        <v>0</v>
      </c>
      <c r="F252">
        <v>4.78</v>
      </c>
      <c r="G252">
        <v>0</v>
      </c>
      <c r="H252">
        <v>0</v>
      </c>
      <c r="I252">
        <v>0</v>
      </c>
      <c r="J252">
        <v>0</v>
      </c>
      <c r="K252">
        <v>23.92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1</v>
      </c>
      <c r="W252">
        <v>20</v>
      </c>
      <c r="X252">
        <v>85</v>
      </c>
      <c r="Y252">
        <v>0</v>
      </c>
      <c r="Z252">
        <v>1</v>
      </c>
      <c r="AA252">
        <v>0</v>
      </c>
      <c r="AB252">
        <v>0</v>
      </c>
      <c r="AC252">
        <v>1</v>
      </c>
      <c r="AD252">
        <v>800</v>
      </c>
      <c r="AE252">
        <v>1</v>
      </c>
      <c r="AF252">
        <v>1</v>
      </c>
      <c r="AG252">
        <v>0</v>
      </c>
      <c r="AH252">
        <v>0</v>
      </c>
      <c r="AI252">
        <v>0</v>
      </c>
      <c r="AO252">
        <v>14.345600000000001</v>
      </c>
      <c r="AP252">
        <v>0</v>
      </c>
      <c r="AQ252">
        <v>824.16200000000003</v>
      </c>
      <c r="AT252">
        <v>603</v>
      </c>
      <c r="AU252">
        <v>22.7</v>
      </c>
      <c r="AX252" t="s">
        <v>53</v>
      </c>
    </row>
    <row r="253" spans="1:50" x14ac:dyDescent="0.45">
      <c r="A253">
        <v>10252</v>
      </c>
      <c r="B253">
        <v>1</v>
      </c>
      <c r="C253">
        <v>65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30</v>
      </c>
      <c r="K253">
        <v>0</v>
      </c>
      <c r="L253">
        <v>5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1</v>
      </c>
      <c r="W253">
        <v>1000</v>
      </c>
      <c r="X253">
        <v>70</v>
      </c>
      <c r="Y253">
        <v>0</v>
      </c>
      <c r="Z253">
        <v>1</v>
      </c>
      <c r="AA253">
        <v>0</v>
      </c>
      <c r="AB253">
        <v>0</v>
      </c>
      <c r="AC253">
        <v>1</v>
      </c>
      <c r="AD253">
        <v>850</v>
      </c>
      <c r="AE253">
        <v>1</v>
      </c>
      <c r="AF253">
        <v>1</v>
      </c>
      <c r="AG253">
        <v>0</v>
      </c>
      <c r="AH253">
        <v>0</v>
      </c>
      <c r="AI253">
        <v>0</v>
      </c>
      <c r="AO253">
        <v>5</v>
      </c>
      <c r="AP253">
        <v>5</v>
      </c>
      <c r="AQ253">
        <v>627.5</v>
      </c>
      <c r="AT253">
        <v>762</v>
      </c>
      <c r="AU253">
        <v>18.52</v>
      </c>
      <c r="AX253" t="s">
        <v>95</v>
      </c>
    </row>
    <row r="254" spans="1:50" x14ac:dyDescent="0.45">
      <c r="A254">
        <v>10253</v>
      </c>
      <c r="B254">
        <v>1</v>
      </c>
      <c r="C254">
        <v>64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30</v>
      </c>
      <c r="K254">
        <v>0</v>
      </c>
      <c r="L254">
        <v>6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1</v>
      </c>
      <c r="W254">
        <v>1000</v>
      </c>
      <c r="X254">
        <v>70</v>
      </c>
      <c r="Y254">
        <v>0</v>
      </c>
      <c r="Z254">
        <v>1</v>
      </c>
      <c r="AA254">
        <v>0</v>
      </c>
      <c r="AB254">
        <v>0</v>
      </c>
      <c r="AC254">
        <v>1</v>
      </c>
      <c r="AD254">
        <v>850</v>
      </c>
      <c r="AE254">
        <v>1</v>
      </c>
      <c r="AF254">
        <v>1</v>
      </c>
      <c r="AG254">
        <v>0</v>
      </c>
      <c r="AH254">
        <v>0</v>
      </c>
      <c r="AI254">
        <v>0</v>
      </c>
      <c r="AO254">
        <v>6</v>
      </c>
      <c r="AP254">
        <v>5</v>
      </c>
      <c r="AQ254">
        <v>618</v>
      </c>
      <c r="AT254">
        <v>723</v>
      </c>
      <c r="AU254">
        <v>33.4</v>
      </c>
      <c r="AW254" t="s">
        <v>250</v>
      </c>
      <c r="AX254" t="s">
        <v>95</v>
      </c>
    </row>
    <row r="255" spans="1:50" x14ac:dyDescent="0.45">
      <c r="A255">
        <v>10254</v>
      </c>
      <c r="B255">
        <v>1</v>
      </c>
      <c r="C255">
        <v>63</v>
      </c>
      <c r="D255">
        <v>0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30</v>
      </c>
      <c r="K255">
        <v>0</v>
      </c>
      <c r="L255">
        <v>7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1</v>
      </c>
      <c r="W255">
        <v>1000</v>
      </c>
      <c r="X255">
        <v>70</v>
      </c>
      <c r="Y255">
        <v>0</v>
      </c>
      <c r="Z255">
        <v>1</v>
      </c>
      <c r="AA255">
        <v>0</v>
      </c>
      <c r="AB255">
        <v>0</v>
      </c>
      <c r="AC255">
        <v>1</v>
      </c>
      <c r="AD255">
        <v>850</v>
      </c>
      <c r="AE255">
        <v>1</v>
      </c>
      <c r="AF255">
        <v>1</v>
      </c>
      <c r="AG255">
        <v>0</v>
      </c>
      <c r="AH255">
        <v>0</v>
      </c>
      <c r="AI255">
        <v>0</v>
      </c>
      <c r="AO255">
        <v>7</v>
      </c>
      <c r="AP255">
        <v>5</v>
      </c>
      <c r="AQ255">
        <v>608.5</v>
      </c>
      <c r="AT255">
        <v>782</v>
      </c>
      <c r="AU255">
        <v>18.920000000000002</v>
      </c>
      <c r="AW255" t="s">
        <v>250</v>
      </c>
      <c r="AX255" t="s">
        <v>95</v>
      </c>
    </row>
    <row r="256" spans="1:50" x14ac:dyDescent="0.45">
      <c r="A256">
        <v>10255</v>
      </c>
      <c r="B256">
        <v>1</v>
      </c>
      <c r="C256">
        <v>90.600000000000009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2.86</v>
      </c>
      <c r="K256">
        <v>0</v>
      </c>
      <c r="L256">
        <v>6.54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1</v>
      </c>
      <c r="Y256">
        <v>0</v>
      </c>
      <c r="Z256">
        <v>1</v>
      </c>
      <c r="AA256">
        <v>0</v>
      </c>
      <c r="AB256">
        <v>0</v>
      </c>
      <c r="AC256">
        <v>1</v>
      </c>
      <c r="AD256">
        <f>AQ256</f>
        <v>800.13599999999997</v>
      </c>
      <c r="AF256">
        <v>1</v>
      </c>
      <c r="AG256">
        <v>0</v>
      </c>
      <c r="AH256">
        <v>0</v>
      </c>
      <c r="AI256">
        <v>0</v>
      </c>
      <c r="AO256">
        <v>6.54</v>
      </c>
      <c r="AP256">
        <v>0.47666666666666663</v>
      </c>
      <c r="AQ256">
        <v>800.13599999999997</v>
      </c>
      <c r="AR256">
        <v>64.5</v>
      </c>
      <c r="AS256">
        <v>509</v>
      </c>
      <c r="AW256" t="s">
        <v>344</v>
      </c>
      <c r="AX256" t="s">
        <v>60</v>
      </c>
    </row>
    <row r="257" spans="1:50" x14ac:dyDescent="0.45">
      <c r="A257">
        <v>10256</v>
      </c>
      <c r="B257">
        <v>1</v>
      </c>
      <c r="C257">
        <v>77.86999999999999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18.98</v>
      </c>
      <c r="K257">
        <v>0</v>
      </c>
      <c r="L257">
        <v>3.2300000000000004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1</v>
      </c>
      <c r="Y257">
        <v>0</v>
      </c>
      <c r="Z257">
        <v>1</v>
      </c>
      <c r="AA257">
        <v>0</v>
      </c>
      <c r="AB257">
        <v>0</v>
      </c>
      <c r="AC257">
        <v>1</v>
      </c>
      <c r="AD257">
        <f>AQ257</f>
        <v>720.35300000000007</v>
      </c>
      <c r="AF257">
        <v>1</v>
      </c>
      <c r="AG257">
        <v>0</v>
      </c>
      <c r="AH257">
        <v>0</v>
      </c>
      <c r="AI257">
        <v>0</v>
      </c>
      <c r="AO257">
        <v>3.2300000000000004</v>
      </c>
      <c r="AP257">
        <v>3.1633333333333336</v>
      </c>
      <c r="AQ257">
        <v>720.35300000000007</v>
      </c>
      <c r="AR257">
        <v>75</v>
      </c>
      <c r="AS257">
        <v>383</v>
      </c>
      <c r="AW257" t="s">
        <v>345</v>
      </c>
      <c r="AX257" t="s">
        <v>60</v>
      </c>
    </row>
    <row r="258" spans="1:50" x14ac:dyDescent="0.45">
      <c r="A258">
        <v>10257</v>
      </c>
      <c r="B258">
        <v>1</v>
      </c>
      <c r="C258">
        <v>77.149999999999991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18.98</v>
      </c>
      <c r="K258">
        <v>0</v>
      </c>
      <c r="L258">
        <v>3.8699999999999997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Y258">
        <v>0</v>
      </c>
      <c r="Z258">
        <v>1</v>
      </c>
      <c r="AA258">
        <v>0</v>
      </c>
      <c r="AB258">
        <v>0</v>
      </c>
      <c r="AC258">
        <v>1</v>
      </c>
      <c r="AD258">
        <f>AQ258</f>
        <v>714.27300000000002</v>
      </c>
      <c r="AF258">
        <v>1</v>
      </c>
      <c r="AG258">
        <v>0</v>
      </c>
      <c r="AH258">
        <v>0</v>
      </c>
      <c r="AI258">
        <v>0</v>
      </c>
      <c r="AO258">
        <v>3.8699999999999997</v>
      </c>
      <c r="AP258">
        <v>3.1633333333333336</v>
      </c>
      <c r="AQ258">
        <v>714.27300000000002</v>
      </c>
      <c r="AR258">
        <v>63</v>
      </c>
      <c r="AS258">
        <v>459</v>
      </c>
      <c r="AX258" t="s">
        <v>60</v>
      </c>
    </row>
    <row r="259" spans="1:50" x14ac:dyDescent="0.45">
      <c r="A259">
        <v>10258</v>
      </c>
      <c r="B259">
        <v>1</v>
      </c>
      <c r="C259">
        <v>76.429999999999993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19.29</v>
      </c>
      <c r="K259">
        <v>0</v>
      </c>
      <c r="L259">
        <v>4.2799999999999994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Y259">
        <v>0</v>
      </c>
      <c r="Z259">
        <v>1</v>
      </c>
      <c r="AA259">
        <v>0</v>
      </c>
      <c r="AB259">
        <v>0</v>
      </c>
      <c r="AC259">
        <v>1</v>
      </c>
      <c r="AD259">
        <f>AQ259</f>
        <v>708.23900000000003</v>
      </c>
      <c r="AF259">
        <v>1</v>
      </c>
      <c r="AG259">
        <v>0</v>
      </c>
      <c r="AH259">
        <v>0</v>
      </c>
      <c r="AI259">
        <v>0</v>
      </c>
      <c r="AO259">
        <v>4.2799999999999994</v>
      </c>
      <c r="AP259">
        <v>3.2149999999999999</v>
      </c>
      <c r="AQ259">
        <v>708.23900000000003</v>
      </c>
      <c r="AR259">
        <v>66</v>
      </c>
      <c r="AS259">
        <v>674</v>
      </c>
      <c r="AX259" t="s">
        <v>60</v>
      </c>
    </row>
    <row r="260" spans="1:50" x14ac:dyDescent="0.45">
      <c r="A260">
        <v>10259</v>
      </c>
      <c r="B260">
        <v>1</v>
      </c>
      <c r="C260">
        <v>87.5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6.25</v>
      </c>
      <c r="K260">
        <v>0</v>
      </c>
      <c r="L260">
        <v>6.25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Y260">
        <v>1</v>
      </c>
      <c r="Z260">
        <v>0</v>
      </c>
      <c r="AA260">
        <v>0</v>
      </c>
      <c r="AB260">
        <v>0</v>
      </c>
      <c r="AC260">
        <v>0</v>
      </c>
      <c r="AI260">
        <v>0</v>
      </c>
      <c r="AO260">
        <v>6.25</v>
      </c>
      <c r="AP260">
        <v>1.0416666666666667</v>
      </c>
      <c r="AQ260">
        <v>779.5</v>
      </c>
      <c r="AR260">
        <v>80</v>
      </c>
    </row>
    <row r="261" spans="1:50" x14ac:dyDescent="0.45">
      <c r="A261">
        <v>10260</v>
      </c>
      <c r="B261">
        <v>1</v>
      </c>
      <c r="C261">
        <v>86.7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7.7</v>
      </c>
      <c r="K261">
        <v>0</v>
      </c>
      <c r="L261">
        <v>5.6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Y261">
        <v>1</v>
      </c>
      <c r="Z261">
        <v>0</v>
      </c>
      <c r="AA261">
        <v>0</v>
      </c>
      <c r="AB261">
        <v>0</v>
      </c>
      <c r="AC261">
        <v>0</v>
      </c>
      <c r="AI261">
        <v>0</v>
      </c>
      <c r="AO261">
        <v>5.6</v>
      </c>
      <c r="AP261">
        <v>1.2833333333333334</v>
      </c>
      <c r="AQ261">
        <v>775.67</v>
      </c>
      <c r="AR261">
        <v>74</v>
      </c>
    </row>
    <row r="262" spans="1:50" x14ac:dyDescent="0.45">
      <c r="A262">
        <v>10261</v>
      </c>
      <c r="B262">
        <v>1</v>
      </c>
      <c r="C262">
        <v>78.2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10.6</v>
      </c>
      <c r="K262">
        <v>0</v>
      </c>
      <c r="L262">
        <v>11.2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Y262">
        <v>1</v>
      </c>
      <c r="Z262">
        <v>0</v>
      </c>
      <c r="AA262">
        <v>0</v>
      </c>
      <c r="AB262">
        <v>0</v>
      </c>
      <c r="AC262">
        <v>0</v>
      </c>
      <c r="AI262">
        <v>0</v>
      </c>
      <c r="AO262">
        <v>11.2</v>
      </c>
      <c r="AP262">
        <v>1.7666666666666666</v>
      </c>
      <c r="AQ262">
        <v>702.46</v>
      </c>
      <c r="AR262">
        <v>80</v>
      </c>
    </row>
    <row r="263" spans="1:50" x14ac:dyDescent="0.45">
      <c r="A263">
        <v>10262</v>
      </c>
      <c r="B263">
        <v>1</v>
      </c>
      <c r="C263">
        <v>85.36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8.9600000000000009</v>
      </c>
      <c r="K263">
        <v>0</v>
      </c>
      <c r="L263">
        <v>5.68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Y263">
        <v>1</v>
      </c>
      <c r="Z263">
        <v>0</v>
      </c>
      <c r="AA263">
        <v>0</v>
      </c>
      <c r="AB263">
        <v>0</v>
      </c>
      <c r="AC263">
        <v>0</v>
      </c>
      <c r="AI263">
        <v>0</v>
      </c>
      <c r="AO263">
        <v>5.68</v>
      </c>
      <c r="AP263">
        <v>1.4933333333333334</v>
      </c>
      <c r="AQ263">
        <v>766.21599999999989</v>
      </c>
      <c r="AR263">
        <v>82</v>
      </c>
    </row>
    <row r="264" spans="1:50" x14ac:dyDescent="0.45">
      <c r="A264">
        <v>10263</v>
      </c>
      <c r="B264">
        <v>1</v>
      </c>
      <c r="C264">
        <v>72</v>
      </c>
      <c r="D264">
        <v>0</v>
      </c>
      <c r="E264">
        <v>0</v>
      </c>
      <c r="F264">
        <v>0</v>
      </c>
      <c r="G264">
        <v>0</v>
      </c>
      <c r="H264">
        <v>2</v>
      </c>
      <c r="I264">
        <v>0</v>
      </c>
      <c r="J264">
        <v>0</v>
      </c>
      <c r="K264">
        <v>26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1</v>
      </c>
      <c r="W264">
        <v>20</v>
      </c>
      <c r="X264">
        <v>84</v>
      </c>
      <c r="Y264">
        <v>0</v>
      </c>
      <c r="Z264">
        <v>1</v>
      </c>
      <c r="AA264">
        <v>0</v>
      </c>
      <c r="AB264">
        <v>0</v>
      </c>
      <c r="AC264">
        <v>1</v>
      </c>
      <c r="AD264">
        <v>800</v>
      </c>
      <c r="AE264">
        <v>1</v>
      </c>
      <c r="AF264">
        <v>1</v>
      </c>
      <c r="AG264">
        <v>0</v>
      </c>
      <c r="AH264">
        <v>0</v>
      </c>
      <c r="AI264">
        <v>0</v>
      </c>
      <c r="AO264">
        <v>13.080000000000002</v>
      </c>
      <c r="AP264">
        <v>0</v>
      </c>
      <c r="AQ264">
        <v>851.2</v>
      </c>
      <c r="AT264">
        <v>739</v>
      </c>
      <c r="AU264">
        <v>23.38</v>
      </c>
      <c r="AX264" t="s">
        <v>96</v>
      </c>
    </row>
    <row r="265" spans="1:50" x14ac:dyDescent="0.45">
      <c r="A265">
        <v>10264</v>
      </c>
      <c r="B265">
        <v>1</v>
      </c>
      <c r="C265">
        <v>72</v>
      </c>
      <c r="D265">
        <v>0</v>
      </c>
      <c r="E265">
        <v>0</v>
      </c>
      <c r="F265">
        <v>0</v>
      </c>
      <c r="G265">
        <v>0</v>
      </c>
      <c r="H265">
        <v>2</v>
      </c>
      <c r="I265">
        <v>0</v>
      </c>
      <c r="J265">
        <v>0</v>
      </c>
      <c r="K265">
        <v>26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1</v>
      </c>
      <c r="W265">
        <v>20</v>
      </c>
      <c r="X265">
        <v>84</v>
      </c>
      <c r="Y265">
        <v>0</v>
      </c>
      <c r="Z265">
        <v>1</v>
      </c>
      <c r="AA265">
        <v>0</v>
      </c>
      <c r="AB265">
        <v>0</v>
      </c>
      <c r="AC265">
        <v>1</v>
      </c>
      <c r="AD265">
        <v>800</v>
      </c>
      <c r="AE265">
        <v>1</v>
      </c>
      <c r="AF265">
        <v>1</v>
      </c>
      <c r="AG265">
        <v>0</v>
      </c>
      <c r="AH265">
        <v>0</v>
      </c>
      <c r="AI265">
        <v>0</v>
      </c>
      <c r="AO265">
        <v>13.080000000000002</v>
      </c>
      <c r="AP265">
        <v>0</v>
      </c>
      <c r="AQ265">
        <v>851.2</v>
      </c>
      <c r="AT265">
        <v>739</v>
      </c>
      <c r="AU265">
        <v>24</v>
      </c>
      <c r="AX265" t="s">
        <v>97</v>
      </c>
    </row>
    <row r="266" spans="1:50" x14ac:dyDescent="0.45">
      <c r="A266">
        <v>10265</v>
      </c>
      <c r="B266">
        <v>1</v>
      </c>
      <c r="C266">
        <v>80.849999999999994</v>
      </c>
      <c r="D266">
        <v>0</v>
      </c>
      <c r="E266">
        <v>0</v>
      </c>
      <c r="F266">
        <v>0</v>
      </c>
      <c r="G266">
        <v>0</v>
      </c>
      <c r="H266">
        <v>1.0999999999999999</v>
      </c>
      <c r="I266">
        <v>0</v>
      </c>
      <c r="J266">
        <v>0</v>
      </c>
      <c r="K266">
        <v>18.05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1</v>
      </c>
      <c r="Y266">
        <v>0</v>
      </c>
      <c r="Z266">
        <v>1</v>
      </c>
      <c r="AA266">
        <v>0</v>
      </c>
      <c r="AB266">
        <v>0</v>
      </c>
      <c r="AC266">
        <v>1</v>
      </c>
      <c r="AD266">
        <f t="shared" ref="AD266:AD275" si="1">AQ266</f>
        <v>865.06</v>
      </c>
      <c r="AF266">
        <v>1</v>
      </c>
      <c r="AG266">
        <v>0</v>
      </c>
      <c r="AH266">
        <v>0</v>
      </c>
      <c r="AI266">
        <v>0</v>
      </c>
      <c r="AO266">
        <v>8.2439999999999998</v>
      </c>
      <c r="AP266">
        <v>0</v>
      </c>
      <c r="AQ266">
        <v>865.06</v>
      </c>
      <c r="AR266">
        <v>81</v>
      </c>
      <c r="AS266">
        <v>477</v>
      </c>
      <c r="AX266" t="s">
        <v>60</v>
      </c>
    </row>
    <row r="267" spans="1:50" x14ac:dyDescent="0.45">
      <c r="A267">
        <v>10266</v>
      </c>
      <c r="B267">
        <v>1</v>
      </c>
      <c r="C267">
        <v>82.54</v>
      </c>
      <c r="D267">
        <v>0</v>
      </c>
      <c r="E267">
        <v>0</v>
      </c>
      <c r="F267">
        <v>0</v>
      </c>
      <c r="G267">
        <v>0</v>
      </c>
      <c r="H267">
        <v>1.6199999999999999</v>
      </c>
      <c r="I267">
        <v>0</v>
      </c>
      <c r="J267">
        <v>0</v>
      </c>
      <c r="K267">
        <v>15.840000000000002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1</v>
      </c>
      <c r="Y267">
        <v>0</v>
      </c>
      <c r="Z267">
        <v>1</v>
      </c>
      <c r="AA267">
        <v>0</v>
      </c>
      <c r="AB267">
        <v>0</v>
      </c>
      <c r="AC267">
        <v>1</v>
      </c>
      <c r="AD267">
        <f t="shared" si="1"/>
        <v>857.05200000000002</v>
      </c>
      <c r="AF267">
        <v>1</v>
      </c>
      <c r="AG267">
        <v>0</v>
      </c>
      <c r="AH267">
        <v>0</v>
      </c>
      <c r="AI267">
        <v>0</v>
      </c>
      <c r="AO267">
        <v>9.1332000000000004</v>
      </c>
      <c r="AP267">
        <v>0</v>
      </c>
      <c r="AQ267">
        <v>857.05200000000002</v>
      </c>
      <c r="AR267">
        <v>94</v>
      </c>
      <c r="AS267">
        <v>496</v>
      </c>
      <c r="AX267" t="s">
        <v>60</v>
      </c>
    </row>
    <row r="268" spans="1:50" x14ac:dyDescent="0.45">
      <c r="A268">
        <v>10267</v>
      </c>
      <c r="B268">
        <v>1</v>
      </c>
      <c r="C268">
        <v>84.58</v>
      </c>
      <c r="D268">
        <v>0</v>
      </c>
      <c r="E268">
        <v>0</v>
      </c>
      <c r="F268">
        <v>0</v>
      </c>
      <c r="G268">
        <v>0</v>
      </c>
      <c r="H268">
        <v>2.17</v>
      </c>
      <c r="I268">
        <v>0</v>
      </c>
      <c r="J268">
        <v>0</v>
      </c>
      <c r="K268">
        <v>13.25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1</v>
      </c>
      <c r="Y268">
        <v>0</v>
      </c>
      <c r="Z268">
        <v>1</v>
      </c>
      <c r="AA268">
        <v>0</v>
      </c>
      <c r="AB268">
        <v>0</v>
      </c>
      <c r="AC268">
        <v>1</v>
      </c>
      <c r="AD268">
        <f t="shared" si="1"/>
        <v>848.58199999999999</v>
      </c>
      <c r="AF268">
        <v>1</v>
      </c>
      <c r="AG268">
        <v>0</v>
      </c>
      <c r="AH268">
        <v>0</v>
      </c>
      <c r="AI268">
        <v>0</v>
      </c>
      <c r="AO268">
        <v>10.003</v>
      </c>
      <c r="AP268">
        <v>0</v>
      </c>
      <c r="AQ268">
        <v>848.58199999999999</v>
      </c>
      <c r="AR268">
        <v>95</v>
      </c>
      <c r="AS268">
        <v>604</v>
      </c>
      <c r="AX268" t="s">
        <v>60</v>
      </c>
    </row>
    <row r="269" spans="1:50" x14ac:dyDescent="0.45">
      <c r="A269">
        <v>10268</v>
      </c>
      <c r="B269">
        <v>1</v>
      </c>
      <c r="C269">
        <v>87.070000000000007</v>
      </c>
      <c r="D269">
        <v>0</v>
      </c>
      <c r="E269">
        <v>0</v>
      </c>
      <c r="F269">
        <v>0</v>
      </c>
      <c r="G269">
        <v>0</v>
      </c>
      <c r="H269">
        <v>2.54</v>
      </c>
      <c r="I269">
        <v>0</v>
      </c>
      <c r="J269">
        <v>0</v>
      </c>
      <c r="K269">
        <v>10.39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1</v>
      </c>
      <c r="Y269">
        <v>0</v>
      </c>
      <c r="Z269">
        <v>1</v>
      </c>
      <c r="AA269">
        <v>0</v>
      </c>
      <c r="AB269">
        <v>0</v>
      </c>
      <c r="AC269">
        <v>1</v>
      </c>
      <c r="AD269">
        <f t="shared" si="1"/>
        <v>842.88400000000001</v>
      </c>
      <c r="AF269">
        <v>1</v>
      </c>
      <c r="AG269">
        <v>0</v>
      </c>
      <c r="AH269">
        <v>0</v>
      </c>
      <c r="AI269">
        <v>0</v>
      </c>
      <c r="AO269">
        <v>10.2752</v>
      </c>
      <c r="AP269">
        <v>0</v>
      </c>
      <c r="AQ269">
        <v>842.88400000000001</v>
      </c>
      <c r="AR269">
        <v>90</v>
      </c>
      <c r="AS269">
        <v>672</v>
      </c>
      <c r="AX269" t="s">
        <v>60</v>
      </c>
    </row>
    <row r="270" spans="1:50" x14ac:dyDescent="0.45">
      <c r="A270">
        <v>10269</v>
      </c>
      <c r="B270">
        <v>1</v>
      </c>
      <c r="C270">
        <v>88.949999999999989</v>
      </c>
      <c r="D270">
        <v>0</v>
      </c>
      <c r="E270">
        <v>0</v>
      </c>
      <c r="F270">
        <v>0</v>
      </c>
      <c r="G270">
        <v>0</v>
      </c>
      <c r="H270">
        <v>2.8000000000000003</v>
      </c>
      <c r="I270">
        <v>0</v>
      </c>
      <c r="J270">
        <v>0</v>
      </c>
      <c r="K270">
        <v>8.25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1</v>
      </c>
      <c r="Y270">
        <v>0</v>
      </c>
      <c r="Z270">
        <v>1</v>
      </c>
      <c r="AA270">
        <v>0</v>
      </c>
      <c r="AB270">
        <v>0</v>
      </c>
      <c r="AC270">
        <v>1</v>
      </c>
      <c r="AD270">
        <f t="shared" si="1"/>
        <v>838.88</v>
      </c>
      <c r="AF270">
        <v>1</v>
      </c>
      <c r="AG270">
        <v>0</v>
      </c>
      <c r="AH270">
        <v>0</v>
      </c>
      <c r="AI270">
        <v>0</v>
      </c>
      <c r="AO270">
        <v>10.430000000000001</v>
      </c>
      <c r="AP270">
        <v>0</v>
      </c>
      <c r="AQ270">
        <v>838.88</v>
      </c>
      <c r="AR270">
        <v>94</v>
      </c>
      <c r="AS270">
        <v>695</v>
      </c>
      <c r="AX270" t="s">
        <v>60</v>
      </c>
    </row>
    <row r="271" spans="1:50" x14ac:dyDescent="0.45">
      <c r="A271">
        <v>10270</v>
      </c>
      <c r="B271">
        <v>1</v>
      </c>
      <c r="C271">
        <v>90.63</v>
      </c>
      <c r="D271">
        <v>0</v>
      </c>
      <c r="E271">
        <v>0</v>
      </c>
      <c r="F271">
        <v>0</v>
      </c>
      <c r="G271">
        <v>0</v>
      </c>
      <c r="H271">
        <v>3.35</v>
      </c>
      <c r="I271">
        <v>0</v>
      </c>
      <c r="J271">
        <v>0</v>
      </c>
      <c r="K271">
        <v>6.02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1</v>
      </c>
      <c r="Y271">
        <v>0</v>
      </c>
      <c r="Z271">
        <v>1</v>
      </c>
      <c r="AA271">
        <v>0</v>
      </c>
      <c r="AB271">
        <v>0</v>
      </c>
      <c r="AC271">
        <v>1</v>
      </c>
      <c r="AD271">
        <f t="shared" si="1"/>
        <v>830.41</v>
      </c>
      <c r="AF271">
        <v>1</v>
      </c>
      <c r="AG271">
        <v>0</v>
      </c>
      <c r="AH271">
        <v>0</v>
      </c>
      <c r="AI271">
        <v>0</v>
      </c>
      <c r="AO271">
        <v>11.400600000000001</v>
      </c>
      <c r="AP271">
        <v>0</v>
      </c>
      <c r="AQ271">
        <v>830.41</v>
      </c>
      <c r="AR271">
        <v>97</v>
      </c>
      <c r="AS271">
        <v>715</v>
      </c>
      <c r="AX271" t="s">
        <v>60</v>
      </c>
    </row>
    <row r="272" spans="1:50" x14ac:dyDescent="0.45">
      <c r="A272">
        <v>10271</v>
      </c>
      <c r="B272">
        <v>1</v>
      </c>
      <c r="C272">
        <v>80.63</v>
      </c>
      <c r="D272">
        <v>0</v>
      </c>
      <c r="E272">
        <v>0</v>
      </c>
      <c r="F272">
        <v>0</v>
      </c>
      <c r="G272">
        <v>0</v>
      </c>
      <c r="H272">
        <v>1.1100000000000001</v>
      </c>
      <c r="I272">
        <v>0</v>
      </c>
      <c r="J272">
        <v>0</v>
      </c>
      <c r="K272">
        <v>18.260000000000002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1</v>
      </c>
      <c r="Y272">
        <v>0</v>
      </c>
      <c r="Z272">
        <v>1</v>
      </c>
      <c r="AA272">
        <v>0</v>
      </c>
      <c r="AB272">
        <v>0</v>
      </c>
      <c r="AC272">
        <v>1</v>
      </c>
      <c r="AD272">
        <f t="shared" si="1"/>
        <v>864.90599999999995</v>
      </c>
      <c r="AF272">
        <v>1</v>
      </c>
      <c r="AG272">
        <v>0</v>
      </c>
      <c r="AH272">
        <v>0</v>
      </c>
      <c r="AI272">
        <v>0</v>
      </c>
      <c r="AO272">
        <v>8.3318000000000012</v>
      </c>
      <c r="AP272">
        <v>0</v>
      </c>
      <c r="AQ272">
        <v>864.90599999999995</v>
      </c>
      <c r="AR272">
        <v>79</v>
      </c>
      <c r="AS272">
        <v>606</v>
      </c>
      <c r="AW272" t="s">
        <v>337</v>
      </c>
      <c r="AX272" t="s">
        <v>60</v>
      </c>
    </row>
    <row r="273" spans="1:50" x14ac:dyDescent="0.45">
      <c r="A273">
        <v>10272</v>
      </c>
      <c r="B273">
        <v>1</v>
      </c>
      <c r="C273">
        <v>79.12</v>
      </c>
      <c r="D273">
        <v>0</v>
      </c>
      <c r="E273">
        <v>0</v>
      </c>
      <c r="F273">
        <v>0</v>
      </c>
      <c r="G273">
        <v>0</v>
      </c>
      <c r="H273">
        <v>2.92</v>
      </c>
      <c r="I273">
        <v>0</v>
      </c>
      <c r="J273">
        <v>0</v>
      </c>
      <c r="K273">
        <v>17.96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1</v>
      </c>
      <c r="Y273">
        <v>0</v>
      </c>
      <c r="Z273">
        <v>1</v>
      </c>
      <c r="AA273">
        <v>0</v>
      </c>
      <c r="AB273">
        <v>0</v>
      </c>
      <c r="AC273">
        <v>1</v>
      </c>
      <c r="AD273">
        <f t="shared" si="1"/>
        <v>837.03200000000004</v>
      </c>
      <c r="AF273">
        <v>1</v>
      </c>
      <c r="AG273">
        <v>0</v>
      </c>
      <c r="AH273">
        <v>0</v>
      </c>
      <c r="AI273">
        <v>0</v>
      </c>
      <c r="AO273">
        <v>13.4968</v>
      </c>
      <c r="AP273">
        <v>0</v>
      </c>
      <c r="AQ273">
        <v>837.03200000000004</v>
      </c>
      <c r="AR273">
        <v>78</v>
      </c>
      <c r="AS273">
        <v>625</v>
      </c>
      <c r="AW273" t="s">
        <v>337</v>
      </c>
      <c r="AX273" t="s">
        <v>60</v>
      </c>
    </row>
    <row r="274" spans="1:50" x14ac:dyDescent="0.45">
      <c r="A274">
        <v>10273</v>
      </c>
      <c r="B274">
        <v>1</v>
      </c>
      <c r="C274">
        <v>77.19</v>
      </c>
      <c r="D274">
        <v>0</v>
      </c>
      <c r="E274">
        <v>0</v>
      </c>
      <c r="F274">
        <v>0</v>
      </c>
      <c r="G274">
        <v>0</v>
      </c>
      <c r="H274">
        <v>5.1400000000000006</v>
      </c>
      <c r="I274">
        <v>0</v>
      </c>
      <c r="J274">
        <v>0</v>
      </c>
      <c r="K274">
        <v>17.68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1</v>
      </c>
      <c r="Y274">
        <v>0</v>
      </c>
      <c r="Z274">
        <v>1</v>
      </c>
      <c r="AA274">
        <v>0</v>
      </c>
      <c r="AB274">
        <v>0</v>
      </c>
      <c r="AC274">
        <v>1</v>
      </c>
      <c r="AD274">
        <f t="shared" si="1"/>
        <v>802.84400000000005</v>
      </c>
      <c r="AF274">
        <v>1</v>
      </c>
      <c r="AG274">
        <v>0</v>
      </c>
      <c r="AH274">
        <v>0</v>
      </c>
      <c r="AI274">
        <v>0</v>
      </c>
      <c r="AO274">
        <v>19.856400000000001</v>
      </c>
      <c r="AP274">
        <v>0</v>
      </c>
      <c r="AQ274">
        <v>802.84400000000005</v>
      </c>
      <c r="AR274">
        <v>79</v>
      </c>
      <c r="AS274">
        <v>629</v>
      </c>
      <c r="AW274" t="s">
        <v>337</v>
      </c>
      <c r="AX274" t="s">
        <v>60</v>
      </c>
    </row>
    <row r="275" spans="1:50" x14ac:dyDescent="0.45">
      <c r="A275">
        <v>10274</v>
      </c>
      <c r="B275">
        <v>1</v>
      </c>
      <c r="C275">
        <v>88.9</v>
      </c>
      <c r="D275">
        <v>0</v>
      </c>
      <c r="E275">
        <v>0</v>
      </c>
      <c r="F275">
        <v>0</v>
      </c>
      <c r="G275">
        <v>0</v>
      </c>
      <c r="H275">
        <v>4.1399999999999997</v>
      </c>
      <c r="I275">
        <v>0</v>
      </c>
      <c r="J275">
        <v>0</v>
      </c>
      <c r="K275">
        <v>6.9599999999999991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Y275">
        <v>0</v>
      </c>
      <c r="Z275">
        <v>1</v>
      </c>
      <c r="AA275">
        <v>0</v>
      </c>
      <c r="AB275">
        <v>0</v>
      </c>
      <c r="AC275">
        <v>1</v>
      </c>
      <c r="AD275">
        <f t="shared" si="1"/>
        <v>818.24400000000003</v>
      </c>
      <c r="AF275">
        <v>1</v>
      </c>
      <c r="AG275">
        <v>0</v>
      </c>
      <c r="AH275">
        <v>0</v>
      </c>
      <c r="AI275">
        <v>0</v>
      </c>
      <c r="AO275">
        <v>13.954799999999999</v>
      </c>
      <c r="AP275">
        <v>0</v>
      </c>
      <c r="AQ275">
        <v>818.24400000000003</v>
      </c>
      <c r="AR275">
        <v>90</v>
      </c>
      <c r="AS275">
        <v>740</v>
      </c>
      <c r="AW275" t="s">
        <v>337</v>
      </c>
      <c r="AX275" t="s">
        <v>60</v>
      </c>
    </row>
    <row r="276" spans="1:50" x14ac:dyDescent="0.45">
      <c r="A276">
        <v>10275</v>
      </c>
      <c r="B276">
        <v>1</v>
      </c>
      <c r="C276">
        <v>88.48</v>
      </c>
      <c r="D276">
        <v>0</v>
      </c>
      <c r="E276">
        <v>0</v>
      </c>
      <c r="F276">
        <v>0</v>
      </c>
      <c r="G276">
        <v>0</v>
      </c>
      <c r="H276">
        <v>5.48</v>
      </c>
      <c r="I276">
        <v>0</v>
      </c>
      <c r="J276">
        <v>0</v>
      </c>
      <c r="K276">
        <v>6.04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Y276">
        <v>1</v>
      </c>
      <c r="Z276">
        <v>0</v>
      </c>
      <c r="AA276">
        <v>0</v>
      </c>
      <c r="AB276">
        <v>0</v>
      </c>
      <c r="AC276">
        <v>0</v>
      </c>
      <c r="AI276">
        <v>0</v>
      </c>
      <c r="AO276">
        <v>17.583200000000001</v>
      </c>
      <c r="AP276">
        <v>0</v>
      </c>
      <c r="AQ276">
        <v>797.60799999999995</v>
      </c>
      <c r="AR276">
        <v>89</v>
      </c>
      <c r="AS276">
        <v>1137</v>
      </c>
      <c r="AW276" t="s">
        <v>337</v>
      </c>
      <c r="AX276" t="s">
        <v>60</v>
      </c>
    </row>
    <row r="277" spans="1:50" x14ac:dyDescent="0.45">
      <c r="A277">
        <v>10276</v>
      </c>
      <c r="B277">
        <v>1</v>
      </c>
      <c r="C277">
        <v>85.67</v>
      </c>
      <c r="D277">
        <v>0</v>
      </c>
      <c r="E277">
        <v>0</v>
      </c>
      <c r="F277">
        <v>0</v>
      </c>
      <c r="G277">
        <v>0</v>
      </c>
      <c r="H277">
        <v>8.2600000000000016</v>
      </c>
      <c r="I277">
        <v>0</v>
      </c>
      <c r="J277">
        <v>0</v>
      </c>
      <c r="K277">
        <v>6.0699999999999994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Y277">
        <v>1</v>
      </c>
      <c r="Z277">
        <v>0</v>
      </c>
      <c r="AA277">
        <v>0</v>
      </c>
      <c r="AB277">
        <v>0</v>
      </c>
      <c r="AC277">
        <v>0</v>
      </c>
      <c r="AI277">
        <v>0</v>
      </c>
      <c r="AO277">
        <v>25.653600000000004</v>
      </c>
      <c r="AP277">
        <v>0</v>
      </c>
      <c r="AQ277">
        <v>754.79599999999994</v>
      </c>
      <c r="AR277">
        <v>82</v>
      </c>
      <c r="AS277">
        <v>1078</v>
      </c>
      <c r="AW277" t="s">
        <v>301</v>
      </c>
      <c r="AX277" t="s">
        <v>60</v>
      </c>
    </row>
    <row r="278" spans="1:50" x14ac:dyDescent="0.45">
      <c r="A278">
        <v>10277</v>
      </c>
      <c r="B278">
        <v>1</v>
      </c>
      <c r="C278">
        <v>93.39</v>
      </c>
      <c r="D278">
        <v>0</v>
      </c>
      <c r="E278">
        <v>0</v>
      </c>
      <c r="F278">
        <v>0</v>
      </c>
      <c r="G278">
        <v>0</v>
      </c>
      <c r="H278">
        <v>6.09</v>
      </c>
      <c r="I278">
        <v>0</v>
      </c>
      <c r="J278">
        <v>0</v>
      </c>
      <c r="K278">
        <v>0.52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Y278">
        <v>1</v>
      </c>
      <c r="Z278">
        <v>0</v>
      </c>
      <c r="AA278">
        <v>0</v>
      </c>
      <c r="AB278">
        <v>0</v>
      </c>
      <c r="AC278">
        <v>0</v>
      </c>
      <c r="AI278">
        <v>0</v>
      </c>
      <c r="AO278">
        <v>17.8066</v>
      </c>
      <c r="AP278">
        <v>0</v>
      </c>
      <c r="AQ278">
        <v>788.21399999999994</v>
      </c>
      <c r="AR278">
        <v>124</v>
      </c>
      <c r="AS278">
        <v>1785</v>
      </c>
      <c r="AW278" t="s">
        <v>301</v>
      </c>
      <c r="AX278" t="s">
        <v>60</v>
      </c>
    </row>
    <row r="279" spans="1:50" x14ac:dyDescent="0.45">
      <c r="A279">
        <v>10278</v>
      </c>
      <c r="B279">
        <v>1</v>
      </c>
      <c r="C279">
        <v>91.7</v>
      </c>
      <c r="D279">
        <v>0</v>
      </c>
      <c r="E279">
        <v>0</v>
      </c>
      <c r="F279">
        <v>0</v>
      </c>
      <c r="G279">
        <v>0</v>
      </c>
      <c r="H279">
        <v>6.18</v>
      </c>
      <c r="I279">
        <v>0</v>
      </c>
      <c r="J279">
        <v>0</v>
      </c>
      <c r="K279">
        <v>2.12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Y279">
        <v>1</v>
      </c>
      <c r="Z279">
        <v>0</v>
      </c>
      <c r="AA279">
        <v>0</v>
      </c>
      <c r="AB279">
        <v>0</v>
      </c>
      <c r="AC279">
        <v>0</v>
      </c>
      <c r="AI279">
        <v>0</v>
      </c>
      <c r="AO279">
        <v>18.515599999999996</v>
      </c>
      <c r="AP279">
        <v>0</v>
      </c>
      <c r="AQ279">
        <v>786.82799999999997</v>
      </c>
      <c r="AR279">
        <v>115</v>
      </c>
      <c r="AS279">
        <v>1539</v>
      </c>
      <c r="AW279" t="s">
        <v>301</v>
      </c>
      <c r="AX279" t="s">
        <v>60</v>
      </c>
    </row>
    <row r="280" spans="1:50" x14ac:dyDescent="0.45">
      <c r="A280">
        <v>10279</v>
      </c>
      <c r="B280">
        <v>1</v>
      </c>
      <c r="C280">
        <v>90.539999999999992</v>
      </c>
      <c r="D280">
        <v>0</v>
      </c>
      <c r="E280">
        <v>0</v>
      </c>
      <c r="F280">
        <v>0</v>
      </c>
      <c r="G280">
        <v>0</v>
      </c>
      <c r="H280">
        <v>6.2399999999999993</v>
      </c>
      <c r="I280">
        <v>0</v>
      </c>
      <c r="J280">
        <v>0</v>
      </c>
      <c r="K280">
        <v>3.2199999999999998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Y280">
        <v>1</v>
      </c>
      <c r="Z280">
        <v>0</v>
      </c>
      <c r="AA280">
        <v>0</v>
      </c>
      <c r="AB280">
        <v>0</v>
      </c>
      <c r="AC280">
        <v>0</v>
      </c>
      <c r="AI280">
        <v>0</v>
      </c>
      <c r="AO280">
        <v>18.997599999999995</v>
      </c>
      <c r="AP280">
        <v>0</v>
      </c>
      <c r="AQ280">
        <v>785.904</v>
      </c>
      <c r="AR280">
        <v>97</v>
      </c>
      <c r="AS280">
        <v>1144</v>
      </c>
      <c r="AX280" t="s">
        <v>60</v>
      </c>
    </row>
    <row r="281" spans="1:50" x14ac:dyDescent="0.45">
      <c r="A281">
        <v>10280</v>
      </c>
      <c r="B281">
        <v>1</v>
      </c>
      <c r="C281">
        <v>88.759999999999991</v>
      </c>
      <c r="D281">
        <v>0</v>
      </c>
      <c r="E281">
        <v>0</v>
      </c>
      <c r="F281">
        <v>0</v>
      </c>
      <c r="G281">
        <v>0</v>
      </c>
      <c r="H281">
        <v>6.34</v>
      </c>
      <c r="I281">
        <v>0</v>
      </c>
      <c r="J281">
        <v>0</v>
      </c>
      <c r="K281">
        <v>4.9000000000000004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Y281">
        <v>1</v>
      </c>
      <c r="Z281">
        <v>0</v>
      </c>
      <c r="AA281">
        <v>0</v>
      </c>
      <c r="AB281">
        <v>0</v>
      </c>
      <c r="AC281">
        <v>0</v>
      </c>
      <c r="AI281">
        <v>0</v>
      </c>
      <c r="AO281">
        <v>19.757999999999999</v>
      </c>
      <c r="AP281">
        <v>0</v>
      </c>
      <c r="AQ281">
        <v>784.36400000000003</v>
      </c>
      <c r="AR281">
        <v>89</v>
      </c>
      <c r="AS281">
        <v>1010</v>
      </c>
      <c r="AX281" t="s">
        <v>60</v>
      </c>
    </row>
    <row r="282" spans="1:50" x14ac:dyDescent="0.45">
      <c r="A282">
        <v>10281</v>
      </c>
      <c r="B282">
        <v>1</v>
      </c>
      <c r="C282">
        <v>87.539999999999992</v>
      </c>
      <c r="D282">
        <v>0</v>
      </c>
      <c r="E282">
        <v>0</v>
      </c>
      <c r="F282">
        <v>0</v>
      </c>
      <c r="G282">
        <v>0</v>
      </c>
      <c r="H282">
        <v>6.41</v>
      </c>
      <c r="I282">
        <v>0</v>
      </c>
      <c r="J282">
        <v>0</v>
      </c>
      <c r="K282">
        <v>6.05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Y282">
        <v>1</v>
      </c>
      <c r="Z282">
        <v>0</v>
      </c>
      <c r="AA282">
        <v>0</v>
      </c>
      <c r="AB282">
        <v>0</v>
      </c>
      <c r="AC282">
        <v>0</v>
      </c>
      <c r="AI282">
        <v>0</v>
      </c>
      <c r="AO282">
        <v>20.282999999999998</v>
      </c>
      <c r="AP282">
        <v>0</v>
      </c>
      <c r="AQ282">
        <v>783.28600000000006</v>
      </c>
      <c r="AR282">
        <v>86</v>
      </c>
      <c r="AS282">
        <v>985</v>
      </c>
      <c r="AX282" t="s">
        <v>60</v>
      </c>
    </row>
    <row r="283" spans="1:50" x14ac:dyDescent="0.45">
      <c r="A283">
        <v>10282</v>
      </c>
      <c r="B283">
        <v>1</v>
      </c>
      <c r="C283">
        <v>76.819999999999993</v>
      </c>
      <c r="D283">
        <v>0</v>
      </c>
      <c r="E283">
        <v>0</v>
      </c>
      <c r="F283">
        <v>0</v>
      </c>
      <c r="G283">
        <v>0</v>
      </c>
      <c r="H283">
        <v>6.98</v>
      </c>
      <c r="I283">
        <v>0</v>
      </c>
      <c r="J283">
        <v>0</v>
      </c>
      <c r="K283">
        <v>16.189999999999998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Y283">
        <v>1</v>
      </c>
      <c r="Z283">
        <v>0</v>
      </c>
      <c r="AA283">
        <v>0</v>
      </c>
      <c r="AB283">
        <v>0</v>
      </c>
      <c r="AC283">
        <v>0</v>
      </c>
      <c r="AI283">
        <v>0</v>
      </c>
      <c r="AO283">
        <v>24.775200000000002</v>
      </c>
      <c r="AP283">
        <v>0</v>
      </c>
      <c r="AQ283">
        <v>774.50800000000004</v>
      </c>
      <c r="AR283">
        <v>116</v>
      </c>
      <c r="AS283">
        <v>784</v>
      </c>
      <c r="AX283" t="s">
        <v>60</v>
      </c>
    </row>
    <row r="284" spans="1:50" x14ac:dyDescent="0.45">
      <c r="A284">
        <v>10283</v>
      </c>
      <c r="B284">
        <v>1</v>
      </c>
      <c r="C284">
        <v>77</v>
      </c>
      <c r="D284">
        <v>0</v>
      </c>
      <c r="E284">
        <v>0</v>
      </c>
      <c r="F284">
        <v>0</v>
      </c>
      <c r="G284">
        <v>0</v>
      </c>
      <c r="H284">
        <v>1</v>
      </c>
      <c r="I284">
        <v>0</v>
      </c>
      <c r="J284">
        <v>0</v>
      </c>
      <c r="K284">
        <v>22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1</v>
      </c>
      <c r="Y284">
        <v>0</v>
      </c>
      <c r="Z284">
        <v>1</v>
      </c>
      <c r="AA284">
        <v>0</v>
      </c>
      <c r="AB284">
        <v>0</v>
      </c>
      <c r="AC284">
        <v>1</v>
      </c>
      <c r="AD284">
        <f>AQ284</f>
        <v>866.6</v>
      </c>
      <c r="AF284">
        <v>1</v>
      </c>
      <c r="AG284">
        <v>0</v>
      </c>
      <c r="AH284">
        <v>0</v>
      </c>
      <c r="AI284">
        <v>0</v>
      </c>
      <c r="AO284">
        <v>9.06</v>
      </c>
      <c r="AP284">
        <v>0</v>
      </c>
      <c r="AQ284">
        <v>866.6</v>
      </c>
      <c r="AR284">
        <v>79</v>
      </c>
      <c r="AS284">
        <v>600</v>
      </c>
      <c r="AX284" t="s">
        <v>60</v>
      </c>
    </row>
    <row r="285" spans="1:50" x14ac:dyDescent="0.45">
      <c r="A285">
        <v>10284</v>
      </c>
      <c r="B285">
        <v>1</v>
      </c>
      <c r="C285">
        <v>92.5</v>
      </c>
      <c r="D285">
        <v>5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2.5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Y285">
        <v>1</v>
      </c>
      <c r="Z285">
        <v>0</v>
      </c>
      <c r="AA285">
        <v>0</v>
      </c>
      <c r="AB285">
        <v>0</v>
      </c>
      <c r="AC285">
        <v>1</v>
      </c>
      <c r="AD285">
        <v>1000</v>
      </c>
      <c r="AE285">
        <v>1</v>
      </c>
      <c r="AF285">
        <v>0</v>
      </c>
      <c r="AG285">
        <v>0</v>
      </c>
      <c r="AH285">
        <v>1</v>
      </c>
      <c r="AI285">
        <v>0</v>
      </c>
      <c r="AO285">
        <v>-5</v>
      </c>
      <c r="AP285">
        <v>5.833333333333333</v>
      </c>
      <c r="AQ285">
        <v>903</v>
      </c>
      <c r="AT285">
        <v>769</v>
      </c>
      <c r="AU285">
        <v>10.6</v>
      </c>
      <c r="AX285" t="s">
        <v>114</v>
      </c>
    </row>
    <row r="286" spans="1:50" x14ac:dyDescent="0.45">
      <c r="A286">
        <v>10285</v>
      </c>
      <c r="B286">
        <v>1</v>
      </c>
      <c r="C286">
        <v>92.5</v>
      </c>
      <c r="D286">
        <v>5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2.5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1</v>
      </c>
      <c r="Y286">
        <v>0</v>
      </c>
      <c r="Z286">
        <v>1</v>
      </c>
      <c r="AA286">
        <v>0</v>
      </c>
      <c r="AB286">
        <v>0</v>
      </c>
      <c r="AC286">
        <v>0</v>
      </c>
      <c r="AI286">
        <v>0</v>
      </c>
      <c r="AO286">
        <v>-5</v>
      </c>
      <c r="AP286">
        <v>5.833333333333333</v>
      </c>
      <c r="AQ286">
        <v>903</v>
      </c>
      <c r="AS286">
        <v>746</v>
      </c>
      <c r="AT286">
        <v>769</v>
      </c>
      <c r="AU286">
        <v>10.6</v>
      </c>
      <c r="AV286">
        <v>282</v>
      </c>
      <c r="AX286" t="s">
        <v>98</v>
      </c>
    </row>
    <row r="287" spans="1:50" x14ac:dyDescent="0.45">
      <c r="A287">
        <v>10286</v>
      </c>
      <c r="B287">
        <v>1</v>
      </c>
      <c r="C287">
        <v>61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35</v>
      </c>
      <c r="L287">
        <v>0</v>
      </c>
      <c r="M287">
        <v>4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1</v>
      </c>
      <c r="W287">
        <v>20</v>
      </c>
      <c r="X287">
        <v>89</v>
      </c>
      <c r="Y287">
        <v>0</v>
      </c>
      <c r="Z287">
        <v>1</v>
      </c>
      <c r="AA287">
        <v>0</v>
      </c>
      <c r="AB287">
        <v>0</v>
      </c>
      <c r="AC287">
        <v>1</v>
      </c>
      <c r="AD287">
        <v>950</v>
      </c>
      <c r="AE287">
        <v>2</v>
      </c>
      <c r="AF287">
        <v>1</v>
      </c>
      <c r="AG287">
        <v>0</v>
      </c>
      <c r="AH287">
        <v>0</v>
      </c>
      <c r="AI287">
        <v>1</v>
      </c>
      <c r="AJ287">
        <f>0.5*AQ290</f>
        <v>457.59</v>
      </c>
      <c r="AL287">
        <v>0</v>
      </c>
      <c r="AM287">
        <v>1</v>
      </c>
      <c r="AN287">
        <v>0</v>
      </c>
      <c r="AO287">
        <v>9.8000000000000007</v>
      </c>
      <c r="AP287">
        <v>1.3333333333333333</v>
      </c>
      <c r="AQ287">
        <v>898.8</v>
      </c>
      <c r="AT287">
        <v>680</v>
      </c>
      <c r="AU287">
        <v>13.62</v>
      </c>
      <c r="AX287" t="s">
        <v>99</v>
      </c>
    </row>
    <row r="288" spans="1:50" x14ac:dyDescent="0.45">
      <c r="A288">
        <v>10287</v>
      </c>
      <c r="B288">
        <v>1</v>
      </c>
      <c r="C288">
        <v>61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35</v>
      </c>
      <c r="L288">
        <v>0</v>
      </c>
      <c r="M288">
        <v>4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1</v>
      </c>
      <c r="W288">
        <v>20</v>
      </c>
      <c r="X288">
        <v>89</v>
      </c>
      <c r="Y288">
        <v>0</v>
      </c>
      <c r="Z288">
        <v>1</v>
      </c>
      <c r="AA288">
        <v>0</v>
      </c>
      <c r="AB288">
        <v>0</v>
      </c>
      <c r="AC288">
        <v>1</v>
      </c>
      <c r="AD288">
        <v>950</v>
      </c>
      <c r="AE288">
        <v>2</v>
      </c>
      <c r="AF288">
        <v>1</v>
      </c>
      <c r="AG288">
        <v>0</v>
      </c>
      <c r="AH288">
        <v>0</v>
      </c>
      <c r="AI288">
        <v>1</v>
      </c>
      <c r="AJ288">
        <v>250</v>
      </c>
      <c r="AK288">
        <v>2</v>
      </c>
      <c r="AL288">
        <v>0</v>
      </c>
      <c r="AM288">
        <v>1</v>
      </c>
      <c r="AN288">
        <v>0</v>
      </c>
      <c r="AO288">
        <v>9.8000000000000007</v>
      </c>
      <c r="AP288">
        <v>1.3333333333333333</v>
      </c>
      <c r="AQ288">
        <v>898.8</v>
      </c>
      <c r="AT288">
        <v>830</v>
      </c>
      <c r="AU288">
        <v>6.5</v>
      </c>
      <c r="AW288" t="s">
        <v>251</v>
      </c>
      <c r="AX288" t="s">
        <v>100</v>
      </c>
    </row>
    <row r="289" spans="1:50" x14ac:dyDescent="0.45">
      <c r="A289">
        <v>10288</v>
      </c>
      <c r="B289">
        <v>1</v>
      </c>
      <c r="C289">
        <v>61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35</v>
      </c>
      <c r="L289">
        <v>0</v>
      </c>
      <c r="M289">
        <v>4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1</v>
      </c>
      <c r="W289">
        <v>20</v>
      </c>
      <c r="X289">
        <v>89</v>
      </c>
      <c r="Y289">
        <v>0</v>
      </c>
      <c r="Z289">
        <v>1</v>
      </c>
      <c r="AA289">
        <v>0</v>
      </c>
      <c r="AB289">
        <v>0</v>
      </c>
      <c r="AC289">
        <v>1</v>
      </c>
      <c r="AD289">
        <v>950</v>
      </c>
      <c r="AE289">
        <v>2</v>
      </c>
      <c r="AF289">
        <v>1</v>
      </c>
      <c r="AG289">
        <v>0</v>
      </c>
      <c r="AH289">
        <v>0</v>
      </c>
      <c r="AI289">
        <v>1</v>
      </c>
      <c r="AJ289">
        <v>300</v>
      </c>
      <c r="AK289">
        <v>2</v>
      </c>
      <c r="AL289">
        <v>0</v>
      </c>
      <c r="AM289">
        <v>1</v>
      </c>
      <c r="AN289">
        <v>0</v>
      </c>
      <c r="AO289">
        <v>9.8000000000000007</v>
      </c>
      <c r="AP289">
        <v>1.3333333333333333</v>
      </c>
      <c r="AQ289">
        <v>898.8</v>
      </c>
      <c r="AT289">
        <v>1000</v>
      </c>
      <c r="AU289">
        <v>8.9499999999999993</v>
      </c>
      <c r="AW289" t="s">
        <v>251</v>
      </c>
      <c r="AX289" t="s">
        <v>101</v>
      </c>
    </row>
    <row r="290" spans="1:50" x14ac:dyDescent="0.45">
      <c r="A290">
        <v>10289</v>
      </c>
      <c r="B290">
        <v>1</v>
      </c>
      <c r="C290">
        <v>57.1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35</v>
      </c>
      <c r="L290">
        <v>0</v>
      </c>
      <c r="M290">
        <v>7.9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1</v>
      </c>
      <c r="W290">
        <v>20</v>
      </c>
      <c r="X290">
        <v>89</v>
      </c>
      <c r="Y290">
        <v>0</v>
      </c>
      <c r="Z290">
        <v>1</v>
      </c>
      <c r="AA290">
        <v>0</v>
      </c>
      <c r="AB290">
        <v>0</v>
      </c>
      <c r="AC290">
        <v>1</v>
      </c>
      <c r="AD290">
        <v>950</v>
      </c>
      <c r="AE290">
        <v>2</v>
      </c>
      <c r="AF290">
        <v>1</v>
      </c>
      <c r="AG290">
        <v>0</v>
      </c>
      <c r="AH290">
        <v>0</v>
      </c>
      <c r="AI290">
        <v>1</v>
      </c>
      <c r="AJ290">
        <f>0.5*AQ293</f>
        <v>445.2</v>
      </c>
      <c r="AL290">
        <v>0</v>
      </c>
      <c r="AM290">
        <v>1</v>
      </c>
      <c r="AN290">
        <v>0</v>
      </c>
      <c r="AO290">
        <v>9.8000000000000007</v>
      </c>
      <c r="AP290">
        <v>2.6333333333333333</v>
      </c>
      <c r="AQ290">
        <v>915.18</v>
      </c>
      <c r="AT290">
        <v>600</v>
      </c>
      <c r="AU290">
        <v>13.59</v>
      </c>
      <c r="AX290" t="s">
        <v>102</v>
      </c>
    </row>
    <row r="291" spans="1:50" x14ac:dyDescent="0.45">
      <c r="A291">
        <v>10290</v>
      </c>
      <c r="B291">
        <v>1</v>
      </c>
      <c r="C291">
        <v>57.1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35</v>
      </c>
      <c r="L291">
        <v>0</v>
      </c>
      <c r="M291">
        <v>7.9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1</v>
      </c>
      <c r="W291">
        <v>20</v>
      </c>
      <c r="X291">
        <v>89</v>
      </c>
      <c r="Y291">
        <v>0</v>
      </c>
      <c r="Z291">
        <v>1</v>
      </c>
      <c r="AA291">
        <v>0</v>
      </c>
      <c r="AB291">
        <v>0</v>
      </c>
      <c r="AC291">
        <v>1</v>
      </c>
      <c r="AD291">
        <v>950</v>
      </c>
      <c r="AE291">
        <v>2</v>
      </c>
      <c r="AF291">
        <v>1</v>
      </c>
      <c r="AG291">
        <v>0</v>
      </c>
      <c r="AH291">
        <v>0</v>
      </c>
      <c r="AI291">
        <v>1</v>
      </c>
      <c r="AJ291">
        <v>250</v>
      </c>
      <c r="AK291">
        <v>2</v>
      </c>
      <c r="AL291">
        <v>0</v>
      </c>
      <c r="AM291">
        <v>1</v>
      </c>
      <c r="AN291">
        <v>0</v>
      </c>
      <c r="AO291">
        <v>9.8000000000000007</v>
      </c>
      <c r="AP291">
        <v>2.6333333333333333</v>
      </c>
      <c r="AQ291">
        <v>915.18</v>
      </c>
      <c r="AT291">
        <v>670</v>
      </c>
      <c r="AU291">
        <v>15.05</v>
      </c>
      <c r="AX291" t="s">
        <v>103</v>
      </c>
    </row>
    <row r="292" spans="1:50" x14ac:dyDescent="0.45">
      <c r="A292">
        <v>10291</v>
      </c>
      <c r="B292">
        <v>1</v>
      </c>
      <c r="C292">
        <v>57.1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35</v>
      </c>
      <c r="L292">
        <v>0</v>
      </c>
      <c r="M292">
        <v>7.9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1</v>
      </c>
      <c r="W292">
        <v>20</v>
      </c>
      <c r="X292">
        <v>89</v>
      </c>
      <c r="Y292">
        <v>0</v>
      </c>
      <c r="Z292">
        <v>1</v>
      </c>
      <c r="AA292">
        <v>0</v>
      </c>
      <c r="AB292">
        <v>0</v>
      </c>
      <c r="AC292">
        <v>1</v>
      </c>
      <c r="AD292">
        <v>950</v>
      </c>
      <c r="AE292">
        <v>2</v>
      </c>
      <c r="AF292">
        <v>1</v>
      </c>
      <c r="AG292">
        <v>0</v>
      </c>
      <c r="AH292">
        <v>0</v>
      </c>
      <c r="AI292">
        <v>1</v>
      </c>
      <c r="AJ292">
        <v>300</v>
      </c>
      <c r="AK292">
        <v>2</v>
      </c>
      <c r="AL292">
        <v>0</v>
      </c>
      <c r="AM292">
        <v>1</v>
      </c>
      <c r="AN292">
        <v>0</v>
      </c>
      <c r="AO292">
        <v>9.8000000000000007</v>
      </c>
      <c r="AP292">
        <v>2.6333333333333333</v>
      </c>
      <c r="AQ292">
        <v>915.18</v>
      </c>
      <c r="AT292">
        <v>710</v>
      </c>
      <c r="AU292">
        <v>12.26</v>
      </c>
      <c r="AX292" t="s">
        <v>104</v>
      </c>
    </row>
    <row r="293" spans="1:50" x14ac:dyDescent="0.45">
      <c r="A293">
        <v>10292</v>
      </c>
      <c r="B293">
        <v>1</v>
      </c>
      <c r="C293">
        <v>66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32</v>
      </c>
      <c r="L293">
        <v>0</v>
      </c>
      <c r="M293">
        <v>2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1</v>
      </c>
      <c r="Y293">
        <v>0</v>
      </c>
      <c r="Z293">
        <v>1</v>
      </c>
      <c r="AA293">
        <v>0</v>
      </c>
      <c r="AB293">
        <v>0</v>
      </c>
      <c r="AC293">
        <v>1</v>
      </c>
      <c r="AD293">
        <v>950</v>
      </c>
      <c r="AE293">
        <v>0.5</v>
      </c>
      <c r="AF293">
        <v>1</v>
      </c>
      <c r="AG293">
        <v>0</v>
      </c>
      <c r="AH293">
        <v>0</v>
      </c>
      <c r="AI293">
        <v>1</v>
      </c>
      <c r="AJ293">
        <f>0.5*AQ296</f>
        <v>464.1</v>
      </c>
      <c r="AL293">
        <v>0</v>
      </c>
      <c r="AM293">
        <v>1</v>
      </c>
      <c r="AN293">
        <v>0</v>
      </c>
      <c r="AO293">
        <v>8.9600000000000009</v>
      </c>
      <c r="AP293">
        <v>0.66666666666666663</v>
      </c>
      <c r="AQ293">
        <v>890.4</v>
      </c>
      <c r="AS293">
        <v>665</v>
      </c>
      <c r="AT293">
        <v>780</v>
      </c>
      <c r="AU293">
        <v>32</v>
      </c>
      <c r="AV293">
        <v>60</v>
      </c>
      <c r="AX293" t="s">
        <v>105</v>
      </c>
    </row>
    <row r="294" spans="1:50" x14ac:dyDescent="0.45">
      <c r="A294">
        <v>10293</v>
      </c>
      <c r="B294">
        <v>1</v>
      </c>
      <c r="C294">
        <v>66</v>
      </c>
      <c r="D294">
        <v>0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32</v>
      </c>
      <c r="L294">
        <v>0</v>
      </c>
      <c r="M294">
        <v>2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1</v>
      </c>
      <c r="Y294">
        <v>0</v>
      </c>
      <c r="Z294">
        <v>1</v>
      </c>
      <c r="AA294">
        <v>0</v>
      </c>
      <c r="AB294">
        <v>0</v>
      </c>
      <c r="AC294">
        <v>1</v>
      </c>
      <c r="AD294">
        <v>950</v>
      </c>
      <c r="AE294">
        <v>0.5</v>
      </c>
      <c r="AF294">
        <v>1</v>
      </c>
      <c r="AG294">
        <v>0</v>
      </c>
      <c r="AH294">
        <v>0</v>
      </c>
      <c r="AI294">
        <v>1</v>
      </c>
      <c r="AJ294">
        <v>500</v>
      </c>
      <c r="AK294">
        <v>6</v>
      </c>
      <c r="AL294">
        <v>0</v>
      </c>
      <c r="AM294">
        <v>1</v>
      </c>
      <c r="AN294">
        <v>0</v>
      </c>
      <c r="AO294">
        <v>8.9600000000000009</v>
      </c>
      <c r="AP294">
        <v>0.66666666666666663</v>
      </c>
      <c r="AQ294">
        <v>890.4</v>
      </c>
      <c r="AS294">
        <v>960</v>
      </c>
      <c r="AT294">
        <v>1070</v>
      </c>
      <c r="AU294">
        <v>8</v>
      </c>
      <c r="AV294">
        <v>82</v>
      </c>
      <c r="AX294" t="s">
        <v>106</v>
      </c>
    </row>
    <row r="295" spans="1:50" x14ac:dyDescent="0.45">
      <c r="A295">
        <v>10294</v>
      </c>
      <c r="B295">
        <v>1</v>
      </c>
      <c r="C295">
        <v>66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32</v>
      </c>
      <c r="L295">
        <v>0</v>
      </c>
      <c r="M295">
        <v>2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1</v>
      </c>
      <c r="Y295">
        <v>0</v>
      </c>
      <c r="Z295">
        <v>1</v>
      </c>
      <c r="AA295">
        <v>0</v>
      </c>
      <c r="AB295">
        <v>0</v>
      </c>
      <c r="AC295">
        <v>1</v>
      </c>
      <c r="AD295">
        <v>950</v>
      </c>
      <c r="AE295">
        <v>0.5</v>
      </c>
      <c r="AF295">
        <v>1</v>
      </c>
      <c r="AG295">
        <v>0</v>
      </c>
      <c r="AH295">
        <v>0</v>
      </c>
      <c r="AI295">
        <v>1</v>
      </c>
      <c r="AJ295">
        <v>600</v>
      </c>
      <c r="AK295">
        <v>6</v>
      </c>
      <c r="AL295">
        <v>0</v>
      </c>
      <c r="AM295">
        <v>1</v>
      </c>
      <c r="AN295">
        <v>0</v>
      </c>
      <c r="AO295">
        <v>8.9600000000000009</v>
      </c>
      <c r="AP295">
        <v>0.66666666666666663</v>
      </c>
      <c r="AQ295">
        <v>890.4</v>
      </c>
      <c r="AS295">
        <v>560</v>
      </c>
      <c r="AT295">
        <v>685</v>
      </c>
      <c r="AU295">
        <v>7</v>
      </c>
      <c r="AX295" t="s">
        <v>107</v>
      </c>
    </row>
    <row r="296" spans="1:50" x14ac:dyDescent="0.45">
      <c r="A296">
        <v>10295</v>
      </c>
      <c r="B296">
        <v>1</v>
      </c>
      <c r="C296">
        <v>62.8</v>
      </c>
      <c r="D296">
        <v>0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26.2</v>
      </c>
      <c r="L296">
        <v>0</v>
      </c>
      <c r="M296">
        <v>11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Y296">
        <v>1</v>
      </c>
      <c r="Z296">
        <v>0</v>
      </c>
      <c r="AA296">
        <v>0</v>
      </c>
      <c r="AB296">
        <v>0</v>
      </c>
      <c r="AC296">
        <v>0</v>
      </c>
      <c r="AI296">
        <v>0</v>
      </c>
      <c r="AO296">
        <v>7.3360000000000003</v>
      </c>
      <c r="AP296">
        <v>3.6666666666666665</v>
      </c>
      <c r="AQ296">
        <v>928.2</v>
      </c>
      <c r="AS296">
        <v>397</v>
      </c>
      <c r="AT296">
        <v>447</v>
      </c>
      <c r="AU296">
        <v>16.899999999999999</v>
      </c>
      <c r="AX296" t="s">
        <v>108</v>
      </c>
    </row>
    <row r="297" spans="1:50" x14ac:dyDescent="0.45">
      <c r="A297">
        <v>10296</v>
      </c>
      <c r="B297">
        <v>1</v>
      </c>
      <c r="C297">
        <v>62.8</v>
      </c>
      <c r="D297">
        <v>0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26.2</v>
      </c>
      <c r="L297">
        <v>0</v>
      </c>
      <c r="M297">
        <v>11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1</v>
      </c>
      <c r="W297">
        <v>90</v>
      </c>
      <c r="Y297">
        <v>0</v>
      </c>
      <c r="Z297">
        <v>1</v>
      </c>
      <c r="AA297">
        <v>0</v>
      </c>
      <c r="AB297">
        <v>0</v>
      </c>
      <c r="AC297">
        <v>0</v>
      </c>
      <c r="AI297">
        <v>0</v>
      </c>
      <c r="AO297">
        <v>7.3360000000000003</v>
      </c>
      <c r="AP297">
        <v>3.6666666666666665</v>
      </c>
      <c r="AQ297">
        <v>928.2</v>
      </c>
      <c r="AS297">
        <v>641</v>
      </c>
      <c r="AT297">
        <v>855</v>
      </c>
      <c r="AU297">
        <v>6.3</v>
      </c>
      <c r="AX297" t="s">
        <v>108</v>
      </c>
    </row>
    <row r="298" spans="1:50" x14ac:dyDescent="0.45">
      <c r="A298">
        <v>10297</v>
      </c>
      <c r="B298">
        <v>1</v>
      </c>
      <c r="C298">
        <v>62.8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26.2</v>
      </c>
      <c r="L298">
        <v>0</v>
      </c>
      <c r="M298">
        <v>11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Y298">
        <v>1</v>
      </c>
      <c r="Z298">
        <v>0</v>
      </c>
      <c r="AA298">
        <v>0</v>
      </c>
      <c r="AB298">
        <v>0</v>
      </c>
      <c r="AC298">
        <v>0</v>
      </c>
      <c r="AI298">
        <v>1</v>
      </c>
      <c r="AJ298">
        <v>400</v>
      </c>
      <c r="AK298">
        <v>0.33333333300000001</v>
      </c>
      <c r="AL298">
        <v>1</v>
      </c>
      <c r="AM298">
        <v>0</v>
      </c>
      <c r="AN298">
        <v>0</v>
      </c>
      <c r="AO298">
        <v>7.3360000000000003</v>
      </c>
      <c r="AP298">
        <v>3.6666666666666665</v>
      </c>
      <c r="AQ298">
        <v>928.2</v>
      </c>
      <c r="AS298">
        <v>934</v>
      </c>
      <c r="AT298">
        <v>1049</v>
      </c>
      <c r="AU298">
        <v>3.7</v>
      </c>
      <c r="AX298" t="s">
        <v>108</v>
      </c>
    </row>
    <row r="299" spans="1:50" x14ac:dyDescent="0.45">
      <c r="A299">
        <v>10298</v>
      </c>
      <c r="B299">
        <v>1</v>
      </c>
      <c r="C299">
        <v>62.8</v>
      </c>
      <c r="D299">
        <v>0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26.2</v>
      </c>
      <c r="L299">
        <v>0</v>
      </c>
      <c r="M299">
        <v>11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Y299">
        <v>1</v>
      </c>
      <c r="Z299">
        <v>0</v>
      </c>
      <c r="AA299">
        <v>0</v>
      </c>
      <c r="AB299">
        <v>0</v>
      </c>
      <c r="AC299">
        <v>0</v>
      </c>
      <c r="AI299">
        <v>1</v>
      </c>
      <c r="AJ299">
        <v>450</v>
      </c>
      <c r="AK299">
        <v>0.33333333300000001</v>
      </c>
      <c r="AL299">
        <v>1</v>
      </c>
      <c r="AM299">
        <v>0</v>
      </c>
      <c r="AN299">
        <v>0</v>
      </c>
      <c r="AO299">
        <v>7.3360000000000003</v>
      </c>
      <c r="AP299">
        <v>3.6666666666666665</v>
      </c>
      <c r="AQ299">
        <v>928.2</v>
      </c>
      <c r="AS299">
        <v>786</v>
      </c>
      <c r="AT299">
        <v>799</v>
      </c>
      <c r="AU299">
        <v>4</v>
      </c>
      <c r="AX299" t="s">
        <v>108</v>
      </c>
    </row>
    <row r="300" spans="1:50" x14ac:dyDescent="0.45">
      <c r="A300">
        <v>10299</v>
      </c>
      <c r="B300">
        <v>1</v>
      </c>
      <c r="C300">
        <v>62.8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26.2</v>
      </c>
      <c r="L300">
        <v>0</v>
      </c>
      <c r="M300">
        <v>11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Y300">
        <v>1</v>
      </c>
      <c r="Z300">
        <v>0</v>
      </c>
      <c r="AA300">
        <v>0</v>
      </c>
      <c r="AB300">
        <v>0</v>
      </c>
      <c r="AC300">
        <v>1</v>
      </c>
      <c r="AD300">
        <v>950</v>
      </c>
      <c r="AE300">
        <v>1</v>
      </c>
      <c r="AF300">
        <v>1</v>
      </c>
      <c r="AG300">
        <v>0</v>
      </c>
      <c r="AH300">
        <v>0</v>
      </c>
      <c r="AI300">
        <v>0</v>
      </c>
      <c r="AO300">
        <v>7.3360000000000003</v>
      </c>
      <c r="AP300">
        <v>3.6666666666666665</v>
      </c>
      <c r="AQ300">
        <v>928.2</v>
      </c>
      <c r="AS300">
        <v>579</v>
      </c>
      <c r="AT300">
        <v>590</v>
      </c>
      <c r="AU300">
        <v>27.8</v>
      </c>
      <c r="AX300" t="s">
        <v>108</v>
      </c>
    </row>
    <row r="301" spans="1:50" x14ac:dyDescent="0.45">
      <c r="A301">
        <v>10300</v>
      </c>
      <c r="B301">
        <v>1</v>
      </c>
      <c r="C301">
        <v>62.8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26.2</v>
      </c>
      <c r="L301">
        <v>0</v>
      </c>
      <c r="M301">
        <v>11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Y301">
        <v>1</v>
      </c>
      <c r="Z301">
        <v>0</v>
      </c>
      <c r="AA301">
        <v>0</v>
      </c>
      <c r="AB301">
        <v>0</v>
      </c>
      <c r="AC301">
        <v>1</v>
      </c>
      <c r="AD301">
        <v>950</v>
      </c>
      <c r="AE301">
        <v>1</v>
      </c>
      <c r="AF301">
        <v>1</v>
      </c>
      <c r="AG301">
        <v>0</v>
      </c>
      <c r="AH301">
        <v>0</v>
      </c>
      <c r="AI301">
        <v>1</v>
      </c>
      <c r="AJ301">
        <v>400</v>
      </c>
      <c r="AK301">
        <v>0.33333333300000001</v>
      </c>
      <c r="AL301">
        <v>1</v>
      </c>
      <c r="AM301">
        <v>0</v>
      </c>
      <c r="AN301">
        <v>0</v>
      </c>
      <c r="AO301">
        <v>7.3360000000000003</v>
      </c>
      <c r="AP301">
        <v>3.6666666666666665</v>
      </c>
      <c r="AQ301">
        <v>928.2</v>
      </c>
      <c r="AS301">
        <v>543</v>
      </c>
      <c r="AT301">
        <v>576</v>
      </c>
      <c r="AU301">
        <v>19.5</v>
      </c>
      <c r="AX301" t="s">
        <v>108</v>
      </c>
    </row>
    <row r="302" spans="1:50" x14ac:dyDescent="0.45">
      <c r="A302">
        <v>10301</v>
      </c>
      <c r="B302">
        <v>1</v>
      </c>
      <c r="C302">
        <v>62.8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26.2</v>
      </c>
      <c r="L302">
        <v>0</v>
      </c>
      <c r="M302">
        <v>11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Y302">
        <v>1</v>
      </c>
      <c r="Z302">
        <v>0</v>
      </c>
      <c r="AA302">
        <v>0</v>
      </c>
      <c r="AB302">
        <v>0</v>
      </c>
      <c r="AC302">
        <v>1</v>
      </c>
      <c r="AD302">
        <v>950</v>
      </c>
      <c r="AE302">
        <v>1</v>
      </c>
      <c r="AF302">
        <v>1</v>
      </c>
      <c r="AG302">
        <v>0</v>
      </c>
      <c r="AH302">
        <v>0</v>
      </c>
      <c r="AI302">
        <v>1</v>
      </c>
      <c r="AJ302">
        <v>450</v>
      </c>
      <c r="AK302">
        <v>0.33333333300000001</v>
      </c>
      <c r="AL302">
        <v>1</v>
      </c>
      <c r="AM302">
        <v>0</v>
      </c>
      <c r="AN302">
        <v>0</v>
      </c>
      <c r="AO302">
        <v>7.3360000000000003</v>
      </c>
      <c r="AP302">
        <v>3.6666666666666665</v>
      </c>
      <c r="AQ302">
        <v>928.2</v>
      </c>
      <c r="AS302">
        <v>581</v>
      </c>
      <c r="AT302">
        <v>587</v>
      </c>
      <c r="AU302">
        <v>14.1</v>
      </c>
      <c r="AX302" t="s">
        <v>108</v>
      </c>
    </row>
    <row r="303" spans="1:50" x14ac:dyDescent="0.45">
      <c r="A303">
        <v>10302</v>
      </c>
      <c r="B303">
        <v>1</v>
      </c>
      <c r="C303">
        <v>79.239999999999995</v>
      </c>
      <c r="D303">
        <v>0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19.79</v>
      </c>
      <c r="L303">
        <v>0</v>
      </c>
      <c r="M303">
        <v>0.97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1</v>
      </c>
      <c r="Y303">
        <v>0</v>
      </c>
      <c r="Z303">
        <v>1</v>
      </c>
      <c r="AA303">
        <v>0</v>
      </c>
      <c r="AB303">
        <v>0</v>
      </c>
      <c r="AC303">
        <v>1</v>
      </c>
      <c r="AD303">
        <f t="shared" ref="AD303:AD309" si="2">AQ303</f>
        <v>886.07399999999996</v>
      </c>
      <c r="AF303">
        <v>1</v>
      </c>
      <c r="AG303">
        <v>0</v>
      </c>
      <c r="AH303">
        <v>0</v>
      </c>
      <c r="AI303">
        <v>0</v>
      </c>
      <c r="AO303">
        <v>5.5411999999999999</v>
      </c>
      <c r="AP303">
        <v>0.32333333333333331</v>
      </c>
      <c r="AQ303">
        <v>886.07399999999996</v>
      </c>
      <c r="AR303">
        <v>60</v>
      </c>
      <c r="AS303">
        <v>665</v>
      </c>
      <c r="AX303" t="s">
        <v>60</v>
      </c>
    </row>
    <row r="304" spans="1:50" x14ac:dyDescent="0.45">
      <c r="A304">
        <v>10303</v>
      </c>
      <c r="B304">
        <v>1</v>
      </c>
      <c r="C304">
        <v>75.64</v>
      </c>
      <c r="D304">
        <v>0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22.36</v>
      </c>
      <c r="L304">
        <v>0</v>
      </c>
      <c r="M304">
        <v>2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1</v>
      </c>
      <c r="Y304">
        <v>0</v>
      </c>
      <c r="Z304">
        <v>1</v>
      </c>
      <c r="AA304">
        <v>0</v>
      </c>
      <c r="AB304">
        <v>0</v>
      </c>
      <c r="AC304">
        <v>1</v>
      </c>
      <c r="AD304">
        <f t="shared" si="2"/>
        <v>890.4</v>
      </c>
      <c r="AF304">
        <v>1</v>
      </c>
      <c r="AG304">
        <v>0</v>
      </c>
      <c r="AH304">
        <v>0</v>
      </c>
      <c r="AI304">
        <v>0</v>
      </c>
      <c r="AO304">
        <v>6.2608000000000006</v>
      </c>
      <c r="AP304">
        <v>0.66666666666666663</v>
      </c>
      <c r="AQ304">
        <v>890.4</v>
      </c>
      <c r="AR304">
        <v>55</v>
      </c>
      <c r="AS304">
        <v>376</v>
      </c>
      <c r="AX304" t="s">
        <v>60</v>
      </c>
    </row>
    <row r="305" spans="1:50" x14ac:dyDescent="0.45">
      <c r="A305">
        <v>10304</v>
      </c>
      <c r="B305">
        <v>1</v>
      </c>
      <c r="C305">
        <v>72.91</v>
      </c>
      <c r="D305">
        <v>0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23.02</v>
      </c>
      <c r="L305">
        <v>0</v>
      </c>
      <c r="M305">
        <v>4.07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1</v>
      </c>
      <c r="Y305">
        <v>0</v>
      </c>
      <c r="Z305">
        <v>1</v>
      </c>
      <c r="AA305">
        <v>0</v>
      </c>
      <c r="AB305">
        <v>0</v>
      </c>
      <c r="AC305">
        <v>1</v>
      </c>
      <c r="AD305">
        <f t="shared" si="2"/>
        <v>899.09400000000005</v>
      </c>
      <c r="AF305">
        <v>1</v>
      </c>
      <c r="AG305">
        <v>0</v>
      </c>
      <c r="AH305">
        <v>0</v>
      </c>
      <c r="AI305">
        <v>0</v>
      </c>
      <c r="AO305">
        <v>6.4456000000000007</v>
      </c>
      <c r="AP305">
        <v>1.3566666666666667</v>
      </c>
      <c r="AQ305">
        <v>899.09400000000005</v>
      </c>
      <c r="AR305">
        <v>61</v>
      </c>
      <c r="AS305">
        <v>444</v>
      </c>
      <c r="AX305" t="s">
        <v>60</v>
      </c>
    </row>
    <row r="306" spans="1:50" x14ac:dyDescent="0.45">
      <c r="A306">
        <v>10305</v>
      </c>
      <c r="B306">
        <v>1</v>
      </c>
      <c r="C306">
        <v>76.649999999999991</v>
      </c>
      <c r="D306">
        <v>0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22.11</v>
      </c>
      <c r="L306">
        <v>0</v>
      </c>
      <c r="M306">
        <v>1.24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1</v>
      </c>
      <c r="Y306">
        <v>0</v>
      </c>
      <c r="Z306">
        <v>1</v>
      </c>
      <c r="AA306">
        <v>0</v>
      </c>
      <c r="AB306">
        <v>0</v>
      </c>
      <c r="AC306">
        <v>1</v>
      </c>
      <c r="AD306">
        <f t="shared" si="2"/>
        <v>887.20799999999997</v>
      </c>
      <c r="AF306">
        <v>1</v>
      </c>
      <c r="AG306">
        <v>0</v>
      </c>
      <c r="AH306">
        <v>0</v>
      </c>
      <c r="AI306">
        <v>0</v>
      </c>
      <c r="AO306">
        <v>6.1908000000000003</v>
      </c>
      <c r="AP306">
        <v>0.41333333333333333</v>
      </c>
      <c r="AQ306">
        <v>887.20799999999997</v>
      </c>
      <c r="AR306">
        <v>65.8</v>
      </c>
      <c r="AS306">
        <v>237</v>
      </c>
      <c r="AX306" t="s">
        <v>60</v>
      </c>
    </row>
    <row r="307" spans="1:50" x14ac:dyDescent="0.45">
      <c r="A307">
        <v>10306</v>
      </c>
      <c r="B307">
        <v>1</v>
      </c>
      <c r="C307">
        <v>74.95</v>
      </c>
      <c r="D307">
        <v>0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22.53</v>
      </c>
      <c r="L307">
        <v>0</v>
      </c>
      <c r="M307">
        <v>2.52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1</v>
      </c>
      <c r="Y307">
        <v>0</v>
      </c>
      <c r="Z307">
        <v>1</v>
      </c>
      <c r="AA307">
        <v>0</v>
      </c>
      <c r="AB307">
        <v>0</v>
      </c>
      <c r="AC307">
        <v>1</v>
      </c>
      <c r="AD307">
        <f t="shared" si="2"/>
        <v>892.58399999999995</v>
      </c>
      <c r="AF307">
        <v>1</v>
      </c>
      <c r="AG307">
        <v>0</v>
      </c>
      <c r="AH307">
        <v>0</v>
      </c>
      <c r="AI307">
        <v>0</v>
      </c>
      <c r="AO307">
        <v>6.3084000000000007</v>
      </c>
      <c r="AP307">
        <v>0.84</v>
      </c>
      <c r="AQ307">
        <v>892.58399999999995</v>
      </c>
      <c r="AR307">
        <v>68.2</v>
      </c>
      <c r="AS307">
        <v>216</v>
      </c>
      <c r="AX307" t="s">
        <v>60</v>
      </c>
    </row>
    <row r="308" spans="1:50" x14ac:dyDescent="0.45">
      <c r="A308">
        <v>10307</v>
      </c>
      <c r="B308">
        <v>1</v>
      </c>
      <c r="C308">
        <v>73.2</v>
      </c>
      <c r="D308">
        <v>0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22.95</v>
      </c>
      <c r="L308">
        <v>0</v>
      </c>
      <c r="M308">
        <v>3.85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1</v>
      </c>
      <c r="Y308">
        <v>0</v>
      </c>
      <c r="Z308">
        <v>1</v>
      </c>
      <c r="AA308">
        <v>0</v>
      </c>
      <c r="AB308">
        <v>0</v>
      </c>
      <c r="AC308">
        <v>1</v>
      </c>
      <c r="AD308">
        <f t="shared" si="2"/>
        <v>898.17</v>
      </c>
      <c r="AF308">
        <v>1</v>
      </c>
      <c r="AG308">
        <v>0</v>
      </c>
      <c r="AH308">
        <v>0</v>
      </c>
      <c r="AI308">
        <v>0</v>
      </c>
      <c r="AO308">
        <v>6.4260000000000002</v>
      </c>
      <c r="AP308">
        <v>1.2833333333333334</v>
      </c>
      <c r="AQ308">
        <v>898.17</v>
      </c>
      <c r="AR308">
        <v>86.4</v>
      </c>
      <c r="AS308">
        <v>262</v>
      </c>
      <c r="AX308" t="s">
        <v>60</v>
      </c>
    </row>
    <row r="309" spans="1:50" x14ac:dyDescent="0.45">
      <c r="A309">
        <v>10308</v>
      </c>
      <c r="B309">
        <v>1</v>
      </c>
      <c r="C309">
        <v>77</v>
      </c>
      <c r="D309">
        <v>0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22</v>
      </c>
      <c r="L309">
        <v>0</v>
      </c>
      <c r="M309">
        <v>1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1</v>
      </c>
      <c r="Y309">
        <v>0</v>
      </c>
      <c r="Z309">
        <v>1</v>
      </c>
      <c r="AA309">
        <v>0</v>
      </c>
      <c r="AB309">
        <v>0</v>
      </c>
      <c r="AC309">
        <v>1</v>
      </c>
      <c r="AD309">
        <f t="shared" si="2"/>
        <v>886.2</v>
      </c>
      <c r="AF309">
        <v>1</v>
      </c>
      <c r="AG309">
        <v>0</v>
      </c>
      <c r="AH309">
        <v>0</v>
      </c>
      <c r="AI309">
        <v>0</v>
      </c>
      <c r="AO309">
        <v>6.16</v>
      </c>
      <c r="AP309">
        <v>0.33333333333333331</v>
      </c>
      <c r="AQ309">
        <v>886.2</v>
      </c>
      <c r="AR309">
        <v>65</v>
      </c>
      <c r="AS309">
        <v>503</v>
      </c>
      <c r="AW309" t="s">
        <v>252</v>
      </c>
      <c r="AX309" t="s">
        <v>60</v>
      </c>
    </row>
    <row r="310" spans="1:50" x14ac:dyDescent="0.45">
      <c r="A310">
        <v>10309</v>
      </c>
      <c r="B310">
        <v>1</v>
      </c>
      <c r="C310">
        <v>77.78</v>
      </c>
      <c r="D310">
        <v>0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16.66</v>
      </c>
      <c r="L310">
        <v>0</v>
      </c>
      <c r="M310">
        <v>5.56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Y310">
        <v>1</v>
      </c>
      <c r="Z310">
        <v>0</v>
      </c>
      <c r="AA310">
        <v>0</v>
      </c>
      <c r="AB310">
        <v>0</v>
      </c>
      <c r="AC310">
        <v>0</v>
      </c>
      <c r="AI310">
        <v>0</v>
      </c>
      <c r="AO310">
        <v>4.6648000000000005</v>
      </c>
      <c r="AP310">
        <v>1.8533333333333333</v>
      </c>
      <c r="AQ310">
        <v>905.35199999999998</v>
      </c>
      <c r="AR310">
        <v>56</v>
      </c>
      <c r="AW310" t="s">
        <v>252</v>
      </c>
    </row>
    <row r="311" spans="1:50" x14ac:dyDescent="0.45">
      <c r="A311">
        <v>10310</v>
      </c>
      <c r="B311">
        <v>1</v>
      </c>
      <c r="C311">
        <v>62.8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26.2</v>
      </c>
      <c r="L311">
        <v>0</v>
      </c>
      <c r="M311">
        <v>11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Y311">
        <v>1</v>
      </c>
      <c r="Z311">
        <v>0</v>
      </c>
      <c r="AA311">
        <v>0</v>
      </c>
      <c r="AB311">
        <v>0</v>
      </c>
      <c r="AC311">
        <v>0</v>
      </c>
      <c r="AI311">
        <v>0</v>
      </c>
      <c r="AO311">
        <v>7.3360000000000003</v>
      </c>
      <c r="AP311">
        <v>3.6666666666666665</v>
      </c>
      <c r="AQ311">
        <v>928.2</v>
      </c>
      <c r="AR311">
        <v>56</v>
      </c>
      <c r="AW311" t="s">
        <v>253</v>
      </c>
    </row>
    <row r="312" spans="1:50" x14ac:dyDescent="0.45">
      <c r="A312">
        <v>10311</v>
      </c>
      <c r="B312">
        <v>1</v>
      </c>
      <c r="C312">
        <v>80.7</v>
      </c>
      <c r="D312">
        <v>0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18.34</v>
      </c>
      <c r="L312">
        <v>0</v>
      </c>
      <c r="M312">
        <v>0.96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Y312">
        <v>1</v>
      </c>
      <c r="Z312">
        <v>0</v>
      </c>
      <c r="AA312">
        <v>0</v>
      </c>
      <c r="AB312">
        <v>0</v>
      </c>
      <c r="AC312">
        <v>0</v>
      </c>
      <c r="AI312">
        <v>0</v>
      </c>
      <c r="AO312">
        <v>5.1352000000000002</v>
      </c>
      <c r="AP312">
        <v>0.32</v>
      </c>
      <c r="AQ312">
        <v>886.03200000000004</v>
      </c>
      <c r="AR312">
        <v>77.400000000000006</v>
      </c>
      <c r="AW312" t="s">
        <v>254</v>
      </c>
    </row>
    <row r="313" spans="1:50" x14ac:dyDescent="0.45">
      <c r="A313">
        <v>10312</v>
      </c>
      <c r="B313">
        <v>1</v>
      </c>
      <c r="C313">
        <v>79.45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18.61</v>
      </c>
      <c r="L313">
        <v>0</v>
      </c>
      <c r="M313">
        <v>1.94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Y313">
        <v>1</v>
      </c>
      <c r="Z313">
        <v>0</v>
      </c>
      <c r="AA313">
        <v>0</v>
      </c>
      <c r="AB313">
        <v>0</v>
      </c>
      <c r="AC313">
        <v>0</v>
      </c>
      <c r="AI313">
        <v>0</v>
      </c>
      <c r="AO313">
        <v>5.2108000000000008</v>
      </c>
      <c r="AP313">
        <v>0.64666666666666661</v>
      </c>
      <c r="AQ313">
        <v>890.14800000000002</v>
      </c>
      <c r="AR313">
        <v>72.2</v>
      </c>
      <c r="AW313" t="s">
        <v>255</v>
      </c>
    </row>
    <row r="314" spans="1:50" x14ac:dyDescent="0.45">
      <c r="A314">
        <v>10313</v>
      </c>
      <c r="B314">
        <v>1</v>
      </c>
      <c r="C314">
        <v>78.17</v>
      </c>
      <c r="D314">
        <v>0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18.88</v>
      </c>
      <c r="L314">
        <v>0</v>
      </c>
      <c r="M314">
        <v>2.95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Y314">
        <v>1</v>
      </c>
      <c r="Z314">
        <v>0</v>
      </c>
      <c r="AA314">
        <v>0</v>
      </c>
      <c r="AB314">
        <v>0</v>
      </c>
      <c r="AC314">
        <v>0</v>
      </c>
      <c r="AI314">
        <v>0</v>
      </c>
      <c r="AO314">
        <v>5.2864000000000004</v>
      </c>
      <c r="AP314">
        <v>0.98333333333333339</v>
      </c>
      <c r="AQ314">
        <v>894.39</v>
      </c>
      <c r="AR314">
        <v>67</v>
      </c>
      <c r="AW314" t="s">
        <v>256</v>
      </c>
    </row>
    <row r="315" spans="1:50" x14ac:dyDescent="0.45">
      <c r="A315">
        <v>10314</v>
      </c>
      <c r="B315">
        <v>1</v>
      </c>
      <c r="C315">
        <v>76.84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19.16</v>
      </c>
      <c r="L315">
        <v>0</v>
      </c>
      <c r="M315">
        <v>4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Y315">
        <v>1</v>
      </c>
      <c r="Z315">
        <v>0</v>
      </c>
      <c r="AA315">
        <v>0</v>
      </c>
      <c r="AB315">
        <v>0</v>
      </c>
      <c r="AC315">
        <v>0</v>
      </c>
      <c r="AI315">
        <v>0</v>
      </c>
      <c r="AO315">
        <v>5.3648000000000007</v>
      </c>
      <c r="AP315">
        <v>1.3333333333333333</v>
      </c>
      <c r="AQ315">
        <v>898.8</v>
      </c>
      <c r="AR315">
        <v>74</v>
      </c>
      <c r="AW315" t="s">
        <v>257</v>
      </c>
    </row>
    <row r="316" spans="1:50" x14ac:dyDescent="0.45">
      <c r="A316">
        <v>10315</v>
      </c>
      <c r="B316">
        <v>1</v>
      </c>
      <c r="C316">
        <v>75.48</v>
      </c>
      <c r="D316">
        <v>0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19.45</v>
      </c>
      <c r="L316">
        <v>0</v>
      </c>
      <c r="M316">
        <v>5.07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Y316">
        <v>1</v>
      </c>
      <c r="Z316">
        <v>0</v>
      </c>
      <c r="AA316">
        <v>0</v>
      </c>
      <c r="AB316">
        <v>0</v>
      </c>
      <c r="AC316">
        <v>0</v>
      </c>
      <c r="AI316">
        <v>0</v>
      </c>
      <c r="AO316">
        <v>5.4460000000000006</v>
      </c>
      <c r="AP316">
        <v>1.6900000000000002</v>
      </c>
      <c r="AQ316">
        <v>903.29399999999998</v>
      </c>
      <c r="AR316">
        <v>92</v>
      </c>
      <c r="AW316" t="s">
        <v>258</v>
      </c>
    </row>
    <row r="317" spans="1:50" x14ac:dyDescent="0.45">
      <c r="A317">
        <v>10316</v>
      </c>
      <c r="B317">
        <v>1</v>
      </c>
      <c r="C317">
        <v>75.64</v>
      </c>
      <c r="D317">
        <v>0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22.36</v>
      </c>
      <c r="L317">
        <v>0</v>
      </c>
      <c r="M317">
        <v>2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Y317">
        <v>1</v>
      </c>
      <c r="Z317">
        <v>0</v>
      </c>
      <c r="AA317">
        <v>0</v>
      </c>
      <c r="AB317">
        <v>0</v>
      </c>
      <c r="AC317">
        <v>0</v>
      </c>
      <c r="AI317">
        <v>0</v>
      </c>
      <c r="AO317">
        <v>6.2608000000000006</v>
      </c>
      <c r="AP317">
        <v>0.66666666666666663</v>
      </c>
      <c r="AQ317">
        <v>890.4</v>
      </c>
      <c r="AR317">
        <v>54.86</v>
      </c>
      <c r="AW317" t="s">
        <v>259</v>
      </c>
    </row>
    <row r="318" spans="1:50" x14ac:dyDescent="0.45">
      <c r="A318">
        <v>10317</v>
      </c>
      <c r="B318">
        <v>1</v>
      </c>
      <c r="C318">
        <v>45.74</v>
      </c>
      <c r="D318">
        <v>0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49.72</v>
      </c>
      <c r="L318">
        <v>0</v>
      </c>
      <c r="M318">
        <v>4.54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Y318">
        <v>1</v>
      </c>
      <c r="Z318">
        <v>0</v>
      </c>
      <c r="AA318">
        <v>0</v>
      </c>
      <c r="AB318">
        <v>0</v>
      </c>
      <c r="AC318">
        <v>0</v>
      </c>
      <c r="AI318">
        <v>0</v>
      </c>
      <c r="AO318">
        <v>13.921600000000002</v>
      </c>
      <c r="AP318">
        <v>1.5133333333333334</v>
      </c>
      <c r="AQ318">
        <v>901.06799999999998</v>
      </c>
      <c r="AR318">
        <v>63.55</v>
      </c>
      <c r="AW318" t="s">
        <v>260</v>
      </c>
    </row>
    <row r="319" spans="1:50" x14ac:dyDescent="0.45">
      <c r="A319">
        <v>10318</v>
      </c>
      <c r="B319">
        <v>1</v>
      </c>
      <c r="C319">
        <v>78.709999999999994</v>
      </c>
      <c r="D319">
        <v>0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15.84</v>
      </c>
      <c r="L319">
        <v>0</v>
      </c>
      <c r="M319">
        <v>5.45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Y319">
        <v>1</v>
      </c>
      <c r="Z319">
        <v>0</v>
      </c>
      <c r="AA319">
        <v>0</v>
      </c>
      <c r="AB319">
        <v>0</v>
      </c>
      <c r="AC319">
        <v>0</v>
      </c>
      <c r="AI319">
        <v>0</v>
      </c>
      <c r="AO319">
        <v>4.4352</v>
      </c>
      <c r="AP319">
        <v>1.8166666666666667</v>
      </c>
      <c r="AQ319">
        <v>904.89</v>
      </c>
      <c r="AR319">
        <v>55</v>
      </c>
      <c r="AW319" t="s">
        <v>261</v>
      </c>
    </row>
    <row r="320" spans="1:50" x14ac:dyDescent="0.45">
      <c r="A320">
        <v>10319</v>
      </c>
      <c r="B320">
        <v>1</v>
      </c>
      <c r="C320">
        <v>79.349999999999994</v>
      </c>
      <c r="D320">
        <v>0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15.73</v>
      </c>
      <c r="L320">
        <v>0</v>
      </c>
      <c r="M320">
        <v>4.92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Y320">
        <v>1</v>
      </c>
      <c r="Z320">
        <v>0</v>
      </c>
      <c r="AA320">
        <v>0</v>
      </c>
      <c r="AB320">
        <v>0</v>
      </c>
      <c r="AC320">
        <v>0</v>
      </c>
      <c r="AI320">
        <v>0</v>
      </c>
      <c r="AO320">
        <v>4.4044000000000008</v>
      </c>
      <c r="AP320">
        <v>1.64</v>
      </c>
      <c r="AQ320">
        <v>902.66399999999999</v>
      </c>
      <c r="AR320">
        <v>72</v>
      </c>
    </row>
    <row r="321" spans="1:50" x14ac:dyDescent="0.45">
      <c r="A321">
        <v>10320</v>
      </c>
      <c r="B321">
        <v>1</v>
      </c>
      <c r="C321">
        <v>80.62</v>
      </c>
      <c r="D321">
        <v>0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15.5</v>
      </c>
      <c r="L321">
        <v>0</v>
      </c>
      <c r="M321">
        <v>3.88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Y321">
        <v>1</v>
      </c>
      <c r="Z321">
        <v>0</v>
      </c>
      <c r="AA321">
        <v>0</v>
      </c>
      <c r="AB321">
        <v>0</v>
      </c>
      <c r="AC321">
        <v>0</v>
      </c>
      <c r="AI321">
        <v>0</v>
      </c>
      <c r="AO321">
        <v>4.3400000000000007</v>
      </c>
      <c r="AP321">
        <v>1.2933333333333332</v>
      </c>
      <c r="AQ321">
        <v>898.29600000000005</v>
      </c>
      <c r="AR321">
        <v>52</v>
      </c>
    </row>
    <row r="322" spans="1:50" x14ac:dyDescent="0.45">
      <c r="A322">
        <v>10321</v>
      </c>
      <c r="B322">
        <v>1</v>
      </c>
      <c r="C322">
        <v>79.989999999999995</v>
      </c>
      <c r="D322">
        <v>0</v>
      </c>
      <c r="E322">
        <v>0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15.61</v>
      </c>
      <c r="L322">
        <v>0</v>
      </c>
      <c r="M322">
        <v>4.4000000000000004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Y322">
        <v>1</v>
      </c>
      <c r="Z322">
        <v>0</v>
      </c>
      <c r="AA322">
        <v>0</v>
      </c>
      <c r="AB322">
        <v>0</v>
      </c>
      <c r="AC322">
        <v>0</v>
      </c>
      <c r="AI322">
        <v>0</v>
      </c>
      <c r="AO322">
        <v>4.3708</v>
      </c>
      <c r="AP322">
        <v>1.4666666666666668</v>
      </c>
      <c r="AQ322">
        <v>900.48</v>
      </c>
      <c r="AR322">
        <v>53</v>
      </c>
    </row>
    <row r="323" spans="1:50" x14ac:dyDescent="0.45">
      <c r="A323">
        <v>10322</v>
      </c>
      <c r="B323">
        <v>1</v>
      </c>
      <c r="C323">
        <v>72.91</v>
      </c>
      <c r="D323">
        <v>0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23.03</v>
      </c>
      <c r="L323">
        <v>0</v>
      </c>
      <c r="M323">
        <v>4.0599999999999996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Y323">
        <v>1</v>
      </c>
      <c r="Z323">
        <v>0</v>
      </c>
      <c r="AA323">
        <v>0</v>
      </c>
      <c r="AB323">
        <v>0</v>
      </c>
      <c r="AC323">
        <v>0</v>
      </c>
      <c r="AI323">
        <v>0</v>
      </c>
      <c r="AO323">
        <v>6.4484000000000012</v>
      </c>
      <c r="AP323">
        <v>1.3533333333333333</v>
      </c>
      <c r="AQ323">
        <v>899.05200000000002</v>
      </c>
      <c r="AR323">
        <v>61</v>
      </c>
    </row>
    <row r="324" spans="1:50" x14ac:dyDescent="0.45">
      <c r="A324">
        <v>10323</v>
      </c>
      <c r="B324">
        <v>1</v>
      </c>
      <c r="C324">
        <v>76.98</v>
      </c>
      <c r="D324">
        <v>0</v>
      </c>
      <c r="E324">
        <v>0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22.03</v>
      </c>
      <c r="L324">
        <v>0</v>
      </c>
      <c r="M324">
        <v>0.99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Y324">
        <v>1</v>
      </c>
      <c r="Z324">
        <v>0</v>
      </c>
      <c r="AA324">
        <v>0</v>
      </c>
      <c r="AB324">
        <v>0</v>
      </c>
      <c r="AC324">
        <v>0</v>
      </c>
      <c r="AI324">
        <v>0</v>
      </c>
      <c r="AO324">
        <v>6.168400000000001</v>
      </c>
      <c r="AP324">
        <v>0.33</v>
      </c>
      <c r="AQ324">
        <v>886.15800000000002</v>
      </c>
      <c r="AR324">
        <v>51</v>
      </c>
    </row>
    <row r="325" spans="1:50" x14ac:dyDescent="0.45">
      <c r="A325">
        <v>10324</v>
      </c>
      <c r="B325">
        <v>1</v>
      </c>
      <c r="C325">
        <v>90</v>
      </c>
      <c r="D325">
        <v>6</v>
      </c>
      <c r="E325">
        <v>4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1</v>
      </c>
      <c r="Y325">
        <v>0</v>
      </c>
      <c r="Z325">
        <v>1</v>
      </c>
      <c r="AA325">
        <v>0</v>
      </c>
      <c r="AB325">
        <v>0</v>
      </c>
      <c r="AC325">
        <v>0</v>
      </c>
      <c r="AI325">
        <v>0</v>
      </c>
      <c r="AO325">
        <v>-3.32</v>
      </c>
      <c r="AP325">
        <v>6</v>
      </c>
      <c r="AQ325">
        <v>847.4</v>
      </c>
      <c r="AR325">
        <v>113</v>
      </c>
      <c r="AS325">
        <v>999</v>
      </c>
      <c r="AT325">
        <v>1173</v>
      </c>
      <c r="AU325">
        <v>6</v>
      </c>
      <c r="AX325" t="s">
        <v>115</v>
      </c>
    </row>
    <row r="326" spans="1:50" x14ac:dyDescent="0.45">
      <c r="A326">
        <v>10325</v>
      </c>
      <c r="B326">
        <v>0</v>
      </c>
      <c r="C326">
        <v>90</v>
      </c>
      <c r="D326">
        <v>5.9</v>
      </c>
      <c r="E326">
        <v>4.0999999999999996</v>
      </c>
      <c r="F326">
        <v>0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Y326">
        <v>1</v>
      </c>
      <c r="Z326">
        <v>0</v>
      </c>
      <c r="AA326">
        <v>0</v>
      </c>
      <c r="AB326">
        <v>0</v>
      </c>
      <c r="AC326">
        <v>1</v>
      </c>
      <c r="AD326">
        <v>700</v>
      </c>
      <c r="AE326">
        <v>4</v>
      </c>
      <c r="AI326">
        <v>0</v>
      </c>
      <c r="AO326">
        <v>-3.1530000000000005</v>
      </c>
      <c r="AP326">
        <v>5.9</v>
      </c>
      <c r="AQ326">
        <v>846.01</v>
      </c>
      <c r="AX326" t="s">
        <v>116</v>
      </c>
    </row>
    <row r="327" spans="1:50" x14ac:dyDescent="0.45">
      <c r="A327">
        <v>10326</v>
      </c>
      <c r="B327">
        <v>0</v>
      </c>
      <c r="C327">
        <v>90</v>
      </c>
      <c r="D327">
        <v>5.9</v>
      </c>
      <c r="E327">
        <v>4.0999999999999996</v>
      </c>
      <c r="F327">
        <v>0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Y327">
        <v>1</v>
      </c>
      <c r="Z327">
        <v>0</v>
      </c>
      <c r="AA327">
        <v>0</v>
      </c>
      <c r="AB327">
        <v>0</v>
      </c>
      <c r="AC327">
        <v>1</v>
      </c>
      <c r="AD327">
        <v>700</v>
      </c>
      <c r="AE327">
        <v>4</v>
      </c>
      <c r="AI327">
        <v>0</v>
      </c>
      <c r="AO327">
        <v>-3.1530000000000005</v>
      </c>
      <c r="AP327">
        <v>5.9</v>
      </c>
      <c r="AQ327">
        <v>846.01</v>
      </c>
      <c r="AX327" t="s">
        <v>116</v>
      </c>
    </row>
    <row r="328" spans="1:50" x14ac:dyDescent="0.45">
      <c r="A328">
        <v>10327</v>
      </c>
      <c r="B328">
        <v>0</v>
      </c>
      <c r="C328">
        <v>90</v>
      </c>
      <c r="D328">
        <v>5.9</v>
      </c>
      <c r="E328">
        <v>4.0999999999999996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Y328">
        <v>1</v>
      </c>
      <c r="Z328">
        <v>0</v>
      </c>
      <c r="AA328">
        <v>0</v>
      </c>
      <c r="AB328">
        <v>0</v>
      </c>
      <c r="AC328">
        <v>1</v>
      </c>
      <c r="AD328">
        <v>700</v>
      </c>
      <c r="AE328">
        <v>4</v>
      </c>
      <c r="AI328">
        <v>0</v>
      </c>
      <c r="AO328">
        <v>-3.1530000000000005</v>
      </c>
      <c r="AP328">
        <v>5.9</v>
      </c>
      <c r="AQ328">
        <v>846.01</v>
      </c>
      <c r="AX328" t="s">
        <v>116</v>
      </c>
    </row>
    <row r="329" spans="1:50" x14ac:dyDescent="0.45">
      <c r="A329">
        <v>10328</v>
      </c>
      <c r="B329">
        <v>1</v>
      </c>
      <c r="C329">
        <v>72.959999999999994</v>
      </c>
      <c r="D329">
        <v>5.2</v>
      </c>
      <c r="E329">
        <v>21.67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Y329">
        <v>1</v>
      </c>
      <c r="Z329">
        <v>0</v>
      </c>
      <c r="AA329">
        <v>0</v>
      </c>
      <c r="AB329">
        <v>0</v>
      </c>
      <c r="AC329">
        <v>1</v>
      </c>
      <c r="AD329">
        <v>900</v>
      </c>
      <c r="AE329">
        <v>0.5</v>
      </c>
      <c r="AF329">
        <v>1</v>
      </c>
      <c r="AG329">
        <v>0</v>
      </c>
      <c r="AH329">
        <v>0</v>
      </c>
      <c r="AI329">
        <v>1</v>
      </c>
      <c r="AJ329">
        <v>600</v>
      </c>
      <c r="AK329">
        <v>4</v>
      </c>
      <c r="AL329">
        <v>0</v>
      </c>
      <c r="AM329">
        <v>1</v>
      </c>
      <c r="AN329">
        <v>0</v>
      </c>
      <c r="AO329">
        <v>9.3189000000000028</v>
      </c>
      <c r="AP329">
        <v>5.2</v>
      </c>
      <c r="AQ329">
        <v>637.21399999999994</v>
      </c>
      <c r="AS329">
        <v>956.67</v>
      </c>
      <c r="AT329">
        <v>1076.67</v>
      </c>
      <c r="AU329">
        <v>19.5</v>
      </c>
      <c r="AX329" t="s">
        <v>108</v>
      </c>
    </row>
    <row r="330" spans="1:50" x14ac:dyDescent="0.45">
      <c r="A330">
        <v>10329</v>
      </c>
      <c r="B330">
        <v>1</v>
      </c>
      <c r="C330">
        <v>72.959999999999994</v>
      </c>
      <c r="D330">
        <v>5.2</v>
      </c>
      <c r="E330">
        <v>21.67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Y330">
        <v>1</v>
      </c>
      <c r="Z330">
        <v>0</v>
      </c>
      <c r="AA330">
        <v>0</v>
      </c>
      <c r="AB330">
        <v>0</v>
      </c>
      <c r="AC330">
        <v>1</v>
      </c>
      <c r="AD330">
        <v>900</v>
      </c>
      <c r="AE330">
        <v>0.5</v>
      </c>
      <c r="AF330">
        <v>1</v>
      </c>
      <c r="AG330">
        <v>0</v>
      </c>
      <c r="AH330">
        <v>0</v>
      </c>
      <c r="AI330">
        <v>1</v>
      </c>
      <c r="AJ330">
        <v>700</v>
      </c>
      <c r="AK330">
        <v>4</v>
      </c>
      <c r="AL330">
        <v>0</v>
      </c>
      <c r="AM330">
        <v>1</v>
      </c>
      <c r="AN330">
        <v>0</v>
      </c>
      <c r="AO330">
        <v>9.3189000000000028</v>
      </c>
      <c r="AP330">
        <v>5.2</v>
      </c>
      <c r="AQ330">
        <v>637.21399999999994</v>
      </c>
      <c r="AS330">
        <v>816.67</v>
      </c>
      <c r="AT330">
        <v>875</v>
      </c>
      <c r="AU330">
        <v>15.83</v>
      </c>
      <c r="AX330" t="s">
        <v>108</v>
      </c>
    </row>
    <row r="331" spans="1:50" x14ac:dyDescent="0.45">
      <c r="A331">
        <v>10330</v>
      </c>
      <c r="B331">
        <v>1</v>
      </c>
      <c r="C331">
        <v>86.2</v>
      </c>
      <c r="D331">
        <v>10.199999999999999</v>
      </c>
      <c r="E331">
        <v>3.5999999999999996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Y331">
        <v>0</v>
      </c>
      <c r="Z331">
        <v>1</v>
      </c>
      <c r="AA331">
        <v>0</v>
      </c>
      <c r="AB331">
        <v>0</v>
      </c>
      <c r="AC331">
        <v>1</v>
      </c>
      <c r="AD331">
        <f>AQ331</f>
        <v>860.93999999999994</v>
      </c>
      <c r="AF331">
        <v>0</v>
      </c>
      <c r="AG331">
        <v>1</v>
      </c>
      <c r="AH331">
        <v>0</v>
      </c>
      <c r="AI331">
        <v>0</v>
      </c>
      <c r="AO331">
        <v>-7.7879999999999994</v>
      </c>
      <c r="AP331">
        <v>10.199999999999999</v>
      </c>
      <c r="AQ331">
        <v>860.93999999999994</v>
      </c>
      <c r="AR331">
        <v>110</v>
      </c>
      <c r="AS331">
        <v>760</v>
      </c>
      <c r="AX331" t="s">
        <v>60</v>
      </c>
    </row>
    <row r="332" spans="1:50" x14ac:dyDescent="0.45">
      <c r="A332">
        <v>10331</v>
      </c>
      <c r="B332">
        <v>1</v>
      </c>
      <c r="C332">
        <v>89</v>
      </c>
      <c r="D332">
        <v>0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8</v>
      </c>
      <c r="M332">
        <v>3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20</v>
      </c>
      <c r="X332">
        <v>94</v>
      </c>
      <c r="Y332">
        <v>0</v>
      </c>
      <c r="Z332">
        <v>1</v>
      </c>
      <c r="AA332">
        <v>0</v>
      </c>
      <c r="AB332">
        <v>0</v>
      </c>
      <c r="AC332">
        <v>1</v>
      </c>
      <c r="AD332">
        <v>900</v>
      </c>
      <c r="AE332">
        <v>0.5</v>
      </c>
      <c r="AF332">
        <v>1</v>
      </c>
      <c r="AG332">
        <v>0</v>
      </c>
      <c r="AH332">
        <v>0</v>
      </c>
      <c r="AI332">
        <v>0</v>
      </c>
      <c r="AO332">
        <v>8</v>
      </c>
      <c r="AP332">
        <v>1</v>
      </c>
      <c r="AQ332">
        <v>818.6</v>
      </c>
      <c r="AR332">
        <v>66.900000000000006</v>
      </c>
      <c r="AS332">
        <v>365</v>
      </c>
      <c r="AT332">
        <v>768</v>
      </c>
      <c r="AU332">
        <v>30.29</v>
      </c>
      <c r="AX332" t="s">
        <v>64</v>
      </c>
    </row>
    <row r="333" spans="1:50" x14ac:dyDescent="0.45">
      <c r="A333">
        <v>10332</v>
      </c>
      <c r="B333">
        <v>1</v>
      </c>
      <c r="C333">
        <v>87</v>
      </c>
      <c r="D333">
        <v>0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8</v>
      </c>
      <c r="M333">
        <v>5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20</v>
      </c>
      <c r="X333">
        <v>94</v>
      </c>
      <c r="Y333">
        <v>0</v>
      </c>
      <c r="Z333">
        <v>1</v>
      </c>
      <c r="AA333">
        <v>0</v>
      </c>
      <c r="AB333">
        <v>0</v>
      </c>
      <c r="AC333">
        <v>1</v>
      </c>
      <c r="AD333">
        <v>900</v>
      </c>
      <c r="AE333">
        <v>0.5</v>
      </c>
      <c r="AF333">
        <v>1</v>
      </c>
      <c r="AG333">
        <v>0</v>
      </c>
      <c r="AH333">
        <v>0</v>
      </c>
      <c r="AI333">
        <v>0</v>
      </c>
      <c r="AO333">
        <v>8</v>
      </c>
      <c r="AP333">
        <v>1.6666666666666667</v>
      </c>
      <c r="AQ333">
        <v>827</v>
      </c>
      <c r="AR333">
        <v>74.8</v>
      </c>
      <c r="AS333">
        <v>361</v>
      </c>
      <c r="AT333">
        <v>743</v>
      </c>
      <c r="AU333">
        <v>29.44</v>
      </c>
      <c r="AX333" t="s">
        <v>64</v>
      </c>
    </row>
    <row r="334" spans="1:50" x14ac:dyDescent="0.45">
      <c r="A334">
        <v>10333</v>
      </c>
      <c r="B334">
        <v>1</v>
      </c>
      <c r="C334">
        <v>85</v>
      </c>
      <c r="D334">
        <v>0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8</v>
      </c>
      <c r="M334">
        <v>7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20</v>
      </c>
      <c r="X334">
        <v>94</v>
      </c>
      <c r="Y334">
        <v>0</v>
      </c>
      <c r="Z334">
        <v>1</v>
      </c>
      <c r="AA334">
        <v>0</v>
      </c>
      <c r="AB334">
        <v>0</v>
      </c>
      <c r="AC334">
        <v>1</v>
      </c>
      <c r="AD334">
        <v>900</v>
      </c>
      <c r="AE334">
        <v>0.5</v>
      </c>
      <c r="AF334">
        <v>1</v>
      </c>
      <c r="AG334">
        <v>0</v>
      </c>
      <c r="AH334">
        <v>0</v>
      </c>
      <c r="AI334">
        <v>0</v>
      </c>
      <c r="AO334">
        <v>8</v>
      </c>
      <c r="AP334">
        <v>2.3333333333333335</v>
      </c>
      <c r="AQ334">
        <v>835.4</v>
      </c>
      <c r="AR334">
        <v>76.8</v>
      </c>
      <c r="AS334">
        <v>335</v>
      </c>
      <c r="AT334">
        <v>738</v>
      </c>
      <c r="AU334">
        <v>24.527000000000001</v>
      </c>
      <c r="AX334" t="s">
        <v>64</v>
      </c>
    </row>
    <row r="335" spans="1:50" x14ac:dyDescent="0.45">
      <c r="A335">
        <v>10334</v>
      </c>
      <c r="B335">
        <v>1</v>
      </c>
      <c r="C335">
        <v>83</v>
      </c>
      <c r="D335">
        <v>0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8</v>
      </c>
      <c r="M335">
        <v>9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20</v>
      </c>
      <c r="X335">
        <v>94</v>
      </c>
      <c r="Y335">
        <v>0</v>
      </c>
      <c r="Z335">
        <v>1</v>
      </c>
      <c r="AA335">
        <v>0</v>
      </c>
      <c r="AB335">
        <v>0</v>
      </c>
      <c r="AC335">
        <v>1</v>
      </c>
      <c r="AD335">
        <v>900</v>
      </c>
      <c r="AE335">
        <v>0.5</v>
      </c>
      <c r="AF335">
        <v>1</v>
      </c>
      <c r="AG335">
        <v>0</v>
      </c>
      <c r="AH335">
        <v>0</v>
      </c>
      <c r="AI335">
        <v>0</v>
      </c>
      <c r="AO335">
        <v>8</v>
      </c>
      <c r="AP335">
        <v>3</v>
      </c>
      <c r="AQ335">
        <v>843.8</v>
      </c>
      <c r="AR335">
        <v>68.7</v>
      </c>
      <c r="AS335">
        <v>303</v>
      </c>
      <c r="AT335">
        <v>813</v>
      </c>
      <c r="AU335">
        <v>10.81</v>
      </c>
      <c r="AX335" t="s">
        <v>64</v>
      </c>
    </row>
    <row r="336" spans="1:50" x14ac:dyDescent="0.45">
      <c r="A336">
        <v>10335</v>
      </c>
      <c r="B336">
        <v>1</v>
      </c>
      <c r="C336">
        <v>81</v>
      </c>
      <c r="D336">
        <v>0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8</v>
      </c>
      <c r="M336">
        <v>11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20</v>
      </c>
      <c r="X336">
        <v>94</v>
      </c>
      <c r="Y336">
        <v>0</v>
      </c>
      <c r="Z336">
        <v>1</v>
      </c>
      <c r="AA336">
        <v>0</v>
      </c>
      <c r="AB336">
        <v>0</v>
      </c>
      <c r="AC336">
        <v>1</v>
      </c>
      <c r="AD336">
        <v>900</v>
      </c>
      <c r="AE336">
        <v>0.5</v>
      </c>
      <c r="AF336">
        <v>1</v>
      </c>
      <c r="AG336">
        <v>0</v>
      </c>
      <c r="AH336">
        <v>0</v>
      </c>
      <c r="AI336">
        <v>0</v>
      </c>
      <c r="AO336">
        <v>8</v>
      </c>
      <c r="AP336">
        <v>3.6666666666666665</v>
      </c>
      <c r="AQ336">
        <v>852.2</v>
      </c>
      <c r="AR336">
        <v>58.4</v>
      </c>
      <c r="AS336">
        <v>193</v>
      </c>
      <c r="AT336">
        <v>827</v>
      </c>
      <c r="AU336">
        <v>6.44</v>
      </c>
      <c r="AX336" t="s">
        <v>64</v>
      </c>
    </row>
    <row r="337" spans="1:50" x14ac:dyDescent="0.45">
      <c r="A337">
        <v>10336</v>
      </c>
      <c r="B337">
        <v>1</v>
      </c>
      <c r="C337">
        <v>79</v>
      </c>
      <c r="D337">
        <v>0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8</v>
      </c>
      <c r="M337">
        <v>13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20</v>
      </c>
      <c r="X337">
        <v>94</v>
      </c>
      <c r="Y337">
        <v>0</v>
      </c>
      <c r="Z337">
        <v>1</v>
      </c>
      <c r="AA337">
        <v>0</v>
      </c>
      <c r="AB337">
        <v>0</v>
      </c>
      <c r="AC337">
        <v>1</v>
      </c>
      <c r="AD337">
        <v>900</v>
      </c>
      <c r="AE337">
        <v>0.5</v>
      </c>
      <c r="AF337">
        <v>1</v>
      </c>
      <c r="AG337">
        <v>0</v>
      </c>
      <c r="AH337">
        <v>0</v>
      </c>
      <c r="AI337">
        <v>0</v>
      </c>
      <c r="AO337">
        <v>8</v>
      </c>
      <c r="AP337">
        <v>4.333333333333333</v>
      </c>
      <c r="AQ337">
        <v>860.6</v>
      </c>
      <c r="AR337">
        <v>50.2</v>
      </c>
      <c r="AS337">
        <v>512</v>
      </c>
      <c r="AT337">
        <v>899</v>
      </c>
      <c r="AU337">
        <v>11.11</v>
      </c>
      <c r="AX337" t="s">
        <v>64</v>
      </c>
    </row>
    <row r="338" spans="1:50" x14ac:dyDescent="0.45">
      <c r="A338">
        <v>10337</v>
      </c>
      <c r="B338">
        <v>1</v>
      </c>
      <c r="C338">
        <v>77</v>
      </c>
      <c r="D338">
        <v>0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8</v>
      </c>
      <c r="M338">
        <v>15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20</v>
      </c>
      <c r="X338">
        <v>94</v>
      </c>
      <c r="Y338">
        <v>0</v>
      </c>
      <c r="Z338">
        <v>1</v>
      </c>
      <c r="AA338">
        <v>0</v>
      </c>
      <c r="AB338">
        <v>0</v>
      </c>
      <c r="AC338">
        <v>1</v>
      </c>
      <c r="AD338">
        <v>900</v>
      </c>
      <c r="AE338">
        <v>0.5</v>
      </c>
      <c r="AF338">
        <v>1</v>
      </c>
      <c r="AG338">
        <v>0</v>
      </c>
      <c r="AH338">
        <v>0</v>
      </c>
      <c r="AI338">
        <v>0</v>
      </c>
      <c r="AO338">
        <v>8</v>
      </c>
      <c r="AP338">
        <v>5</v>
      </c>
      <c r="AQ338">
        <v>869</v>
      </c>
      <c r="AR338">
        <v>46.8</v>
      </c>
      <c r="AS338">
        <v>732</v>
      </c>
      <c r="AT338">
        <v>801</v>
      </c>
      <c r="AU338">
        <v>19.739999999999998</v>
      </c>
      <c r="AX338" t="s">
        <v>117</v>
      </c>
    </row>
    <row r="339" spans="1:50" x14ac:dyDescent="0.45">
      <c r="A339">
        <v>10338</v>
      </c>
      <c r="B339">
        <v>1</v>
      </c>
      <c r="C339">
        <v>89.84</v>
      </c>
      <c r="D339">
        <v>0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7.24</v>
      </c>
      <c r="M339">
        <v>2.92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1</v>
      </c>
      <c r="Y339">
        <v>0</v>
      </c>
      <c r="Z339">
        <v>1</v>
      </c>
      <c r="AA339">
        <v>0</v>
      </c>
      <c r="AB339">
        <v>0</v>
      </c>
      <c r="AC339">
        <v>1</v>
      </c>
      <c r="AD339">
        <f>AQ339</f>
        <v>825.48400000000004</v>
      </c>
      <c r="AF339">
        <v>1</v>
      </c>
      <c r="AG339">
        <v>0</v>
      </c>
      <c r="AH339">
        <v>0</v>
      </c>
      <c r="AI339">
        <v>0</v>
      </c>
      <c r="AO339">
        <v>7.24</v>
      </c>
      <c r="AP339">
        <v>0.97333333333333327</v>
      </c>
      <c r="AQ339">
        <v>825.48400000000004</v>
      </c>
      <c r="AR339">
        <v>66</v>
      </c>
      <c r="AS339">
        <v>650</v>
      </c>
      <c r="AX339" t="s">
        <v>60</v>
      </c>
    </row>
    <row r="340" spans="1:50" x14ac:dyDescent="0.45">
      <c r="A340">
        <v>10339</v>
      </c>
      <c r="B340">
        <v>1</v>
      </c>
      <c r="C340">
        <v>94.36</v>
      </c>
      <c r="D340">
        <v>0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4.87</v>
      </c>
      <c r="M340">
        <v>0.77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1</v>
      </c>
      <c r="Y340">
        <v>0</v>
      </c>
      <c r="Z340">
        <v>1</v>
      </c>
      <c r="AA340">
        <v>0</v>
      </c>
      <c r="AB340">
        <v>0</v>
      </c>
      <c r="AC340">
        <v>1</v>
      </c>
      <c r="AD340">
        <f>AQ340</f>
        <v>838.96900000000005</v>
      </c>
      <c r="AF340">
        <v>1</v>
      </c>
      <c r="AG340">
        <v>0</v>
      </c>
      <c r="AH340">
        <v>0</v>
      </c>
      <c r="AI340">
        <v>0</v>
      </c>
      <c r="AO340">
        <v>4.87</v>
      </c>
      <c r="AP340">
        <v>0.25666666666666665</v>
      </c>
      <c r="AQ340">
        <v>838.96900000000005</v>
      </c>
      <c r="AR340">
        <v>89</v>
      </c>
      <c r="AS340">
        <v>511</v>
      </c>
      <c r="AX340" t="s">
        <v>60</v>
      </c>
    </row>
    <row r="341" spans="1:50" x14ac:dyDescent="0.45">
      <c r="A341">
        <v>10340</v>
      </c>
      <c r="B341">
        <v>1</v>
      </c>
      <c r="C341">
        <v>92.41</v>
      </c>
      <c r="D341">
        <v>0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4.7300000000000004</v>
      </c>
      <c r="M341">
        <v>2.86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1</v>
      </c>
      <c r="Y341">
        <v>0</v>
      </c>
      <c r="Z341">
        <v>1</v>
      </c>
      <c r="AA341">
        <v>0</v>
      </c>
      <c r="AB341">
        <v>0</v>
      </c>
      <c r="AC341">
        <v>1</v>
      </c>
      <c r="AD341">
        <f>AQ341</f>
        <v>849.077</v>
      </c>
      <c r="AF341">
        <v>1</v>
      </c>
      <c r="AG341">
        <v>0</v>
      </c>
      <c r="AH341">
        <v>0</v>
      </c>
      <c r="AI341">
        <v>0</v>
      </c>
      <c r="AO341">
        <v>4.7300000000000004</v>
      </c>
      <c r="AP341">
        <v>0.95333333333333325</v>
      </c>
      <c r="AQ341">
        <v>849.077</v>
      </c>
      <c r="AR341">
        <v>78</v>
      </c>
      <c r="AS341">
        <v>441</v>
      </c>
      <c r="AX341" t="s">
        <v>60</v>
      </c>
    </row>
    <row r="342" spans="1:50" x14ac:dyDescent="0.45">
      <c r="A342">
        <v>10341</v>
      </c>
      <c r="B342">
        <v>1</v>
      </c>
      <c r="C342">
        <v>87.5</v>
      </c>
      <c r="D342">
        <v>0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6.25</v>
      </c>
      <c r="M342">
        <v>6.25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Y342">
        <v>1</v>
      </c>
      <c r="Z342">
        <v>0</v>
      </c>
      <c r="AA342">
        <v>0</v>
      </c>
      <c r="AB342">
        <v>0</v>
      </c>
      <c r="AC342">
        <v>0</v>
      </c>
      <c r="AI342">
        <v>0</v>
      </c>
      <c r="AO342">
        <v>6.25</v>
      </c>
      <c r="AP342">
        <v>2.0833333333333335</v>
      </c>
      <c r="AQ342">
        <v>848.875</v>
      </c>
      <c r="AR342">
        <v>70</v>
      </c>
    </row>
    <row r="343" spans="1:50" x14ac:dyDescent="0.45">
      <c r="A343">
        <v>10342</v>
      </c>
      <c r="B343">
        <v>1</v>
      </c>
      <c r="C343">
        <v>75.8</v>
      </c>
      <c r="D343">
        <v>0</v>
      </c>
      <c r="E343">
        <v>0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10.8</v>
      </c>
      <c r="M343">
        <v>13.4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Y343">
        <v>1</v>
      </c>
      <c r="Z343">
        <v>0</v>
      </c>
      <c r="AA343">
        <v>0</v>
      </c>
      <c r="AB343">
        <v>0</v>
      </c>
      <c r="AC343">
        <v>0</v>
      </c>
      <c r="AI343">
        <v>0</v>
      </c>
      <c r="AO343">
        <v>10.8</v>
      </c>
      <c r="AP343">
        <v>4.4666666666666668</v>
      </c>
      <c r="AQ343">
        <v>835.68</v>
      </c>
      <c r="AR343">
        <v>70</v>
      </c>
    </row>
    <row r="344" spans="1:50" x14ac:dyDescent="0.45">
      <c r="A344">
        <v>10343</v>
      </c>
      <c r="B344">
        <v>1</v>
      </c>
      <c r="C344">
        <v>92.5</v>
      </c>
      <c r="D344">
        <v>5</v>
      </c>
      <c r="E344">
        <v>0</v>
      </c>
      <c r="F344">
        <v>0</v>
      </c>
      <c r="G344">
        <v>0</v>
      </c>
      <c r="H344">
        <v>2.5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1</v>
      </c>
      <c r="Y344">
        <v>0</v>
      </c>
      <c r="Z344">
        <v>1</v>
      </c>
      <c r="AA344">
        <v>0</v>
      </c>
      <c r="AB344">
        <v>0</v>
      </c>
      <c r="AC344">
        <v>0</v>
      </c>
      <c r="AI344">
        <v>0</v>
      </c>
      <c r="AO344">
        <v>2.25</v>
      </c>
      <c r="AP344">
        <v>5</v>
      </c>
      <c r="AQ344">
        <v>854</v>
      </c>
      <c r="AR344">
        <v>112</v>
      </c>
      <c r="AS344">
        <v>895</v>
      </c>
      <c r="AT344">
        <v>1020</v>
      </c>
      <c r="AU344">
        <v>15</v>
      </c>
      <c r="AX344" t="s">
        <v>118</v>
      </c>
    </row>
    <row r="345" spans="1:50" x14ac:dyDescent="0.45">
      <c r="A345">
        <v>10344</v>
      </c>
      <c r="B345">
        <v>0</v>
      </c>
      <c r="C345">
        <v>94.688000000000002</v>
      </c>
      <c r="D345">
        <v>3.79</v>
      </c>
      <c r="E345">
        <v>0</v>
      </c>
      <c r="F345">
        <v>0</v>
      </c>
      <c r="G345">
        <v>0</v>
      </c>
      <c r="H345">
        <v>3.5999999999999997E-2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Y345">
        <v>1</v>
      </c>
      <c r="Z345">
        <v>0</v>
      </c>
      <c r="AA345">
        <v>0</v>
      </c>
      <c r="AB345">
        <v>0</v>
      </c>
      <c r="AC345">
        <v>1</v>
      </c>
      <c r="AD345">
        <v>945</v>
      </c>
      <c r="AE345">
        <v>0.5</v>
      </c>
      <c r="AF345">
        <v>0</v>
      </c>
      <c r="AG345">
        <v>1</v>
      </c>
      <c r="AH345">
        <v>0</v>
      </c>
      <c r="AI345">
        <v>0</v>
      </c>
      <c r="AO345">
        <v>-3.6856</v>
      </c>
      <c r="AP345">
        <v>3.79</v>
      </c>
      <c r="AQ345">
        <v>889.40459999999996</v>
      </c>
      <c r="AX345" t="s">
        <v>119</v>
      </c>
    </row>
    <row r="346" spans="1:50" x14ac:dyDescent="0.45">
      <c r="A346">
        <v>10345</v>
      </c>
      <c r="B346">
        <v>0</v>
      </c>
      <c r="C346">
        <v>94.688000000000002</v>
      </c>
      <c r="D346">
        <v>3.79</v>
      </c>
      <c r="E346">
        <v>0</v>
      </c>
      <c r="F346">
        <v>0</v>
      </c>
      <c r="G346">
        <v>0</v>
      </c>
      <c r="H346">
        <v>3.5999999999999997E-2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Y346">
        <v>1</v>
      </c>
      <c r="Z346">
        <v>0</v>
      </c>
      <c r="AA346">
        <v>0</v>
      </c>
      <c r="AB346">
        <v>0</v>
      </c>
      <c r="AC346">
        <v>1</v>
      </c>
      <c r="AD346">
        <v>955</v>
      </c>
      <c r="AE346">
        <v>0.5</v>
      </c>
      <c r="AF346">
        <v>0</v>
      </c>
      <c r="AG346">
        <v>1</v>
      </c>
      <c r="AH346">
        <v>0</v>
      </c>
      <c r="AI346">
        <v>0</v>
      </c>
      <c r="AO346">
        <v>-3.6856</v>
      </c>
      <c r="AP346">
        <v>3.79</v>
      </c>
      <c r="AQ346">
        <v>889.40459999999996</v>
      </c>
      <c r="AX346" t="s">
        <v>119</v>
      </c>
    </row>
    <row r="347" spans="1:50" x14ac:dyDescent="0.45">
      <c r="A347">
        <v>10346</v>
      </c>
      <c r="B347">
        <v>0</v>
      </c>
      <c r="C347">
        <v>94.688000000000002</v>
      </c>
      <c r="D347">
        <v>3.79</v>
      </c>
      <c r="E347">
        <v>0</v>
      </c>
      <c r="F347">
        <v>0</v>
      </c>
      <c r="G347">
        <v>0</v>
      </c>
      <c r="H347">
        <v>3.5999999999999997E-2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Y347">
        <v>1</v>
      </c>
      <c r="Z347">
        <v>0</v>
      </c>
      <c r="AA347">
        <v>0</v>
      </c>
      <c r="AB347">
        <v>0</v>
      </c>
      <c r="AC347">
        <v>1</v>
      </c>
      <c r="AD347">
        <v>965</v>
      </c>
      <c r="AE347">
        <v>0.5</v>
      </c>
      <c r="AF347">
        <v>0</v>
      </c>
      <c r="AG347">
        <v>1</v>
      </c>
      <c r="AH347">
        <v>0</v>
      </c>
      <c r="AI347">
        <v>0</v>
      </c>
      <c r="AO347">
        <v>-3.6856</v>
      </c>
      <c r="AP347">
        <v>3.79</v>
      </c>
      <c r="AQ347">
        <v>889.40459999999996</v>
      </c>
      <c r="AX347" t="s">
        <v>119</v>
      </c>
    </row>
    <row r="348" spans="1:50" x14ac:dyDescent="0.45">
      <c r="A348">
        <v>10347</v>
      </c>
      <c r="B348">
        <v>1</v>
      </c>
      <c r="C348">
        <v>95.114999999999995</v>
      </c>
      <c r="D348">
        <v>2.92</v>
      </c>
      <c r="E348">
        <v>0</v>
      </c>
      <c r="F348">
        <v>0</v>
      </c>
      <c r="G348">
        <v>0</v>
      </c>
      <c r="H348">
        <v>1.84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Y348">
        <v>1</v>
      </c>
      <c r="Z348">
        <v>0</v>
      </c>
      <c r="AA348">
        <v>0</v>
      </c>
      <c r="AB348">
        <v>0</v>
      </c>
      <c r="AC348">
        <v>1</v>
      </c>
      <c r="AD348">
        <v>845</v>
      </c>
      <c r="AE348">
        <v>0.5</v>
      </c>
      <c r="AF348">
        <v>1</v>
      </c>
      <c r="AG348">
        <v>0</v>
      </c>
      <c r="AH348">
        <v>0</v>
      </c>
      <c r="AI348">
        <v>1</v>
      </c>
      <c r="AJ348">
        <v>520</v>
      </c>
      <c r="AK348">
        <v>8</v>
      </c>
      <c r="AL348">
        <v>0</v>
      </c>
      <c r="AM348">
        <v>1</v>
      </c>
      <c r="AN348">
        <v>0</v>
      </c>
      <c r="AO348">
        <v>2.4160000000000004</v>
      </c>
      <c r="AP348">
        <v>2.92</v>
      </c>
      <c r="AQ348">
        <v>859.79599999999994</v>
      </c>
      <c r="AS348">
        <v>1245</v>
      </c>
      <c r="AT348">
        <v>1300</v>
      </c>
      <c r="AU348">
        <v>3.8</v>
      </c>
      <c r="AX348" t="s">
        <v>108</v>
      </c>
    </row>
    <row r="349" spans="1:50" x14ac:dyDescent="0.45">
      <c r="A349">
        <v>10348</v>
      </c>
      <c r="B349">
        <v>1</v>
      </c>
      <c r="C349">
        <v>95.114999999999995</v>
      </c>
      <c r="D349">
        <v>2.92</v>
      </c>
      <c r="E349">
        <v>0</v>
      </c>
      <c r="F349">
        <v>0</v>
      </c>
      <c r="G349">
        <v>0</v>
      </c>
      <c r="H349">
        <v>1.84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Y349">
        <v>1</v>
      </c>
      <c r="Z349">
        <v>0</v>
      </c>
      <c r="AA349">
        <v>0</v>
      </c>
      <c r="AB349">
        <v>0</v>
      </c>
      <c r="AC349">
        <v>1</v>
      </c>
      <c r="AD349">
        <v>845</v>
      </c>
      <c r="AE349">
        <v>0.5</v>
      </c>
      <c r="AF349">
        <v>1</v>
      </c>
      <c r="AG349">
        <v>0</v>
      </c>
      <c r="AH349">
        <v>0</v>
      </c>
      <c r="AI349">
        <v>1</v>
      </c>
      <c r="AJ349">
        <v>300</v>
      </c>
      <c r="AK349">
        <v>8</v>
      </c>
      <c r="AL349">
        <v>0</v>
      </c>
      <c r="AM349">
        <v>1</v>
      </c>
      <c r="AN349">
        <v>0</v>
      </c>
      <c r="AO349">
        <v>2.4160000000000004</v>
      </c>
      <c r="AP349">
        <v>2.92</v>
      </c>
      <c r="AQ349">
        <v>859.79599999999994</v>
      </c>
      <c r="AS349">
        <v>1230</v>
      </c>
      <c r="AT349">
        <v>1300</v>
      </c>
      <c r="AU349">
        <v>4</v>
      </c>
      <c r="AW349" t="s">
        <v>262</v>
      </c>
      <c r="AX349" t="s">
        <v>108</v>
      </c>
    </row>
    <row r="350" spans="1:50" x14ac:dyDescent="0.45">
      <c r="A350">
        <v>10349</v>
      </c>
      <c r="B350">
        <v>1</v>
      </c>
      <c r="C350">
        <v>95.114999999999995</v>
      </c>
      <c r="D350">
        <v>2.92</v>
      </c>
      <c r="E350">
        <v>0</v>
      </c>
      <c r="F350">
        <v>0</v>
      </c>
      <c r="G350">
        <v>0</v>
      </c>
      <c r="H350">
        <v>1.84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Y350">
        <v>1</v>
      </c>
      <c r="Z350">
        <v>0</v>
      </c>
      <c r="AA350">
        <v>0</v>
      </c>
      <c r="AB350">
        <v>0</v>
      </c>
      <c r="AC350">
        <v>1</v>
      </c>
      <c r="AD350">
        <v>760</v>
      </c>
      <c r="AE350">
        <v>2</v>
      </c>
      <c r="AF350">
        <v>1</v>
      </c>
      <c r="AG350">
        <v>0</v>
      </c>
      <c r="AH350">
        <v>0</v>
      </c>
      <c r="AI350">
        <v>1</v>
      </c>
      <c r="AJ350">
        <v>520</v>
      </c>
      <c r="AK350">
        <v>8</v>
      </c>
      <c r="AL350">
        <v>0</v>
      </c>
      <c r="AM350">
        <v>1</v>
      </c>
      <c r="AN350">
        <v>0</v>
      </c>
      <c r="AO350">
        <v>2.4160000000000004</v>
      </c>
      <c r="AP350">
        <v>2.92</v>
      </c>
      <c r="AQ350">
        <v>859.79599999999994</v>
      </c>
      <c r="AS350">
        <v>1150</v>
      </c>
      <c r="AT350">
        <v>1170</v>
      </c>
      <c r="AU350">
        <v>12</v>
      </c>
      <c r="AX350" t="s">
        <v>108</v>
      </c>
    </row>
    <row r="351" spans="1:50" x14ac:dyDescent="0.45">
      <c r="A351">
        <v>10350</v>
      </c>
      <c r="B351">
        <v>1</v>
      </c>
      <c r="C351">
        <v>95.114999999999995</v>
      </c>
      <c r="D351">
        <v>2.92</v>
      </c>
      <c r="E351">
        <v>0</v>
      </c>
      <c r="F351">
        <v>0</v>
      </c>
      <c r="G351">
        <v>0</v>
      </c>
      <c r="H351">
        <v>1.84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740</v>
      </c>
      <c r="X351">
        <v>40</v>
      </c>
      <c r="Y351">
        <v>0</v>
      </c>
      <c r="Z351">
        <v>1</v>
      </c>
      <c r="AA351">
        <v>0</v>
      </c>
      <c r="AB351">
        <v>0</v>
      </c>
      <c r="AC351">
        <v>0</v>
      </c>
      <c r="AI351">
        <v>1</v>
      </c>
      <c r="AJ351">
        <v>500</v>
      </c>
      <c r="AK351">
        <v>8</v>
      </c>
      <c r="AL351">
        <v>0</v>
      </c>
      <c r="AM351">
        <v>1</v>
      </c>
      <c r="AN351">
        <v>0</v>
      </c>
      <c r="AO351">
        <v>2.4160000000000004</v>
      </c>
      <c r="AP351">
        <v>2.92</v>
      </c>
      <c r="AQ351">
        <v>859.79599999999994</v>
      </c>
      <c r="AS351">
        <v>1096.01</v>
      </c>
      <c r="AT351">
        <v>1104.43</v>
      </c>
      <c r="AU351">
        <v>12.867800000000001</v>
      </c>
      <c r="AX351" t="s">
        <v>108</v>
      </c>
    </row>
    <row r="352" spans="1:50" x14ac:dyDescent="0.45">
      <c r="A352">
        <v>10351</v>
      </c>
      <c r="B352">
        <v>1</v>
      </c>
      <c r="C352">
        <v>95.114999999999995</v>
      </c>
      <c r="D352">
        <v>2.92</v>
      </c>
      <c r="E352">
        <v>0</v>
      </c>
      <c r="F352">
        <v>0</v>
      </c>
      <c r="G352">
        <v>0</v>
      </c>
      <c r="H352">
        <v>1.84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780</v>
      </c>
      <c r="X352">
        <v>40</v>
      </c>
      <c r="Y352">
        <v>0</v>
      </c>
      <c r="Z352">
        <v>1</v>
      </c>
      <c r="AA352">
        <v>0</v>
      </c>
      <c r="AB352">
        <v>0</v>
      </c>
      <c r="AC352">
        <v>0</v>
      </c>
      <c r="AI352">
        <v>1</v>
      </c>
      <c r="AJ352">
        <v>500</v>
      </c>
      <c r="AK352">
        <v>8</v>
      </c>
      <c r="AL352">
        <v>0</v>
      </c>
      <c r="AM352">
        <v>1</v>
      </c>
      <c r="AN352">
        <v>0</v>
      </c>
      <c r="AO352">
        <v>2.4160000000000004</v>
      </c>
      <c r="AP352">
        <v>2.92</v>
      </c>
      <c r="AQ352">
        <v>859.79599999999994</v>
      </c>
      <c r="AS352">
        <v>1113.93</v>
      </c>
      <c r="AT352">
        <v>1149.71</v>
      </c>
      <c r="AU352">
        <v>11.575699999999999</v>
      </c>
      <c r="AX352" t="s">
        <v>108</v>
      </c>
    </row>
    <row r="353" spans="1:50" x14ac:dyDescent="0.45">
      <c r="A353">
        <v>10352</v>
      </c>
      <c r="B353">
        <v>1</v>
      </c>
      <c r="C353">
        <v>95.114999999999995</v>
      </c>
      <c r="D353">
        <v>2.92</v>
      </c>
      <c r="E353">
        <v>0</v>
      </c>
      <c r="F353">
        <v>0</v>
      </c>
      <c r="G353">
        <v>0</v>
      </c>
      <c r="H353">
        <v>1.84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845</v>
      </c>
      <c r="X353">
        <v>40</v>
      </c>
      <c r="Y353">
        <v>0</v>
      </c>
      <c r="Z353">
        <v>1</v>
      </c>
      <c r="AA353">
        <v>0</v>
      </c>
      <c r="AB353">
        <v>0</v>
      </c>
      <c r="AC353">
        <v>0</v>
      </c>
      <c r="AI353">
        <v>1</v>
      </c>
      <c r="AJ353">
        <v>500</v>
      </c>
      <c r="AK353">
        <v>8</v>
      </c>
      <c r="AL353">
        <v>0</v>
      </c>
      <c r="AM353">
        <v>1</v>
      </c>
      <c r="AN353">
        <v>0</v>
      </c>
      <c r="AO353">
        <v>2.4160000000000004</v>
      </c>
      <c r="AP353">
        <v>2.92</v>
      </c>
      <c r="AQ353">
        <v>859.79599999999994</v>
      </c>
      <c r="AS353">
        <v>1270.0999999999999</v>
      </c>
      <c r="AT353">
        <v>1327.61</v>
      </c>
      <c r="AU353">
        <v>2.5588600000000001</v>
      </c>
      <c r="AX353" t="s">
        <v>108</v>
      </c>
    </row>
    <row r="354" spans="1:50" x14ac:dyDescent="0.45">
      <c r="A354">
        <v>10353</v>
      </c>
      <c r="B354">
        <v>1</v>
      </c>
      <c r="C354">
        <v>95.114999999999995</v>
      </c>
      <c r="D354">
        <v>2.92</v>
      </c>
      <c r="E354">
        <v>0</v>
      </c>
      <c r="F354">
        <v>0</v>
      </c>
      <c r="G354">
        <v>0</v>
      </c>
      <c r="H354">
        <v>1.84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1</v>
      </c>
      <c r="W354">
        <v>700</v>
      </c>
      <c r="X354">
        <v>35</v>
      </c>
      <c r="Y354">
        <v>0</v>
      </c>
      <c r="Z354">
        <v>1</v>
      </c>
      <c r="AA354">
        <v>0</v>
      </c>
      <c r="AB354">
        <v>0</v>
      </c>
      <c r="AC354">
        <v>0</v>
      </c>
      <c r="AI354">
        <v>1</v>
      </c>
      <c r="AJ354">
        <v>500</v>
      </c>
      <c r="AK354">
        <v>8</v>
      </c>
      <c r="AL354">
        <v>0</v>
      </c>
      <c r="AM354">
        <v>1</v>
      </c>
      <c r="AN354">
        <v>0</v>
      </c>
      <c r="AO354">
        <v>2.4160000000000004</v>
      </c>
      <c r="AP354">
        <v>2.92</v>
      </c>
      <c r="AQ354">
        <v>859.79599999999994</v>
      </c>
      <c r="AS354">
        <v>1105.03</v>
      </c>
      <c r="AT354">
        <v>1124.68</v>
      </c>
      <c r="AU354">
        <v>13.8583</v>
      </c>
      <c r="AX354" t="s">
        <v>108</v>
      </c>
    </row>
    <row r="355" spans="1:50" x14ac:dyDescent="0.45">
      <c r="A355">
        <v>10354</v>
      </c>
      <c r="B355">
        <v>1</v>
      </c>
      <c r="C355">
        <v>95.114999999999995</v>
      </c>
      <c r="D355">
        <v>2.92</v>
      </c>
      <c r="E355">
        <v>0</v>
      </c>
      <c r="F355">
        <v>0</v>
      </c>
      <c r="G355">
        <v>0</v>
      </c>
      <c r="H355">
        <v>1.84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1</v>
      </c>
      <c r="W355">
        <v>700</v>
      </c>
      <c r="X355">
        <v>45</v>
      </c>
      <c r="Y355">
        <v>0</v>
      </c>
      <c r="Z355">
        <v>1</v>
      </c>
      <c r="AA355">
        <v>0</v>
      </c>
      <c r="AB355">
        <v>0</v>
      </c>
      <c r="AC355">
        <v>0</v>
      </c>
      <c r="AI355">
        <v>1</v>
      </c>
      <c r="AJ355">
        <v>500</v>
      </c>
      <c r="AK355">
        <v>8</v>
      </c>
      <c r="AL355">
        <v>0</v>
      </c>
      <c r="AM355">
        <v>1</v>
      </c>
      <c r="AN355">
        <v>0</v>
      </c>
      <c r="AO355">
        <v>2.4160000000000004</v>
      </c>
      <c r="AP355">
        <v>2.92</v>
      </c>
      <c r="AQ355">
        <v>859.79599999999994</v>
      </c>
      <c r="AS355">
        <v>1115.05</v>
      </c>
      <c r="AT355">
        <v>1145.02</v>
      </c>
      <c r="AU355">
        <v>16.062999999999999</v>
      </c>
      <c r="AX355" t="s">
        <v>108</v>
      </c>
    </row>
    <row r="356" spans="1:50" x14ac:dyDescent="0.45">
      <c r="A356">
        <v>10355</v>
      </c>
      <c r="B356">
        <v>1</v>
      </c>
      <c r="C356">
        <v>95.114999999999995</v>
      </c>
      <c r="D356">
        <v>2.92</v>
      </c>
      <c r="E356">
        <v>0</v>
      </c>
      <c r="F356">
        <v>0</v>
      </c>
      <c r="G356">
        <v>0</v>
      </c>
      <c r="H356">
        <v>1.84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1</v>
      </c>
      <c r="W356">
        <v>780</v>
      </c>
      <c r="X356">
        <v>45</v>
      </c>
      <c r="Y356">
        <v>0</v>
      </c>
      <c r="Z356">
        <v>1</v>
      </c>
      <c r="AA356">
        <v>0</v>
      </c>
      <c r="AB356">
        <v>0</v>
      </c>
      <c r="AC356">
        <v>0</v>
      </c>
      <c r="AI356">
        <v>1</v>
      </c>
      <c r="AJ356">
        <v>500</v>
      </c>
      <c r="AK356">
        <v>8</v>
      </c>
      <c r="AL356">
        <v>0</v>
      </c>
      <c r="AM356">
        <v>1</v>
      </c>
      <c r="AN356">
        <v>0</v>
      </c>
      <c r="AO356">
        <v>2.4160000000000004</v>
      </c>
      <c r="AP356">
        <v>2.92</v>
      </c>
      <c r="AQ356">
        <v>859.79599999999994</v>
      </c>
      <c r="AS356">
        <v>1120</v>
      </c>
      <c r="AT356">
        <v>1155</v>
      </c>
      <c r="AU356">
        <v>16.8</v>
      </c>
      <c r="AW356" t="s">
        <v>263</v>
      </c>
      <c r="AX356" t="s">
        <v>108</v>
      </c>
    </row>
    <row r="357" spans="1:50" x14ac:dyDescent="0.45">
      <c r="A357">
        <v>10356</v>
      </c>
      <c r="B357">
        <v>1</v>
      </c>
      <c r="C357">
        <v>95.114999999999995</v>
      </c>
      <c r="D357">
        <v>2.92</v>
      </c>
      <c r="E357">
        <v>0</v>
      </c>
      <c r="F357">
        <v>0</v>
      </c>
      <c r="G357">
        <v>0</v>
      </c>
      <c r="H357">
        <v>1.84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1</v>
      </c>
      <c r="W357">
        <v>845</v>
      </c>
      <c r="X357">
        <v>45</v>
      </c>
      <c r="Y357">
        <v>0</v>
      </c>
      <c r="Z357">
        <v>1</v>
      </c>
      <c r="AA357">
        <v>0</v>
      </c>
      <c r="AB357">
        <v>0</v>
      </c>
      <c r="AC357">
        <v>0</v>
      </c>
      <c r="AI357">
        <v>1</v>
      </c>
      <c r="AJ357">
        <v>500</v>
      </c>
      <c r="AK357">
        <v>8</v>
      </c>
      <c r="AL357">
        <v>0</v>
      </c>
      <c r="AM357">
        <v>1</v>
      </c>
      <c r="AN357">
        <v>0</v>
      </c>
      <c r="AO357">
        <v>2.4160000000000004</v>
      </c>
      <c r="AP357">
        <v>2.92</v>
      </c>
      <c r="AQ357">
        <v>859.79599999999994</v>
      </c>
      <c r="AS357">
        <v>1270</v>
      </c>
      <c r="AT357">
        <v>1330</v>
      </c>
      <c r="AU357">
        <v>7.5</v>
      </c>
      <c r="AW357" t="s">
        <v>264</v>
      </c>
      <c r="AX357" t="s">
        <v>108</v>
      </c>
    </row>
    <row r="358" spans="1:50" x14ac:dyDescent="0.45">
      <c r="A358">
        <v>10357</v>
      </c>
      <c r="B358">
        <v>1</v>
      </c>
      <c r="C358">
        <v>95.114999999999995</v>
      </c>
      <c r="D358">
        <v>2.92</v>
      </c>
      <c r="E358">
        <v>0</v>
      </c>
      <c r="F358">
        <v>0</v>
      </c>
      <c r="G358">
        <v>0</v>
      </c>
      <c r="H358">
        <v>1.84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1</v>
      </c>
      <c r="W358">
        <v>700</v>
      </c>
      <c r="X358">
        <v>50</v>
      </c>
      <c r="Y358">
        <v>0</v>
      </c>
      <c r="Z358">
        <v>1</v>
      </c>
      <c r="AA358">
        <v>0</v>
      </c>
      <c r="AB358">
        <v>0</v>
      </c>
      <c r="AC358">
        <v>0</v>
      </c>
      <c r="AI358">
        <v>1</v>
      </c>
      <c r="AJ358">
        <v>500</v>
      </c>
      <c r="AK358">
        <v>8</v>
      </c>
      <c r="AL358">
        <v>0</v>
      </c>
      <c r="AM358">
        <v>1</v>
      </c>
      <c r="AN358">
        <v>0</v>
      </c>
      <c r="AO358">
        <v>2.4160000000000004</v>
      </c>
      <c r="AP358">
        <v>2.92</v>
      </c>
      <c r="AQ358">
        <v>859.79599999999994</v>
      </c>
      <c r="AS358">
        <v>1120.31</v>
      </c>
      <c r="AT358">
        <v>1134.8499999999999</v>
      </c>
      <c r="AU358">
        <v>15.7874</v>
      </c>
      <c r="AW358" t="s">
        <v>265</v>
      </c>
      <c r="AX358" t="s">
        <v>108</v>
      </c>
    </row>
    <row r="359" spans="1:50" x14ac:dyDescent="0.45">
      <c r="A359">
        <v>10358</v>
      </c>
      <c r="B359">
        <v>1</v>
      </c>
      <c r="C359">
        <v>95.114999999999995</v>
      </c>
      <c r="D359">
        <v>2.92</v>
      </c>
      <c r="E359">
        <v>0</v>
      </c>
      <c r="F359">
        <v>0</v>
      </c>
      <c r="G359">
        <v>0</v>
      </c>
      <c r="H359">
        <v>1.84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1</v>
      </c>
      <c r="W359">
        <v>780</v>
      </c>
      <c r="X359">
        <v>45</v>
      </c>
      <c r="Y359">
        <v>0</v>
      </c>
      <c r="Z359">
        <v>1</v>
      </c>
      <c r="AA359">
        <v>0</v>
      </c>
      <c r="AB359">
        <v>0</v>
      </c>
      <c r="AC359">
        <v>0</v>
      </c>
      <c r="AI359">
        <v>1</v>
      </c>
      <c r="AJ359">
        <v>300</v>
      </c>
      <c r="AK359">
        <v>8</v>
      </c>
      <c r="AL359">
        <v>0</v>
      </c>
      <c r="AM359">
        <v>1</v>
      </c>
      <c r="AN359">
        <v>0</v>
      </c>
      <c r="AO359">
        <v>2.4160000000000004</v>
      </c>
      <c r="AP359">
        <v>2.92</v>
      </c>
      <c r="AQ359">
        <v>859.79599999999994</v>
      </c>
      <c r="AS359">
        <v>1233</v>
      </c>
      <c r="AT359">
        <v>1260</v>
      </c>
      <c r="AU359">
        <v>13.2</v>
      </c>
      <c r="AW359" t="s">
        <v>266</v>
      </c>
      <c r="AX359" t="s">
        <v>108</v>
      </c>
    </row>
    <row r="360" spans="1:50" x14ac:dyDescent="0.45">
      <c r="A360">
        <v>10359</v>
      </c>
      <c r="B360">
        <v>1</v>
      </c>
      <c r="C360">
        <v>95.114999999999995</v>
      </c>
      <c r="D360">
        <v>2.92</v>
      </c>
      <c r="E360">
        <v>0</v>
      </c>
      <c r="F360">
        <v>0</v>
      </c>
      <c r="G360">
        <v>0</v>
      </c>
      <c r="H360">
        <v>1.84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</v>
      </c>
      <c r="W360">
        <v>780</v>
      </c>
      <c r="X360">
        <v>45</v>
      </c>
      <c r="Y360">
        <v>0</v>
      </c>
      <c r="Z360">
        <v>1</v>
      </c>
      <c r="AA360">
        <v>0</v>
      </c>
      <c r="AB360">
        <v>0</v>
      </c>
      <c r="AC360">
        <v>0</v>
      </c>
      <c r="AI360">
        <v>1</v>
      </c>
      <c r="AJ360">
        <v>300</v>
      </c>
      <c r="AK360">
        <v>8</v>
      </c>
      <c r="AL360">
        <v>0</v>
      </c>
      <c r="AM360">
        <v>1</v>
      </c>
      <c r="AN360">
        <v>0</v>
      </c>
      <c r="AO360">
        <v>2.4160000000000004</v>
      </c>
      <c r="AP360">
        <v>2.92</v>
      </c>
      <c r="AQ360">
        <v>859.79599999999994</v>
      </c>
      <c r="AS360">
        <v>1195</v>
      </c>
      <c r="AT360">
        <v>1230</v>
      </c>
      <c r="AU360">
        <v>16</v>
      </c>
      <c r="AW360" t="s">
        <v>267</v>
      </c>
      <c r="AX360" t="s">
        <v>108</v>
      </c>
    </row>
    <row r="361" spans="1:50" x14ac:dyDescent="0.45">
      <c r="A361">
        <v>10360</v>
      </c>
      <c r="B361">
        <v>1</v>
      </c>
      <c r="C361">
        <v>95.114999999999995</v>
      </c>
      <c r="D361">
        <v>2.92</v>
      </c>
      <c r="E361">
        <v>0</v>
      </c>
      <c r="F361">
        <v>0</v>
      </c>
      <c r="G361">
        <v>0</v>
      </c>
      <c r="H361">
        <v>1.84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845</v>
      </c>
      <c r="X361">
        <v>45</v>
      </c>
      <c r="Y361">
        <v>0</v>
      </c>
      <c r="Z361">
        <v>1</v>
      </c>
      <c r="AA361">
        <v>0</v>
      </c>
      <c r="AB361">
        <v>0</v>
      </c>
      <c r="AC361">
        <v>0</v>
      </c>
      <c r="AI361">
        <v>1</v>
      </c>
      <c r="AJ361">
        <v>300</v>
      </c>
      <c r="AK361">
        <v>8</v>
      </c>
      <c r="AL361">
        <v>0</v>
      </c>
      <c r="AM361">
        <v>1</v>
      </c>
      <c r="AN361">
        <v>0</v>
      </c>
      <c r="AO361">
        <v>2.4160000000000004</v>
      </c>
      <c r="AP361">
        <v>2.92</v>
      </c>
      <c r="AQ361">
        <v>859.79599999999994</v>
      </c>
      <c r="AS361">
        <v>1265</v>
      </c>
      <c r="AT361">
        <v>1355</v>
      </c>
      <c r="AU361">
        <v>2.8</v>
      </c>
      <c r="AW361" t="s">
        <v>268</v>
      </c>
      <c r="AX361" t="s">
        <v>108</v>
      </c>
    </row>
    <row r="362" spans="1:50" x14ac:dyDescent="0.45">
      <c r="A362">
        <v>10361</v>
      </c>
      <c r="B362">
        <v>1</v>
      </c>
      <c r="C362">
        <v>95.114999999999995</v>
      </c>
      <c r="D362">
        <v>2.92</v>
      </c>
      <c r="E362">
        <v>0</v>
      </c>
      <c r="F362">
        <v>0</v>
      </c>
      <c r="G362">
        <v>0</v>
      </c>
      <c r="H362">
        <v>1.84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845</v>
      </c>
      <c r="X362">
        <v>45</v>
      </c>
      <c r="Y362">
        <v>0</v>
      </c>
      <c r="Z362">
        <v>1</v>
      </c>
      <c r="AA362">
        <v>0</v>
      </c>
      <c r="AB362">
        <v>0</v>
      </c>
      <c r="AC362">
        <v>1</v>
      </c>
      <c r="AD362">
        <v>780</v>
      </c>
      <c r="AE362">
        <v>1</v>
      </c>
      <c r="AF362">
        <v>1</v>
      </c>
      <c r="AG362">
        <v>0</v>
      </c>
      <c r="AH362">
        <v>0</v>
      </c>
      <c r="AI362">
        <v>1</v>
      </c>
      <c r="AJ362">
        <v>520</v>
      </c>
      <c r="AK362">
        <v>8</v>
      </c>
      <c r="AL362">
        <v>0</v>
      </c>
      <c r="AM362">
        <v>1</v>
      </c>
      <c r="AN362">
        <v>0</v>
      </c>
      <c r="AO362">
        <v>2.4160000000000004</v>
      </c>
      <c r="AP362">
        <v>2.92</v>
      </c>
      <c r="AQ362">
        <v>859.79599999999994</v>
      </c>
      <c r="AS362">
        <v>1200</v>
      </c>
      <c r="AT362">
        <v>1250</v>
      </c>
      <c r="AU362">
        <v>10.5</v>
      </c>
      <c r="AW362" t="s">
        <v>269</v>
      </c>
      <c r="AX362" t="s">
        <v>108</v>
      </c>
    </row>
    <row r="363" spans="1:50" x14ac:dyDescent="0.45">
      <c r="A363">
        <v>10362</v>
      </c>
      <c r="B363">
        <v>1</v>
      </c>
      <c r="C363">
        <v>95.114999999999995</v>
      </c>
      <c r="D363">
        <v>2.92</v>
      </c>
      <c r="E363">
        <v>0</v>
      </c>
      <c r="F363">
        <v>0</v>
      </c>
      <c r="G363">
        <v>0</v>
      </c>
      <c r="H363">
        <v>1.84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845</v>
      </c>
      <c r="X363">
        <v>45</v>
      </c>
      <c r="Y363">
        <v>0</v>
      </c>
      <c r="Z363">
        <v>1</v>
      </c>
      <c r="AA363">
        <v>0</v>
      </c>
      <c r="AB363">
        <v>0</v>
      </c>
      <c r="AC363">
        <v>1</v>
      </c>
      <c r="AD363">
        <v>780</v>
      </c>
      <c r="AE363">
        <v>1</v>
      </c>
      <c r="AF363">
        <v>1</v>
      </c>
      <c r="AG363">
        <v>0</v>
      </c>
      <c r="AH363">
        <v>0</v>
      </c>
      <c r="AI363">
        <v>1</v>
      </c>
      <c r="AJ363">
        <v>520</v>
      </c>
      <c r="AK363">
        <v>8</v>
      </c>
      <c r="AL363">
        <v>0</v>
      </c>
      <c r="AM363">
        <v>1</v>
      </c>
      <c r="AN363">
        <v>0</v>
      </c>
      <c r="AO363">
        <v>2.4160000000000004</v>
      </c>
      <c r="AP363">
        <v>2.92</v>
      </c>
      <c r="AQ363">
        <v>859.79599999999994</v>
      </c>
      <c r="AS363">
        <v>1203.3</v>
      </c>
      <c r="AT363">
        <v>1263.3</v>
      </c>
      <c r="AU363">
        <v>10.199999999999999</v>
      </c>
      <c r="AX363" t="s">
        <v>108</v>
      </c>
    </row>
    <row r="364" spans="1:50" x14ac:dyDescent="0.45">
      <c r="A364">
        <v>10363</v>
      </c>
      <c r="B364">
        <v>1</v>
      </c>
      <c r="C364">
        <v>95.114999999999995</v>
      </c>
      <c r="D364">
        <v>2.92</v>
      </c>
      <c r="E364">
        <v>0</v>
      </c>
      <c r="F364">
        <v>0</v>
      </c>
      <c r="G364">
        <v>0</v>
      </c>
      <c r="H364">
        <v>1.84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</v>
      </c>
      <c r="X364">
        <v>45</v>
      </c>
      <c r="Y364">
        <v>0</v>
      </c>
      <c r="Z364">
        <v>0</v>
      </c>
      <c r="AA364">
        <v>0</v>
      </c>
      <c r="AB364">
        <v>0</v>
      </c>
      <c r="AC364">
        <v>1</v>
      </c>
      <c r="AD364">
        <v>780</v>
      </c>
      <c r="AE364">
        <v>1</v>
      </c>
      <c r="AF364">
        <v>0</v>
      </c>
      <c r="AG364">
        <v>1</v>
      </c>
      <c r="AH364">
        <v>0</v>
      </c>
      <c r="AI364">
        <v>1</v>
      </c>
      <c r="AJ364">
        <v>520</v>
      </c>
      <c r="AK364">
        <v>8</v>
      </c>
      <c r="AL364">
        <v>0</v>
      </c>
      <c r="AM364">
        <v>1</v>
      </c>
      <c r="AN364">
        <v>0</v>
      </c>
      <c r="AO364">
        <v>2.4160000000000004</v>
      </c>
      <c r="AP364">
        <v>2.92</v>
      </c>
      <c r="AQ364">
        <v>859.79599999999994</v>
      </c>
      <c r="AS364">
        <v>1223.3</v>
      </c>
      <c r="AT364">
        <v>1280</v>
      </c>
      <c r="AU364">
        <v>9.5</v>
      </c>
      <c r="AX364" t="s">
        <v>108</v>
      </c>
    </row>
    <row r="365" spans="1:50" x14ac:dyDescent="0.45">
      <c r="A365">
        <v>10364</v>
      </c>
      <c r="B365">
        <v>1</v>
      </c>
      <c r="C365">
        <v>95.114999999999995</v>
      </c>
      <c r="D365">
        <v>2.92</v>
      </c>
      <c r="E365">
        <v>0</v>
      </c>
      <c r="F365">
        <v>0</v>
      </c>
      <c r="G365">
        <v>0</v>
      </c>
      <c r="H365">
        <v>1.84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X365">
        <v>45</v>
      </c>
      <c r="Y365">
        <v>0</v>
      </c>
      <c r="Z365">
        <v>0</v>
      </c>
      <c r="AA365">
        <v>0</v>
      </c>
      <c r="AB365">
        <v>0</v>
      </c>
      <c r="AC365">
        <v>1</v>
      </c>
      <c r="AD365">
        <v>760</v>
      </c>
      <c r="AE365">
        <v>2</v>
      </c>
      <c r="AF365">
        <v>1</v>
      </c>
      <c r="AG365">
        <v>0</v>
      </c>
      <c r="AH365">
        <v>0</v>
      </c>
      <c r="AI365">
        <v>1</v>
      </c>
      <c r="AJ365">
        <v>520</v>
      </c>
      <c r="AK365">
        <v>8</v>
      </c>
      <c r="AL365">
        <v>0</v>
      </c>
      <c r="AM365">
        <v>1</v>
      </c>
      <c r="AN365">
        <v>0</v>
      </c>
      <c r="AO365">
        <v>2.4160000000000004</v>
      </c>
      <c r="AP365">
        <v>2.92</v>
      </c>
      <c r="AQ365">
        <v>859.79599999999994</v>
      </c>
      <c r="AS365">
        <v>1188</v>
      </c>
      <c r="AT365">
        <v>1245</v>
      </c>
      <c r="AU365">
        <v>10.3</v>
      </c>
      <c r="AX365" t="s">
        <v>108</v>
      </c>
    </row>
    <row r="366" spans="1:50" x14ac:dyDescent="0.45">
      <c r="A366">
        <v>10365</v>
      </c>
      <c r="B366">
        <v>1</v>
      </c>
      <c r="C366">
        <v>95.114999999999995</v>
      </c>
      <c r="D366">
        <v>2.92</v>
      </c>
      <c r="E366">
        <v>0</v>
      </c>
      <c r="F366">
        <v>0</v>
      </c>
      <c r="G366">
        <v>0</v>
      </c>
      <c r="H366">
        <v>1.84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1</v>
      </c>
      <c r="X366">
        <v>45</v>
      </c>
      <c r="Y366">
        <v>0</v>
      </c>
      <c r="Z366">
        <v>0</v>
      </c>
      <c r="AA366">
        <v>0</v>
      </c>
      <c r="AB366">
        <v>0</v>
      </c>
      <c r="AC366">
        <v>1</v>
      </c>
      <c r="AD366">
        <v>760</v>
      </c>
      <c r="AE366">
        <v>2</v>
      </c>
      <c r="AF366">
        <v>1</v>
      </c>
      <c r="AG366">
        <v>0</v>
      </c>
      <c r="AH366">
        <v>0</v>
      </c>
      <c r="AI366">
        <v>1</v>
      </c>
      <c r="AJ366">
        <v>540</v>
      </c>
      <c r="AK366">
        <v>8</v>
      </c>
      <c r="AL366">
        <v>0</v>
      </c>
      <c r="AM366">
        <v>1</v>
      </c>
      <c r="AN366">
        <v>0</v>
      </c>
      <c r="AO366">
        <v>2.4160000000000004</v>
      </c>
      <c r="AP366">
        <v>2.92</v>
      </c>
      <c r="AQ366">
        <v>859.79599999999994</v>
      </c>
      <c r="AS366">
        <v>1170</v>
      </c>
      <c r="AT366">
        <v>1222</v>
      </c>
      <c r="AU366">
        <v>11.6</v>
      </c>
      <c r="AX366" t="s">
        <v>108</v>
      </c>
    </row>
    <row r="367" spans="1:50" x14ac:dyDescent="0.45">
      <c r="A367">
        <v>10366</v>
      </c>
      <c r="B367">
        <v>1</v>
      </c>
      <c r="C367">
        <v>95.114999999999995</v>
      </c>
      <c r="D367">
        <v>2.92</v>
      </c>
      <c r="E367">
        <v>0</v>
      </c>
      <c r="F367">
        <v>0</v>
      </c>
      <c r="G367">
        <v>0</v>
      </c>
      <c r="H367">
        <v>1.84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X367">
        <v>45</v>
      </c>
      <c r="Y367">
        <v>0</v>
      </c>
      <c r="Z367">
        <v>0</v>
      </c>
      <c r="AA367">
        <v>0</v>
      </c>
      <c r="AB367">
        <v>0</v>
      </c>
      <c r="AC367">
        <v>1</v>
      </c>
      <c r="AD367">
        <v>760</v>
      </c>
      <c r="AE367">
        <v>2</v>
      </c>
      <c r="AF367">
        <v>1</v>
      </c>
      <c r="AG367">
        <v>0</v>
      </c>
      <c r="AH367">
        <v>0</v>
      </c>
      <c r="AI367">
        <v>1</v>
      </c>
      <c r="AJ367">
        <v>580</v>
      </c>
      <c r="AK367">
        <v>8</v>
      </c>
      <c r="AL367">
        <v>0</v>
      </c>
      <c r="AM367">
        <v>1</v>
      </c>
      <c r="AN367">
        <v>0</v>
      </c>
      <c r="AO367">
        <v>2.4160000000000004</v>
      </c>
      <c r="AP367">
        <v>2.92</v>
      </c>
      <c r="AQ367">
        <v>859.79599999999994</v>
      </c>
      <c r="AS367">
        <v>1018</v>
      </c>
      <c r="AT367">
        <v>1048</v>
      </c>
      <c r="AU367">
        <v>17.3</v>
      </c>
      <c r="AX367" t="s">
        <v>108</v>
      </c>
    </row>
    <row r="368" spans="1:50" x14ac:dyDescent="0.45">
      <c r="A368">
        <v>10367</v>
      </c>
      <c r="B368">
        <v>1</v>
      </c>
      <c r="C368">
        <v>95.114999999999995</v>
      </c>
      <c r="D368">
        <v>2.92</v>
      </c>
      <c r="E368">
        <v>0</v>
      </c>
      <c r="F368">
        <v>0</v>
      </c>
      <c r="G368">
        <v>0</v>
      </c>
      <c r="H368">
        <v>1.84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1</v>
      </c>
      <c r="X368">
        <v>45</v>
      </c>
      <c r="Y368">
        <v>0</v>
      </c>
      <c r="Z368">
        <v>0</v>
      </c>
      <c r="AA368">
        <v>0</v>
      </c>
      <c r="AB368">
        <v>0</v>
      </c>
      <c r="AC368">
        <v>1</v>
      </c>
      <c r="AD368">
        <v>760</v>
      </c>
      <c r="AE368">
        <v>2</v>
      </c>
      <c r="AF368">
        <v>1</v>
      </c>
      <c r="AG368">
        <v>0</v>
      </c>
      <c r="AH368">
        <v>0</v>
      </c>
      <c r="AI368">
        <v>1</v>
      </c>
      <c r="AJ368">
        <v>620</v>
      </c>
      <c r="AK368">
        <v>8</v>
      </c>
      <c r="AL368">
        <v>0</v>
      </c>
      <c r="AM368">
        <v>1</v>
      </c>
      <c r="AN368">
        <v>0</v>
      </c>
      <c r="AO368">
        <v>2.4160000000000004</v>
      </c>
      <c r="AP368">
        <v>2.92</v>
      </c>
      <c r="AQ368">
        <v>859.79599999999994</v>
      </c>
      <c r="AS368">
        <v>986</v>
      </c>
      <c r="AT368">
        <v>1018</v>
      </c>
      <c r="AU368">
        <v>20</v>
      </c>
      <c r="AW368" t="s">
        <v>270</v>
      </c>
      <c r="AX368" t="s">
        <v>108</v>
      </c>
    </row>
    <row r="369" spans="1:50" x14ac:dyDescent="0.45">
      <c r="A369">
        <v>10368</v>
      </c>
      <c r="B369">
        <v>1</v>
      </c>
      <c r="C369">
        <v>87</v>
      </c>
      <c r="D369">
        <v>6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7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1</v>
      </c>
      <c r="Y369">
        <v>0</v>
      </c>
      <c r="Z369">
        <v>1</v>
      </c>
      <c r="AA369">
        <v>0</v>
      </c>
      <c r="AB369">
        <v>0</v>
      </c>
      <c r="AC369">
        <v>0</v>
      </c>
      <c r="AI369">
        <v>0</v>
      </c>
      <c r="AO369">
        <v>-4.04</v>
      </c>
      <c r="AP369">
        <v>6</v>
      </c>
      <c r="AQ369">
        <v>894.6</v>
      </c>
      <c r="AT369">
        <v>933</v>
      </c>
      <c r="AU369">
        <v>7.1</v>
      </c>
      <c r="AX369" t="s">
        <v>118</v>
      </c>
    </row>
    <row r="370" spans="1:50" x14ac:dyDescent="0.45">
      <c r="A370">
        <v>10369</v>
      </c>
      <c r="B370">
        <v>1</v>
      </c>
      <c r="C370">
        <v>85.929999999999993</v>
      </c>
      <c r="D370">
        <v>10.51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3.56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1</v>
      </c>
      <c r="Y370">
        <v>0</v>
      </c>
      <c r="Z370">
        <v>1</v>
      </c>
      <c r="AA370">
        <v>0</v>
      </c>
      <c r="AB370">
        <v>0</v>
      </c>
      <c r="AC370">
        <v>1</v>
      </c>
      <c r="AD370">
        <f>AQ370</f>
        <v>904.07100000000003</v>
      </c>
      <c r="AF370">
        <v>0</v>
      </c>
      <c r="AG370">
        <v>1</v>
      </c>
      <c r="AH370">
        <v>0</v>
      </c>
      <c r="AI370">
        <v>0</v>
      </c>
      <c r="AO370">
        <v>-9.5131999999999994</v>
      </c>
      <c r="AP370">
        <v>10.51</v>
      </c>
      <c r="AQ370">
        <v>904.07100000000003</v>
      </c>
      <c r="AR370">
        <v>110</v>
      </c>
      <c r="AS370">
        <v>800</v>
      </c>
      <c r="AX370" t="s">
        <v>60</v>
      </c>
    </row>
    <row r="371" spans="1:50" x14ac:dyDescent="0.45">
      <c r="A371">
        <v>10370</v>
      </c>
      <c r="B371">
        <v>1</v>
      </c>
      <c r="C371">
        <v>88</v>
      </c>
      <c r="D371">
        <v>0</v>
      </c>
      <c r="E371">
        <v>8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4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1</v>
      </c>
      <c r="W371">
        <v>20</v>
      </c>
      <c r="X371">
        <v>86</v>
      </c>
      <c r="Y371">
        <v>0</v>
      </c>
      <c r="Z371">
        <v>1</v>
      </c>
      <c r="AA371">
        <v>0</v>
      </c>
      <c r="AB371">
        <v>0</v>
      </c>
      <c r="AC371">
        <v>1</v>
      </c>
      <c r="AD371">
        <v>950</v>
      </c>
      <c r="AE371">
        <v>2.5</v>
      </c>
      <c r="AF371">
        <v>1</v>
      </c>
      <c r="AG371">
        <v>0</v>
      </c>
      <c r="AH371">
        <v>0</v>
      </c>
      <c r="AI371">
        <v>1</v>
      </c>
      <c r="AJ371">
        <f>0.5*AQ374</f>
        <v>332.87</v>
      </c>
      <c r="AL371">
        <v>0</v>
      </c>
      <c r="AM371">
        <v>1</v>
      </c>
      <c r="AN371">
        <v>0</v>
      </c>
      <c r="AO371">
        <v>5.36</v>
      </c>
      <c r="AP371">
        <v>1.3333333333333333</v>
      </c>
      <c r="AQ371">
        <v>804.4</v>
      </c>
      <c r="AT371">
        <v>1040</v>
      </c>
      <c r="AU371">
        <v>6</v>
      </c>
      <c r="AX371" t="s">
        <v>120</v>
      </c>
    </row>
    <row r="372" spans="1:50" x14ac:dyDescent="0.45">
      <c r="A372">
        <v>10371</v>
      </c>
      <c r="B372">
        <v>1</v>
      </c>
      <c r="C372">
        <v>88</v>
      </c>
      <c r="D372">
        <v>0</v>
      </c>
      <c r="E372">
        <v>8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4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1</v>
      </c>
      <c r="W372">
        <v>20</v>
      </c>
      <c r="X372">
        <v>86</v>
      </c>
      <c r="Y372">
        <v>0</v>
      </c>
      <c r="Z372">
        <v>1</v>
      </c>
      <c r="AA372">
        <v>0</v>
      </c>
      <c r="AB372">
        <v>0</v>
      </c>
      <c r="AC372">
        <v>1</v>
      </c>
      <c r="AD372">
        <v>950</v>
      </c>
      <c r="AE372">
        <v>2.5</v>
      </c>
      <c r="AF372">
        <v>1</v>
      </c>
      <c r="AG372">
        <v>0</v>
      </c>
      <c r="AH372">
        <v>0</v>
      </c>
      <c r="AI372">
        <v>1</v>
      </c>
      <c r="AJ372">
        <v>250</v>
      </c>
      <c r="AK372">
        <v>1.5</v>
      </c>
      <c r="AL372">
        <v>0</v>
      </c>
      <c r="AM372">
        <v>1</v>
      </c>
      <c r="AN372">
        <v>0</v>
      </c>
      <c r="AO372">
        <v>5.36</v>
      </c>
      <c r="AP372">
        <v>1.3333333333333333</v>
      </c>
      <c r="AQ372">
        <v>804.4</v>
      </c>
      <c r="AT372">
        <v>1157.51</v>
      </c>
      <c r="AU372">
        <v>4.79</v>
      </c>
      <c r="AX372" t="s">
        <v>120</v>
      </c>
    </row>
    <row r="373" spans="1:50" x14ac:dyDescent="0.45">
      <c r="A373">
        <v>10372</v>
      </c>
      <c r="B373">
        <v>1</v>
      </c>
      <c r="C373">
        <v>75.3</v>
      </c>
      <c r="D373">
        <v>0</v>
      </c>
      <c r="E373">
        <v>20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4.7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1</v>
      </c>
      <c r="W373">
        <v>20</v>
      </c>
      <c r="X373">
        <v>86</v>
      </c>
      <c r="Y373">
        <v>0</v>
      </c>
      <c r="Z373">
        <v>1</v>
      </c>
      <c r="AA373">
        <v>0</v>
      </c>
      <c r="AB373">
        <v>0</v>
      </c>
      <c r="AC373">
        <v>1</v>
      </c>
      <c r="AD373">
        <v>950</v>
      </c>
      <c r="AE373">
        <v>2.5</v>
      </c>
      <c r="AF373">
        <v>1</v>
      </c>
      <c r="AG373">
        <v>0</v>
      </c>
      <c r="AH373">
        <v>0</v>
      </c>
      <c r="AI373">
        <v>1</v>
      </c>
      <c r="AJ373">
        <f>0.5*AQ376</f>
        <v>381.02</v>
      </c>
      <c r="AL373">
        <v>0</v>
      </c>
      <c r="AM373">
        <v>1</v>
      </c>
      <c r="AN373">
        <v>0</v>
      </c>
      <c r="AO373">
        <v>13.4</v>
      </c>
      <c r="AP373">
        <v>1.5666666666666667</v>
      </c>
      <c r="AQ373">
        <v>665.74</v>
      </c>
      <c r="AT373">
        <v>867.08</v>
      </c>
      <c r="AU373">
        <v>8.2899999999999991</v>
      </c>
      <c r="AX373" t="s">
        <v>120</v>
      </c>
    </row>
    <row r="374" spans="1:50" x14ac:dyDescent="0.45">
      <c r="A374">
        <v>10373</v>
      </c>
      <c r="B374">
        <v>1</v>
      </c>
      <c r="C374">
        <v>75.3</v>
      </c>
      <c r="D374">
        <v>0</v>
      </c>
      <c r="E374">
        <v>20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4.7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1</v>
      </c>
      <c r="W374">
        <v>20</v>
      </c>
      <c r="X374">
        <v>86</v>
      </c>
      <c r="Y374">
        <v>0</v>
      </c>
      <c r="Z374">
        <v>1</v>
      </c>
      <c r="AA374">
        <v>0</v>
      </c>
      <c r="AB374">
        <v>0</v>
      </c>
      <c r="AC374">
        <v>1</v>
      </c>
      <c r="AD374">
        <v>950</v>
      </c>
      <c r="AE374">
        <v>2.5</v>
      </c>
      <c r="AF374">
        <v>1</v>
      </c>
      <c r="AG374">
        <v>0</v>
      </c>
      <c r="AH374">
        <v>0</v>
      </c>
      <c r="AI374">
        <v>1</v>
      </c>
      <c r="AJ374">
        <v>250</v>
      </c>
      <c r="AK374">
        <v>1.5</v>
      </c>
      <c r="AL374">
        <v>0</v>
      </c>
      <c r="AM374">
        <v>1</v>
      </c>
      <c r="AN374">
        <v>0</v>
      </c>
      <c r="AO374">
        <v>13.4</v>
      </c>
      <c r="AP374">
        <v>1.5666666666666667</v>
      </c>
      <c r="AQ374">
        <v>665.74</v>
      </c>
      <c r="AT374">
        <v>1264.1199999999999</v>
      </c>
      <c r="AU374">
        <v>0.5</v>
      </c>
      <c r="AX374" t="s">
        <v>120</v>
      </c>
    </row>
    <row r="375" spans="1:50" x14ac:dyDescent="0.45">
      <c r="A375">
        <v>10374</v>
      </c>
      <c r="B375">
        <v>1</v>
      </c>
      <c r="C375">
        <v>81.849999999999994</v>
      </c>
      <c r="D375">
        <v>4.4000000000000004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13.6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Y375">
        <v>1</v>
      </c>
      <c r="Z375">
        <v>0</v>
      </c>
      <c r="AA375">
        <v>0</v>
      </c>
      <c r="AB375">
        <v>0</v>
      </c>
      <c r="AC375">
        <v>1</v>
      </c>
      <c r="AD375">
        <v>900</v>
      </c>
      <c r="AE375">
        <v>0.5</v>
      </c>
      <c r="AF375">
        <v>1</v>
      </c>
      <c r="AG375">
        <v>0</v>
      </c>
      <c r="AH375">
        <v>0</v>
      </c>
      <c r="AI375">
        <v>1</v>
      </c>
      <c r="AJ375">
        <v>500</v>
      </c>
      <c r="AK375">
        <v>4</v>
      </c>
      <c r="AL375">
        <v>0</v>
      </c>
      <c r="AM375">
        <v>1</v>
      </c>
      <c r="AN375">
        <v>0</v>
      </c>
      <c r="AO375">
        <v>9.1999999999999993</v>
      </c>
      <c r="AP375">
        <v>4.4000000000000004</v>
      </c>
      <c r="AQ375">
        <v>762.04</v>
      </c>
      <c r="AS375">
        <v>1290</v>
      </c>
      <c r="AT375">
        <v>1393.33</v>
      </c>
      <c r="AU375">
        <v>5.67</v>
      </c>
      <c r="AX375" t="s">
        <v>108</v>
      </c>
    </row>
    <row r="376" spans="1:50" x14ac:dyDescent="0.45">
      <c r="A376">
        <v>10375</v>
      </c>
      <c r="B376">
        <v>1</v>
      </c>
      <c r="C376">
        <v>81.849999999999994</v>
      </c>
      <c r="D376">
        <v>4.4000000000000004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13.6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Y376">
        <v>1</v>
      </c>
      <c r="Z376">
        <v>0</v>
      </c>
      <c r="AA376">
        <v>0</v>
      </c>
      <c r="AB376">
        <v>0</v>
      </c>
      <c r="AC376">
        <v>1</v>
      </c>
      <c r="AD376">
        <v>900</v>
      </c>
      <c r="AE376">
        <v>0.5</v>
      </c>
      <c r="AF376">
        <v>1</v>
      </c>
      <c r="AG376">
        <v>0</v>
      </c>
      <c r="AH376">
        <v>0</v>
      </c>
      <c r="AI376">
        <v>1</v>
      </c>
      <c r="AJ376">
        <v>600</v>
      </c>
      <c r="AK376">
        <v>4</v>
      </c>
      <c r="AL376">
        <v>0</v>
      </c>
      <c r="AM376">
        <v>1</v>
      </c>
      <c r="AN376">
        <v>0</v>
      </c>
      <c r="AO376">
        <v>9.1999999999999993</v>
      </c>
      <c r="AP376">
        <v>4.4000000000000004</v>
      </c>
      <c r="AQ376">
        <v>762.04</v>
      </c>
      <c r="AS376">
        <v>1020</v>
      </c>
      <c r="AT376">
        <v>1116.67</v>
      </c>
      <c r="AU376">
        <v>12.5</v>
      </c>
      <c r="AX376" t="s">
        <v>108</v>
      </c>
    </row>
    <row r="377" spans="1:50" x14ac:dyDescent="0.45">
      <c r="A377">
        <v>10376</v>
      </c>
      <c r="B377">
        <v>1</v>
      </c>
      <c r="C377">
        <v>81.849999999999994</v>
      </c>
      <c r="D377">
        <v>4.4000000000000004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13.6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Y377">
        <v>1</v>
      </c>
      <c r="Z377">
        <v>0</v>
      </c>
      <c r="AA377">
        <v>0</v>
      </c>
      <c r="AB377">
        <v>0</v>
      </c>
      <c r="AC377">
        <v>1</v>
      </c>
      <c r="AD377">
        <v>900</v>
      </c>
      <c r="AE377">
        <v>0.5</v>
      </c>
      <c r="AF377">
        <v>1</v>
      </c>
      <c r="AG377">
        <v>0</v>
      </c>
      <c r="AH377">
        <v>0</v>
      </c>
      <c r="AI377">
        <v>1</v>
      </c>
      <c r="AJ377">
        <v>700</v>
      </c>
      <c r="AK377">
        <v>4</v>
      </c>
      <c r="AL377">
        <v>0</v>
      </c>
      <c r="AM377">
        <v>1</v>
      </c>
      <c r="AN377">
        <v>0</v>
      </c>
      <c r="AO377">
        <v>9.1999999999999993</v>
      </c>
      <c r="AP377">
        <v>4.4000000000000004</v>
      </c>
      <c r="AQ377">
        <v>762.04</v>
      </c>
      <c r="AS377">
        <v>898.33</v>
      </c>
      <c r="AT377">
        <v>945</v>
      </c>
      <c r="AU377">
        <v>18.670000000000002</v>
      </c>
      <c r="AX377" t="s">
        <v>108</v>
      </c>
    </row>
    <row r="378" spans="1:50" x14ac:dyDescent="0.45">
      <c r="A378">
        <v>10377</v>
      </c>
      <c r="B378">
        <v>1</v>
      </c>
      <c r="C378">
        <v>93.61</v>
      </c>
      <c r="D378">
        <v>0</v>
      </c>
      <c r="E378">
        <v>0</v>
      </c>
      <c r="F378">
        <v>0</v>
      </c>
      <c r="G378">
        <v>0</v>
      </c>
      <c r="H378">
        <v>3.9800000000000004</v>
      </c>
      <c r="I378">
        <v>0</v>
      </c>
      <c r="J378">
        <v>0</v>
      </c>
      <c r="K378">
        <v>0</v>
      </c>
      <c r="L378">
        <v>2.42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1</v>
      </c>
      <c r="Y378">
        <v>0</v>
      </c>
      <c r="Z378">
        <v>1</v>
      </c>
      <c r="AA378">
        <v>0</v>
      </c>
      <c r="AB378">
        <v>0</v>
      </c>
      <c r="AC378">
        <v>1</v>
      </c>
      <c r="AD378">
        <f>AQ378</f>
        <v>797.71799999999996</v>
      </c>
      <c r="AF378">
        <v>1</v>
      </c>
      <c r="AG378">
        <v>0</v>
      </c>
      <c r="AH378">
        <v>0</v>
      </c>
      <c r="AI378">
        <v>0</v>
      </c>
      <c r="AO378">
        <v>13.962000000000002</v>
      </c>
      <c r="AP378">
        <v>0</v>
      </c>
      <c r="AQ378">
        <v>797.71799999999996</v>
      </c>
      <c r="AR378">
        <v>83</v>
      </c>
      <c r="AS378">
        <v>936</v>
      </c>
      <c r="AX378" t="s">
        <v>60</v>
      </c>
    </row>
    <row r="379" spans="1:50" x14ac:dyDescent="0.45">
      <c r="A379">
        <v>10378</v>
      </c>
      <c r="B379">
        <v>1</v>
      </c>
      <c r="C379">
        <v>93.44</v>
      </c>
      <c r="D379">
        <v>0</v>
      </c>
      <c r="E379">
        <v>0</v>
      </c>
      <c r="F379">
        <v>0</v>
      </c>
      <c r="G379">
        <v>0</v>
      </c>
      <c r="H379">
        <v>0.02</v>
      </c>
      <c r="I379">
        <v>0</v>
      </c>
      <c r="J379">
        <v>0</v>
      </c>
      <c r="K379">
        <v>0</v>
      </c>
      <c r="L379">
        <v>6.54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1</v>
      </c>
      <c r="Y379">
        <v>0</v>
      </c>
      <c r="Z379">
        <v>1</v>
      </c>
      <c r="AA379">
        <v>0</v>
      </c>
      <c r="AB379">
        <v>0</v>
      </c>
      <c r="AC379">
        <v>1</v>
      </c>
      <c r="AD379">
        <f>AQ379</f>
        <v>819.56200000000001</v>
      </c>
      <c r="AF379">
        <v>1</v>
      </c>
      <c r="AG379">
        <v>0</v>
      </c>
      <c r="AH379">
        <v>0</v>
      </c>
      <c r="AI379">
        <v>0</v>
      </c>
      <c r="AO379">
        <v>6.5979999999999999</v>
      </c>
      <c r="AP379">
        <v>0</v>
      </c>
      <c r="AQ379">
        <v>819.56200000000001</v>
      </c>
      <c r="AR379">
        <v>78</v>
      </c>
      <c r="AS379">
        <v>481</v>
      </c>
      <c r="AX379" t="s">
        <v>60</v>
      </c>
    </row>
    <row r="380" spans="1:50" x14ac:dyDescent="0.45">
      <c r="A380">
        <v>10379</v>
      </c>
      <c r="B380">
        <v>1</v>
      </c>
      <c r="C380">
        <v>93.61</v>
      </c>
      <c r="D380">
        <v>0</v>
      </c>
      <c r="E380">
        <v>0</v>
      </c>
      <c r="F380">
        <v>0</v>
      </c>
      <c r="G380">
        <v>0</v>
      </c>
      <c r="H380">
        <v>0.02</v>
      </c>
      <c r="I380">
        <v>0</v>
      </c>
      <c r="J380">
        <v>0</v>
      </c>
      <c r="K380">
        <v>0</v>
      </c>
      <c r="L380">
        <v>6.370000000000001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1</v>
      </c>
      <c r="Y380">
        <v>0</v>
      </c>
      <c r="Z380">
        <v>1</v>
      </c>
      <c r="AA380">
        <v>0</v>
      </c>
      <c r="AB380">
        <v>0</v>
      </c>
      <c r="AC380">
        <v>1</v>
      </c>
      <c r="AD380">
        <f>AQ380</f>
        <v>821.17700000000002</v>
      </c>
      <c r="AF380">
        <v>1</v>
      </c>
      <c r="AG380">
        <v>0</v>
      </c>
      <c r="AH380">
        <v>0</v>
      </c>
      <c r="AI380">
        <v>0</v>
      </c>
      <c r="AO380">
        <v>6.4280000000000008</v>
      </c>
      <c r="AP380">
        <v>0</v>
      </c>
      <c r="AQ380">
        <v>821.17700000000002</v>
      </c>
      <c r="AR380">
        <v>84</v>
      </c>
      <c r="AS380">
        <v>480</v>
      </c>
      <c r="AX380" t="s">
        <v>60</v>
      </c>
    </row>
    <row r="381" spans="1:50" x14ac:dyDescent="0.45">
      <c r="A381">
        <v>10380</v>
      </c>
      <c r="B381">
        <v>1</v>
      </c>
      <c r="C381">
        <v>85.11</v>
      </c>
      <c r="D381">
        <v>5.0599999999999996</v>
      </c>
      <c r="E381">
        <v>0</v>
      </c>
      <c r="F381">
        <v>9.68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Y381">
        <v>1</v>
      </c>
      <c r="Z381">
        <v>0</v>
      </c>
      <c r="AA381">
        <v>0</v>
      </c>
      <c r="AB381">
        <v>0</v>
      </c>
      <c r="AC381">
        <v>1</v>
      </c>
      <c r="AD381">
        <v>900</v>
      </c>
      <c r="AE381">
        <v>0.5</v>
      </c>
      <c r="AF381">
        <v>1</v>
      </c>
      <c r="AG381">
        <v>0</v>
      </c>
      <c r="AH381">
        <v>0</v>
      </c>
      <c r="AI381">
        <v>1</v>
      </c>
      <c r="AJ381">
        <v>600</v>
      </c>
      <c r="AK381">
        <v>4</v>
      </c>
      <c r="AL381">
        <v>0</v>
      </c>
      <c r="AM381">
        <v>1</v>
      </c>
      <c r="AN381">
        <v>0</v>
      </c>
      <c r="AO381">
        <v>10.428000000000001</v>
      </c>
      <c r="AP381">
        <v>5.0599999999999996</v>
      </c>
      <c r="AQ381">
        <v>775.49799999999993</v>
      </c>
      <c r="AT381">
        <v>1043.33</v>
      </c>
      <c r="AX381" t="s">
        <v>108</v>
      </c>
    </row>
    <row r="382" spans="1:50" x14ac:dyDescent="0.45">
      <c r="A382">
        <v>10381</v>
      </c>
      <c r="B382">
        <v>1</v>
      </c>
      <c r="C382">
        <v>85.11</v>
      </c>
      <c r="D382">
        <v>5.0599999999999996</v>
      </c>
      <c r="E382">
        <v>0</v>
      </c>
      <c r="F382">
        <v>9.68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Y382">
        <v>1</v>
      </c>
      <c r="Z382">
        <v>0</v>
      </c>
      <c r="AA382">
        <v>0</v>
      </c>
      <c r="AB382">
        <v>0</v>
      </c>
      <c r="AC382">
        <v>1</v>
      </c>
      <c r="AD382">
        <v>900</v>
      </c>
      <c r="AE382">
        <v>0.5</v>
      </c>
      <c r="AF382">
        <v>1</v>
      </c>
      <c r="AG382">
        <v>0</v>
      </c>
      <c r="AH382">
        <v>0</v>
      </c>
      <c r="AI382">
        <v>1</v>
      </c>
      <c r="AJ382">
        <v>700</v>
      </c>
      <c r="AK382">
        <v>4</v>
      </c>
      <c r="AL382">
        <v>0</v>
      </c>
      <c r="AM382">
        <v>1</v>
      </c>
      <c r="AN382">
        <v>0</v>
      </c>
      <c r="AO382">
        <v>10.428000000000001</v>
      </c>
      <c r="AP382">
        <v>5.0599999999999996</v>
      </c>
      <c r="AQ382">
        <v>775.49799999999993</v>
      </c>
      <c r="AT382">
        <v>1143.3</v>
      </c>
      <c r="AX382" t="s">
        <v>108</v>
      </c>
    </row>
    <row r="383" spans="1:50" x14ac:dyDescent="0.45">
      <c r="A383">
        <v>10382</v>
      </c>
      <c r="B383">
        <v>1</v>
      </c>
      <c r="C383">
        <v>94.64</v>
      </c>
      <c r="D383">
        <v>0</v>
      </c>
      <c r="E383">
        <v>0</v>
      </c>
      <c r="F383">
        <v>0</v>
      </c>
      <c r="G383">
        <v>0</v>
      </c>
      <c r="H383">
        <v>3.2800000000000002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2.08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1</v>
      </c>
      <c r="Y383">
        <v>0</v>
      </c>
      <c r="Z383">
        <v>1</v>
      </c>
      <c r="AA383">
        <v>0</v>
      </c>
      <c r="AB383">
        <v>0</v>
      </c>
      <c r="AC383">
        <v>1</v>
      </c>
      <c r="AD383">
        <f>AQ383</f>
        <v>831.48799999999994</v>
      </c>
      <c r="AF383">
        <v>1</v>
      </c>
      <c r="AG383">
        <v>0</v>
      </c>
      <c r="AH383">
        <v>0</v>
      </c>
      <c r="AI383">
        <v>0</v>
      </c>
      <c r="AO383">
        <v>9.9695999999999998</v>
      </c>
      <c r="AP383">
        <v>0</v>
      </c>
      <c r="AQ383">
        <v>831.48799999999994</v>
      </c>
      <c r="AR383">
        <v>110</v>
      </c>
      <c r="AS383">
        <v>1250</v>
      </c>
      <c r="AX383" t="s">
        <v>60</v>
      </c>
    </row>
    <row r="384" spans="1:50" x14ac:dyDescent="0.45">
      <c r="A384">
        <v>10383</v>
      </c>
      <c r="B384">
        <v>1</v>
      </c>
      <c r="C384">
        <v>93.820000000000007</v>
      </c>
      <c r="D384">
        <v>0</v>
      </c>
      <c r="E384">
        <v>0</v>
      </c>
      <c r="F384">
        <v>0</v>
      </c>
      <c r="G384">
        <v>0</v>
      </c>
      <c r="H384">
        <v>3.4299999999999997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2.75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1</v>
      </c>
      <c r="Y384">
        <v>0</v>
      </c>
      <c r="Z384">
        <v>1</v>
      </c>
      <c r="AA384">
        <v>0</v>
      </c>
      <c r="AB384">
        <v>0</v>
      </c>
      <c r="AC384">
        <v>1</v>
      </c>
      <c r="AD384">
        <f>AQ384</f>
        <v>829.178</v>
      </c>
      <c r="AF384">
        <v>1</v>
      </c>
      <c r="AG384">
        <v>0</v>
      </c>
      <c r="AH384">
        <v>0</v>
      </c>
      <c r="AI384">
        <v>0</v>
      </c>
      <c r="AO384">
        <v>10.552</v>
      </c>
      <c r="AP384">
        <v>0</v>
      </c>
      <c r="AQ384">
        <v>829.178</v>
      </c>
      <c r="AR384">
        <v>121</v>
      </c>
      <c r="AS384">
        <v>1360</v>
      </c>
      <c r="AX384" t="s">
        <v>60</v>
      </c>
    </row>
    <row r="385" spans="1:50" x14ac:dyDescent="0.45">
      <c r="A385">
        <v>10384</v>
      </c>
      <c r="B385">
        <v>1</v>
      </c>
      <c r="C385">
        <v>91.41</v>
      </c>
      <c r="D385">
        <v>0</v>
      </c>
      <c r="E385">
        <v>0</v>
      </c>
      <c r="F385">
        <v>0</v>
      </c>
      <c r="G385">
        <v>0</v>
      </c>
      <c r="H385">
        <v>7.1999999999999993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1.39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Y385">
        <v>1</v>
      </c>
      <c r="Z385">
        <v>0</v>
      </c>
      <c r="AA385">
        <v>0</v>
      </c>
      <c r="AB385">
        <v>0</v>
      </c>
      <c r="AC385">
        <v>0</v>
      </c>
      <c r="AI385">
        <v>0</v>
      </c>
      <c r="AO385">
        <v>21.1858</v>
      </c>
      <c r="AP385">
        <v>0</v>
      </c>
      <c r="AQ385">
        <v>771.12</v>
      </c>
      <c r="AR385">
        <v>120</v>
      </c>
      <c r="AS385">
        <v>1103</v>
      </c>
      <c r="AX385" t="s">
        <v>60</v>
      </c>
    </row>
    <row r="386" spans="1:50" x14ac:dyDescent="0.45">
      <c r="A386">
        <v>10385</v>
      </c>
      <c r="B386">
        <v>1</v>
      </c>
      <c r="C386">
        <v>90.35</v>
      </c>
      <c r="D386">
        <v>0</v>
      </c>
      <c r="E386">
        <v>0</v>
      </c>
      <c r="F386">
        <v>0</v>
      </c>
      <c r="G386">
        <v>0</v>
      </c>
      <c r="H386">
        <v>7.3800000000000008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2.2800000000000002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Y386">
        <v>1</v>
      </c>
      <c r="Z386">
        <v>0</v>
      </c>
      <c r="AA386">
        <v>0</v>
      </c>
      <c r="AB386">
        <v>0</v>
      </c>
      <c r="AC386">
        <v>0</v>
      </c>
      <c r="AI386">
        <v>0</v>
      </c>
      <c r="AO386">
        <v>21.903600000000001</v>
      </c>
      <c r="AP386">
        <v>0</v>
      </c>
      <c r="AQ386">
        <v>768.34799999999996</v>
      </c>
      <c r="AR386">
        <v>106</v>
      </c>
      <c r="AS386">
        <v>1050</v>
      </c>
      <c r="AX386" t="s">
        <v>60</v>
      </c>
    </row>
    <row r="387" spans="1:50" x14ac:dyDescent="0.45">
      <c r="A387">
        <v>10386</v>
      </c>
      <c r="B387">
        <v>1</v>
      </c>
      <c r="C387">
        <v>91.52</v>
      </c>
      <c r="D387">
        <v>0</v>
      </c>
      <c r="E387">
        <v>0</v>
      </c>
      <c r="F387">
        <v>0</v>
      </c>
      <c r="G387">
        <v>0</v>
      </c>
      <c r="H387">
        <v>7.93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0.54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Y387">
        <v>1</v>
      </c>
      <c r="Z387">
        <v>0</v>
      </c>
      <c r="AA387">
        <v>0</v>
      </c>
      <c r="AB387">
        <v>0</v>
      </c>
      <c r="AC387">
        <v>0</v>
      </c>
      <c r="AI387">
        <v>0</v>
      </c>
      <c r="AO387">
        <v>23.1158</v>
      </c>
      <c r="AP387">
        <v>0</v>
      </c>
      <c r="AQ387">
        <v>759.87800000000004</v>
      </c>
      <c r="AR387">
        <v>110</v>
      </c>
      <c r="AS387">
        <v>1143</v>
      </c>
      <c r="AX387" t="s">
        <v>60</v>
      </c>
    </row>
    <row r="388" spans="1:50" x14ac:dyDescent="0.45">
      <c r="A388">
        <v>10387</v>
      </c>
      <c r="B388">
        <v>1</v>
      </c>
      <c r="C388">
        <v>90.490000000000009</v>
      </c>
      <c r="D388">
        <v>0</v>
      </c>
      <c r="E388">
        <v>0</v>
      </c>
      <c r="F388">
        <v>0</v>
      </c>
      <c r="G388">
        <v>0</v>
      </c>
      <c r="H388">
        <v>8.1199999999999992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1.39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Y388">
        <v>1</v>
      </c>
      <c r="Z388">
        <v>0</v>
      </c>
      <c r="AA388">
        <v>0</v>
      </c>
      <c r="AB388">
        <v>0</v>
      </c>
      <c r="AC388">
        <v>0</v>
      </c>
      <c r="AI388">
        <v>0</v>
      </c>
      <c r="AO388">
        <v>23.8538</v>
      </c>
      <c r="AP388">
        <v>0</v>
      </c>
      <c r="AQ388">
        <v>756.952</v>
      </c>
      <c r="AR388">
        <v>103</v>
      </c>
      <c r="AS388">
        <v>1079</v>
      </c>
      <c r="AX388" t="s">
        <v>60</v>
      </c>
    </row>
    <row r="389" spans="1:50" x14ac:dyDescent="0.45">
      <c r="A389">
        <v>10388</v>
      </c>
      <c r="B389">
        <v>1</v>
      </c>
      <c r="C389">
        <v>89.039999999999992</v>
      </c>
      <c r="D389">
        <v>0</v>
      </c>
      <c r="E389">
        <v>0</v>
      </c>
      <c r="F389">
        <v>0</v>
      </c>
      <c r="G389">
        <v>0</v>
      </c>
      <c r="H389">
        <v>8.3800000000000008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2.59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Y389">
        <v>1</v>
      </c>
      <c r="Z389">
        <v>0</v>
      </c>
      <c r="AA389">
        <v>0</v>
      </c>
      <c r="AB389">
        <v>0</v>
      </c>
      <c r="AC389">
        <v>0</v>
      </c>
      <c r="AI389">
        <v>0</v>
      </c>
      <c r="AO389">
        <v>24.871800000000004</v>
      </c>
      <c r="AP389">
        <v>0</v>
      </c>
      <c r="AQ389">
        <v>752.94799999999998</v>
      </c>
      <c r="AR389">
        <v>99</v>
      </c>
      <c r="AS389">
        <v>1016</v>
      </c>
      <c r="AX389" t="s">
        <v>60</v>
      </c>
    </row>
    <row r="390" spans="1:50" x14ac:dyDescent="0.45">
      <c r="A390">
        <v>10389</v>
      </c>
      <c r="B390">
        <v>1</v>
      </c>
      <c r="C390">
        <v>87.7</v>
      </c>
      <c r="D390">
        <v>0</v>
      </c>
      <c r="E390">
        <v>0</v>
      </c>
      <c r="F390">
        <v>0</v>
      </c>
      <c r="G390">
        <v>0</v>
      </c>
      <c r="H390">
        <v>9.4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2.9000000000000004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Y390">
        <v>1</v>
      </c>
      <c r="Z390">
        <v>0</v>
      </c>
      <c r="AA390">
        <v>0</v>
      </c>
      <c r="AB390">
        <v>0</v>
      </c>
      <c r="AC390">
        <v>0</v>
      </c>
      <c r="AI390">
        <v>0</v>
      </c>
      <c r="AO390">
        <v>27.898000000000003</v>
      </c>
      <c r="AP390">
        <v>0</v>
      </c>
      <c r="AQ390">
        <v>737.24</v>
      </c>
      <c r="AR390">
        <v>92</v>
      </c>
      <c r="AS390">
        <v>1008</v>
      </c>
      <c r="AW390" t="s">
        <v>271</v>
      </c>
      <c r="AX390" t="s">
        <v>60</v>
      </c>
    </row>
    <row r="391" spans="1:50" x14ac:dyDescent="0.45">
      <c r="A391">
        <v>10390</v>
      </c>
      <c r="B391">
        <v>1</v>
      </c>
      <c r="C391">
        <v>75.94</v>
      </c>
      <c r="D391">
        <v>0</v>
      </c>
      <c r="E391">
        <v>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19.559999999999999</v>
      </c>
      <c r="L391">
        <v>0</v>
      </c>
      <c r="M391">
        <v>0</v>
      </c>
      <c r="N391">
        <v>0</v>
      </c>
      <c r="O391">
        <v>4.5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1</v>
      </c>
      <c r="Y391">
        <v>0</v>
      </c>
      <c r="Z391">
        <v>1</v>
      </c>
      <c r="AA391">
        <v>0</v>
      </c>
      <c r="AB391">
        <v>0</v>
      </c>
      <c r="AC391">
        <v>1</v>
      </c>
      <c r="AD391">
        <f t="shared" ref="AD391:AD402" si="3">AQ391</f>
        <v>882</v>
      </c>
      <c r="AF391">
        <v>1</v>
      </c>
      <c r="AG391">
        <v>0</v>
      </c>
      <c r="AH391">
        <v>0</v>
      </c>
      <c r="AI391">
        <v>0</v>
      </c>
      <c r="AO391">
        <v>6.4668000000000001</v>
      </c>
      <c r="AP391">
        <v>0</v>
      </c>
      <c r="AQ391">
        <v>882</v>
      </c>
      <c r="AR391">
        <v>66</v>
      </c>
      <c r="AS391">
        <v>213</v>
      </c>
      <c r="AX391" t="s">
        <v>60</v>
      </c>
    </row>
    <row r="392" spans="1:50" x14ac:dyDescent="0.45">
      <c r="A392">
        <v>10391</v>
      </c>
      <c r="B392">
        <v>1</v>
      </c>
      <c r="C392">
        <v>71.95</v>
      </c>
      <c r="D392">
        <v>0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18.529999999999998</v>
      </c>
      <c r="L392">
        <v>0</v>
      </c>
      <c r="M392">
        <v>0</v>
      </c>
      <c r="N392">
        <v>0</v>
      </c>
      <c r="O392">
        <v>9.5200000000000014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1</v>
      </c>
      <c r="Y392">
        <v>0</v>
      </c>
      <c r="Z392">
        <v>1</v>
      </c>
      <c r="AA392">
        <v>0</v>
      </c>
      <c r="AB392">
        <v>0</v>
      </c>
      <c r="AC392">
        <v>1</v>
      </c>
      <c r="AD392">
        <f t="shared" si="3"/>
        <v>882</v>
      </c>
      <c r="AF392">
        <v>1</v>
      </c>
      <c r="AG392">
        <v>0</v>
      </c>
      <c r="AH392">
        <v>0</v>
      </c>
      <c r="AI392">
        <v>0</v>
      </c>
      <c r="AO392">
        <v>7.2827999999999999</v>
      </c>
      <c r="AP392">
        <v>0</v>
      </c>
      <c r="AQ392">
        <v>882</v>
      </c>
      <c r="AR392">
        <v>55</v>
      </c>
      <c r="AS392">
        <v>200</v>
      </c>
      <c r="AX392" t="s">
        <v>60</v>
      </c>
    </row>
    <row r="393" spans="1:50" x14ac:dyDescent="0.45">
      <c r="A393">
        <v>10392</v>
      </c>
      <c r="B393">
        <v>1</v>
      </c>
      <c r="C393">
        <v>84.26</v>
      </c>
      <c r="D393">
        <v>0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14.97</v>
      </c>
      <c r="L393">
        <v>0</v>
      </c>
      <c r="M393">
        <v>0</v>
      </c>
      <c r="N393">
        <v>0</v>
      </c>
      <c r="O393">
        <v>0.77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1</v>
      </c>
      <c r="Y393">
        <v>0</v>
      </c>
      <c r="Z393">
        <v>1</v>
      </c>
      <c r="AA393">
        <v>0</v>
      </c>
      <c r="AB393">
        <v>0</v>
      </c>
      <c r="AC393">
        <v>1</v>
      </c>
      <c r="AD393">
        <f t="shared" si="3"/>
        <v>882</v>
      </c>
      <c r="AF393">
        <v>1</v>
      </c>
      <c r="AG393">
        <v>0</v>
      </c>
      <c r="AH393">
        <v>0</v>
      </c>
      <c r="AI393">
        <v>0</v>
      </c>
      <c r="AO393">
        <v>4.3610000000000007</v>
      </c>
      <c r="AP393">
        <v>0</v>
      </c>
      <c r="AQ393">
        <v>882</v>
      </c>
      <c r="AR393">
        <v>71</v>
      </c>
      <c r="AS393">
        <v>374</v>
      </c>
      <c r="AW393" t="s">
        <v>272</v>
      </c>
      <c r="AX393" t="s">
        <v>60</v>
      </c>
    </row>
    <row r="394" spans="1:50" x14ac:dyDescent="0.45">
      <c r="A394">
        <v>10393</v>
      </c>
      <c r="B394">
        <v>1</v>
      </c>
      <c r="C394">
        <v>83.13000000000001</v>
      </c>
      <c r="D394">
        <v>0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15.299999999999999</v>
      </c>
      <c r="L394">
        <v>0</v>
      </c>
      <c r="M394">
        <v>0</v>
      </c>
      <c r="N394">
        <v>0</v>
      </c>
      <c r="O394">
        <v>1.5699999999999998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1</v>
      </c>
      <c r="Y394">
        <v>0</v>
      </c>
      <c r="Z394">
        <v>1</v>
      </c>
      <c r="AA394">
        <v>0</v>
      </c>
      <c r="AB394">
        <v>0</v>
      </c>
      <c r="AC394">
        <v>1</v>
      </c>
      <c r="AD394">
        <f t="shared" si="3"/>
        <v>882</v>
      </c>
      <c r="AF394">
        <v>1</v>
      </c>
      <c r="AG394">
        <v>0</v>
      </c>
      <c r="AH394">
        <v>0</v>
      </c>
      <c r="AI394">
        <v>0</v>
      </c>
      <c r="AO394">
        <v>4.6293999999999995</v>
      </c>
      <c r="AP394">
        <v>0</v>
      </c>
      <c r="AQ394">
        <v>882</v>
      </c>
      <c r="AR394">
        <v>78</v>
      </c>
      <c r="AS394">
        <v>433</v>
      </c>
      <c r="AW394" t="s">
        <v>273</v>
      </c>
      <c r="AX394" t="s">
        <v>60</v>
      </c>
    </row>
    <row r="395" spans="1:50" x14ac:dyDescent="0.45">
      <c r="A395">
        <v>10394</v>
      </c>
      <c r="B395">
        <v>1</v>
      </c>
      <c r="C395">
        <v>81.95</v>
      </c>
      <c r="D395">
        <v>0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15.64</v>
      </c>
      <c r="L395">
        <v>0</v>
      </c>
      <c r="M395">
        <v>0</v>
      </c>
      <c r="N395">
        <v>0</v>
      </c>
      <c r="O395">
        <v>2.41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1</v>
      </c>
      <c r="Y395">
        <v>0</v>
      </c>
      <c r="Z395">
        <v>1</v>
      </c>
      <c r="AA395">
        <v>0</v>
      </c>
      <c r="AB395">
        <v>0</v>
      </c>
      <c r="AC395">
        <v>1</v>
      </c>
      <c r="AD395">
        <f t="shared" si="3"/>
        <v>882</v>
      </c>
      <c r="AF395">
        <v>1</v>
      </c>
      <c r="AG395">
        <v>0</v>
      </c>
      <c r="AH395">
        <v>0</v>
      </c>
      <c r="AI395">
        <v>0</v>
      </c>
      <c r="AO395">
        <v>4.9094000000000007</v>
      </c>
      <c r="AP395">
        <v>0</v>
      </c>
      <c r="AQ395">
        <v>882</v>
      </c>
      <c r="AR395">
        <v>78</v>
      </c>
      <c r="AS395">
        <v>376</v>
      </c>
      <c r="AW395" t="s">
        <v>274</v>
      </c>
      <c r="AX395" t="s">
        <v>60</v>
      </c>
    </row>
    <row r="396" spans="1:50" x14ac:dyDescent="0.45">
      <c r="A396">
        <v>10395</v>
      </c>
      <c r="B396">
        <v>1</v>
      </c>
      <c r="C396">
        <v>80.72</v>
      </c>
      <c r="D396">
        <v>0</v>
      </c>
      <c r="E396">
        <v>0</v>
      </c>
      <c r="F396">
        <v>0</v>
      </c>
      <c r="G396">
        <v>0</v>
      </c>
      <c r="H396">
        <v>0</v>
      </c>
      <c r="I396">
        <v>0</v>
      </c>
      <c r="J396">
        <v>0</v>
      </c>
      <c r="K396">
        <v>18.48</v>
      </c>
      <c r="L396">
        <v>0</v>
      </c>
      <c r="M396">
        <v>0</v>
      </c>
      <c r="N396">
        <v>0</v>
      </c>
      <c r="O396">
        <v>0.79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1</v>
      </c>
      <c r="Y396">
        <v>0</v>
      </c>
      <c r="Z396">
        <v>1</v>
      </c>
      <c r="AA396">
        <v>0</v>
      </c>
      <c r="AB396">
        <v>0</v>
      </c>
      <c r="AC396">
        <v>1</v>
      </c>
      <c r="AD396">
        <f t="shared" si="3"/>
        <v>882</v>
      </c>
      <c r="AF396">
        <v>1</v>
      </c>
      <c r="AG396">
        <v>0</v>
      </c>
      <c r="AH396">
        <v>0</v>
      </c>
      <c r="AI396">
        <v>0</v>
      </c>
      <c r="AO396">
        <v>5.3482000000000003</v>
      </c>
      <c r="AP396">
        <v>0</v>
      </c>
      <c r="AQ396">
        <v>882</v>
      </c>
      <c r="AR396">
        <v>81</v>
      </c>
      <c r="AS396">
        <v>411</v>
      </c>
      <c r="AW396" t="s">
        <v>275</v>
      </c>
      <c r="AX396" t="s">
        <v>60</v>
      </c>
    </row>
    <row r="397" spans="1:50" x14ac:dyDescent="0.45">
      <c r="A397">
        <v>10396</v>
      </c>
      <c r="B397">
        <v>1</v>
      </c>
      <c r="C397">
        <v>79.47999999999999</v>
      </c>
      <c r="D397">
        <v>0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18.899999999999999</v>
      </c>
      <c r="L397">
        <v>0</v>
      </c>
      <c r="M397">
        <v>0</v>
      </c>
      <c r="N397">
        <v>0</v>
      </c>
      <c r="O397">
        <v>1.6199999999999999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1</v>
      </c>
      <c r="Y397">
        <v>0</v>
      </c>
      <c r="Z397">
        <v>1</v>
      </c>
      <c r="AA397">
        <v>0</v>
      </c>
      <c r="AB397">
        <v>0</v>
      </c>
      <c r="AC397">
        <v>1</v>
      </c>
      <c r="AD397">
        <f t="shared" si="3"/>
        <v>882</v>
      </c>
      <c r="AF397">
        <v>1</v>
      </c>
      <c r="AG397">
        <v>0</v>
      </c>
      <c r="AH397">
        <v>0</v>
      </c>
      <c r="AI397">
        <v>0</v>
      </c>
      <c r="AO397">
        <v>5.6483999999999996</v>
      </c>
      <c r="AP397">
        <v>0</v>
      </c>
      <c r="AQ397">
        <v>882</v>
      </c>
      <c r="AR397">
        <v>80</v>
      </c>
      <c r="AS397">
        <v>377</v>
      </c>
      <c r="AX397" t="s">
        <v>60</v>
      </c>
    </row>
    <row r="398" spans="1:50" x14ac:dyDescent="0.45">
      <c r="A398">
        <v>10397</v>
      </c>
      <c r="B398">
        <v>1</v>
      </c>
      <c r="C398">
        <v>78.180000000000007</v>
      </c>
      <c r="D398">
        <v>0</v>
      </c>
      <c r="E398">
        <v>0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19.34</v>
      </c>
      <c r="L398">
        <v>0</v>
      </c>
      <c r="M398">
        <v>0</v>
      </c>
      <c r="N398">
        <v>0</v>
      </c>
      <c r="O398">
        <v>2.48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1</v>
      </c>
      <c r="Y398">
        <v>0</v>
      </c>
      <c r="Z398">
        <v>1</v>
      </c>
      <c r="AA398">
        <v>0</v>
      </c>
      <c r="AB398">
        <v>0</v>
      </c>
      <c r="AC398">
        <v>1</v>
      </c>
      <c r="AD398">
        <f t="shared" si="3"/>
        <v>882</v>
      </c>
      <c r="AF398">
        <v>1</v>
      </c>
      <c r="AG398">
        <v>0</v>
      </c>
      <c r="AH398">
        <v>0</v>
      </c>
      <c r="AI398">
        <v>0</v>
      </c>
      <c r="AO398">
        <v>5.9608000000000008</v>
      </c>
      <c r="AP398">
        <v>0</v>
      </c>
      <c r="AQ398">
        <v>882</v>
      </c>
      <c r="AR398">
        <v>81</v>
      </c>
      <c r="AS398">
        <v>395</v>
      </c>
      <c r="AX398" t="s">
        <v>60</v>
      </c>
    </row>
    <row r="399" spans="1:50" x14ac:dyDescent="0.45">
      <c r="A399">
        <v>10398</v>
      </c>
      <c r="B399">
        <v>1</v>
      </c>
      <c r="C399">
        <v>76.98</v>
      </c>
      <c r="D399">
        <v>0</v>
      </c>
      <c r="E399">
        <v>0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22.21</v>
      </c>
      <c r="L399">
        <v>0</v>
      </c>
      <c r="M399">
        <v>0</v>
      </c>
      <c r="N399">
        <v>0</v>
      </c>
      <c r="O399">
        <v>0.80999999999999994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1</v>
      </c>
      <c r="Y399">
        <v>0</v>
      </c>
      <c r="Z399">
        <v>1</v>
      </c>
      <c r="AA399">
        <v>0</v>
      </c>
      <c r="AB399">
        <v>0</v>
      </c>
      <c r="AC399">
        <v>1</v>
      </c>
      <c r="AD399">
        <f t="shared" si="3"/>
        <v>882</v>
      </c>
      <c r="AF399">
        <v>1</v>
      </c>
      <c r="AG399">
        <v>0</v>
      </c>
      <c r="AH399">
        <v>0</v>
      </c>
      <c r="AI399">
        <v>0</v>
      </c>
      <c r="AO399">
        <v>6.3970000000000011</v>
      </c>
      <c r="AP399">
        <v>0</v>
      </c>
      <c r="AQ399">
        <v>882</v>
      </c>
      <c r="AR399">
        <v>85</v>
      </c>
      <c r="AS399">
        <v>303</v>
      </c>
      <c r="AX399" t="s">
        <v>60</v>
      </c>
    </row>
    <row r="400" spans="1:50" x14ac:dyDescent="0.45">
      <c r="A400">
        <v>10399</v>
      </c>
      <c r="B400">
        <v>1</v>
      </c>
      <c r="C400">
        <v>75.61</v>
      </c>
      <c r="D400">
        <v>0</v>
      </c>
      <c r="E400">
        <v>0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22.720000000000002</v>
      </c>
      <c r="L400">
        <v>0</v>
      </c>
      <c r="M400">
        <v>0</v>
      </c>
      <c r="N400">
        <v>0</v>
      </c>
      <c r="O400">
        <v>1.67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1</v>
      </c>
      <c r="Y400">
        <v>0</v>
      </c>
      <c r="Z400">
        <v>1</v>
      </c>
      <c r="AA400">
        <v>0</v>
      </c>
      <c r="AB400">
        <v>0</v>
      </c>
      <c r="AC400">
        <v>1</v>
      </c>
      <c r="AD400">
        <f t="shared" si="3"/>
        <v>882</v>
      </c>
      <c r="AF400">
        <v>1</v>
      </c>
      <c r="AG400">
        <v>0</v>
      </c>
      <c r="AH400">
        <v>0</v>
      </c>
      <c r="AI400">
        <v>0</v>
      </c>
      <c r="AO400">
        <v>6.729000000000001</v>
      </c>
      <c r="AP400">
        <v>0</v>
      </c>
      <c r="AQ400">
        <v>882</v>
      </c>
      <c r="AR400">
        <v>84</v>
      </c>
      <c r="AS400">
        <v>340</v>
      </c>
      <c r="AX400" t="s">
        <v>60</v>
      </c>
    </row>
    <row r="401" spans="1:50" x14ac:dyDescent="0.45">
      <c r="A401">
        <v>10400</v>
      </c>
      <c r="B401">
        <v>1</v>
      </c>
      <c r="C401">
        <v>74.180000000000007</v>
      </c>
      <c r="D401">
        <v>0</v>
      </c>
      <c r="E401">
        <v>0</v>
      </c>
      <c r="F401">
        <v>0</v>
      </c>
      <c r="G401">
        <v>0</v>
      </c>
      <c r="H401">
        <v>0</v>
      </c>
      <c r="I401">
        <v>0</v>
      </c>
      <c r="J401">
        <v>0</v>
      </c>
      <c r="K401">
        <v>23.26</v>
      </c>
      <c r="L401">
        <v>0</v>
      </c>
      <c r="M401">
        <v>0</v>
      </c>
      <c r="N401">
        <v>0</v>
      </c>
      <c r="O401">
        <v>2.56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1</v>
      </c>
      <c r="Y401">
        <v>0</v>
      </c>
      <c r="Z401">
        <v>1</v>
      </c>
      <c r="AA401">
        <v>0</v>
      </c>
      <c r="AB401">
        <v>0</v>
      </c>
      <c r="AC401">
        <v>1</v>
      </c>
      <c r="AD401">
        <f t="shared" si="3"/>
        <v>882</v>
      </c>
      <c r="AF401">
        <v>1</v>
      </c>
      <c r="AG401">
        <v>0</v>
      </c>
      <c r="AH401">
        <v>0</v>
      </c>
      <c r="AI401">
        <v>0</v>
      </c>
      <c r="AO401">
        <v>7.0760000000000014</v>
      </c>
      <c r="AP401">
        <v>0</v>
      </c>
      <c r="AQ401">
        <v>882</v>
      </c>
      <c r="AR401">
        <v>90</v>
      </c>
      <c r="AS401">
        <v>314</v>
      </c>
      <c r="AX401" t="s">
        <v>60</v>
      </c>
    </row>
    <row r="402" spans="1:50" x14ac:dyDescent="0.45">
      <c r="A402">
        <v>10401</v>
      </c>
      <c r="B402">
        <v>1</v>
      </c>
      <c r="C402">
        <v>77</v>
      </c>
      <c r="D402">
        <v>0</v>
      </c>
      <c r="E402">
        <v>0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22</v>
      </c>
      <c r="L402">
        <v>0</v>
      </c>
      <c r="M402">
        <v>0</v>
      </c>
      <c r="N402">
        <v>0</v>
      </c>
      <c r="O402">
        <v>1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1</v>
      </c>
      <c r="Y402">
        <v>0</v>
      </c>
      <c r="Z402">
        <v>1</v>
      </c>
      <c r="AA402">
        <v>0</v>
      </c>
      <c r="AB402">
        <v>0</v>
      </c>
      <c r="AC402">
        <v>1</v>
      </c>
      <c r="AD402">
        <f t="shared" si="3"/>
        <v>882</v>
      </c>
      <c r="AF402">
        <v>1</v>
      </c>
      <c r="AG402">
        <v>0</v>
      </c>
      <c r="AH402">
        <v>0</v>
      </c>
      <c r="AI402">
        <v>0</v>
      </c>
      <c r="AO402">
        <v>6.38</v>
      </c>
      <c r="AP402">
        <v>0</v>
      </c>
      <c r="AQ402">
        <v>882</v>
      </c>
      <c r="AR402">
        <v>72</v>
      </c>
      <c r="AS402">
        <v>401</v>
      </c>
      <c r="AX402" t="s">
        <v>60</v>
      </c>
    </row>
    <row r="403" spans="1:50" x14ac:dyDescent="0.45">
      <c r="A403">
        <v>10402</v>
      </c>
      <c r="B403">
        <v>1</v>
      </c>
      <c r="C403">
        <v>71.95</v>
      </c>
      <c r="D403">
        <v>0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18.53</v>
      </c>
      <c r="L403">
        <v>0</v>
      </c>
      <c r="M403">
        <v>0</v>
      </c>
      <c r="N403">
        <v>0</v>
      </c>
      <c r="O403">
        <v>9.52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Y403">
        <v>1</v>
      </c>
      <c r="Z403">
        <v>0</v>
      </c>
      <c r="AA403">
        <v>0</v>
      </c>
      <c r="AB403">
        <v>0</v>
      </c>
      <c r="AC403">
        <v>0</v>
      </c>
      <c r="AI403">
        <v>0</v>
      </c>
      <c r="AO403">
        <v>7.2827999999999999</v>
      </c>
      <c r="AP403">
        <v>0</v>
      </c>
      <c r="AQ403">
        <v>882</v>
      </c>
      <c r="AR403">
        <v>55</v>
      </c>
    </row>
    <row r="404" spans="1:50" x14ac:dyDescent="0.45">
      <c r="A404">
        <v>10403</v>
      </c>
      <c r="B404">
        <v>1</v>
      </c>
      <c r="C404">
        <v>75.94</v>
      </c>
      <c r="D404">
        <v>0</v>
      </c>
      <c r="E404">
        <v>0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19.559999999999999</v>
      </c>
      <c r="L404">
        <v>0</v>
      </c>
      <c r="M404">
        <v>0</v>
      </c>
      <c r="N404">
        <v>0</v>
      </c>
      <c r="O404">
        <v>4.5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Y404">
        <v>1</v>
      </c>
      <c r="Z404">
        <v>0</v>
      </c>
      <c r="AA404">
        <v>0</v>
      </c>
      <c r="AB404">
        <v>0</v>
      </c>
      <c r="AC404">
        <v>0</v>
      </c>
      <c r="AI404">
        <v>0</v>
      </c>
      <c r="AO404">
        <v>6.4668000000000001</v>
      </c>
      <c r="AP404">
        <v>0</v>
      </c>
      <c r="AQ404">
        <v>882</v>
      </c>
      <c r="AR404">
        <v>63</v>
      </c>
    </row>
    <row r="405" spans="1:50" x14ac:dyDescent="0.45">
      <c r="A405">
        <v>10404</v>
      </c>
      <c r="B405">
        <v>1</v>
      </c>
      <c r="C405">
        <v>58.430000000000007</v>
      </c>
      <c r="D405">
        <v>10.91</v>
      </c>
      <c r="E405">
        <v>0</v>
      </c>
      <c r="F405">
        <v>0</v>
      </c>
      <c r="G405">
        <v>0</v>
      </c>
      <c r="H405">
        <v>0</v>
      </c>
      <c r="I405">
        <v>0</v>
      </c>
      <c r="J405">
        <v>30.659999999999997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Y405">
        <v>0</v>
      </c>
      <c r="Z405">
        <v>1</v>
      </c>
      <c r="AA405">
        <v>0</v>
      </c>
      <c r="AB405">
        <v>0</v>
      </c>
      <c r="AC405">
        <v>1</v>
      </c>
      <c r="AD405">
        <f>AQ405</f>
        <v>693.35700000000008</v>
      </c>
      <c r="AF405">
        <v>1</v>
      </c>
      <c r="AG405">
        <v>0</v>
      </c>
      <c r="AH405">
        <v>0</v>
      </c>
      <c r="AI405">
        <v>0</v>
      </c>
      <c r="AO405">
        <v>-10.91</v>
      </c>
      <c r="AP405">
        <v>16.02</v>
      </c>
      <c r="AQ405">
        <v>693.35700000000008</v>
      </c>
      <c r="AR405">
        <v>100</v>
      </c>
      <c r="AS405">
        <v>1710</v>
      </c>
      <c r="AX405" t="s">
        <v>60</v>
      </c>
    </row>
    <row r="406" spans="1:50" x14ac:dyDescent="0.45">
      <c r="A406">
        <v>10405</v>
      </c>
      <c r="B406">
        <v>1</v>
      </c>
      <c r="C406">
        <v>91.91</v>
      </c>
      <c r="D406">
        <v>0</v>
      </c>
      <c r="E406">
        <v>0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6.63</v>
      </c>
      <c r="M406">
        <v>0</v>
      </c>
      <c r="N406">
        <v>0</v>
      </c>
      <c r="O406">
        <v>1.46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Y406">
        <v>1</v>
      </c>
      <c r="Z406">
        <v>0</v>
      </c>
      <c r="AA406">
        <v>0</v>
      </c>
      <c r="AB406">
        <v>0</v>
      </c>
      <c r="AC406">
        <v>0</v>
      </c>
      <c r="AI406">
        <v>0</v>
      </c>
      <c r="AO406">
        <v>6.9512</v>
      </c>
      <c r="AP406">
        <v>0</v>
      </c>
      <c r="AQ406">
        <v>819.01499999999999</v>
      </c>
      <c r="AR406">
        <v>74</v>
      </c>
    </row>
    <row r="407" spans="1:50" x14ac:dyDescent="0.45">
      <c r="A407">
        <v>10406</v>
      </c>
      <c r="B407">
        <v>1</v>
      </c>
      <c r="C407">
        <v>53.4</v>
      </c>
      <c r="D407">
        <v>0</v>
      </c>
      <c r="E407">
        <v>0</v>
      </c>
      <c r="F407">
        <v>0</v>
      </c>
      <c r="G407">
        <v>0</v>
      </c>
      <c r="H407">
        <v>0</v>
      </c>
      <c r="I407">
        <v>0</v>
      </c>
      <c r="J407">
        <v>4.5999999999999996</v>
      </c>
      <c r="K407">
        <v>29</v>
      </c>
      <c r="L407">
        <v>0</v>
      </c>
      <c r="M407">
        <v>0</v>
      </c>
      <c r="N407">
        <v>0</v>
      </c>
      <c r="O407">
        <v>13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Y407">
        <v>1</v>
      </c>
      <c r="Z407">
        <v>0</v>
      </c>
      <c r="AA407">
        <v>0</v>
      </c>
      <c r="AB407">
        <v>0</v>
      </c>
      <c r="AC407">
        <v>1</v>
      </c>
      <c r="AD407">
        <v>800</v>
      </c>
      <c r="AE407">
        <v>1</v>
      </c>
      <c r="AF407">
        <v>1</v>
      </c>
      <c r="AG407">
        <v>0</v>
      </c>
      <c r="AH407">
        <v>0</v>
      </c>
      <c r="AI407">
        <v>0</v>
      </c>
      <c r="AO407">
        <v>10.98</v>
      </c>
      <c r="AP407">
        <v>0.76666666666666661</v>
      </c>
      <c r="AQ407">
        <v>850.26</v>
      </c>
      <c r="AR407">
        <v>42</v>
      </c>
      <c r="AS407">
        <v>88</v>
      </c>
      <c r="AT407">
        <v>421</v>
      </c>
      <c r="AU407">
        <v>80.34</v>
      </c>
      <c r="AX407" t="s">
        <v>121</v>
      </c>
    </row>
    <row r="408" spans="1:50" x14ac:dyDescent="0.45">
      <c r="A408">
        <v>10407</v>
      </c>
      <c r="B408">
        <v>1</v>
      </c>
      <c r="C408">
        <v>53.4</v>
      </c>
      <c r="D408">
        <v>0</v>
      </c>
      <c r="E408">
        <v>0</v>
      </c>
      <c r="F408">
        <v>0</v>
      </c>
      <c r="G408">
        <v>0</v>
      </c>
      <c r="H408">
        <v>0</v>
      </c>
      <c r="I408">
        <v>0</v>
      </c>
      <c r="J408">
        <v>4.5999999999999996</v>
      </c>
      <c r="K408">
        <v>29</v>
      </c>
      <c r="L408">
        <v>0</v>
      </c>
      <c r="M408">
        <v>0</v>
      </c>
      <c r="N408">
        <v>0</v>
      </c>
      <c r="O408">
        <v>13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20</v>
      </c>
      <c r="X408">
        <v>88.75</v>
      </c>
      <c r="Y408">
        <v>0</v>
      </c>
      <c r="Z408">
        <v>1</v>
      </c>
      <c r="AA408">
        <v>0</v>
      </c>
      <c r="AB408">
        <v>0</v>
      </c>
      <c r="AC408">
        <v>1</v>
      </c>
      <c r="AD408">
        <v>800</v>
      </c>
      <c r="AE408">
        <v>1</v>
      </c>
      <c r="AF408">
        <v>1</v>
      </c>
      <c r="AG408">
        <v>0</v>
      </c>
      <c r="AH408">
        <v>0</v>
      </c>
      <c r="AI408">
        <v>0</v>
      </c>
      <c r="AO408">
        <v>10.98</v>
      </c>
      <c r="AP408">
        <v>0.76666666666666661</v>
      </c>
      <c r="AQ408">
        <v>850.26</v>
      </c>
      <c r="AR408">
        <v>46</v>
      </c>
      <c r="AS408">
        <v>356</v>
      </c>
      <c r="AT408">
        <v>686</v>
      </c>
      <c r="AU408">
        <v>4.7300000000000004</v>
      </c>
      <c r="AX408" t="s">
        <v>121</v>
      </c>
    </row>
    <row r="409" spans="1:50" x14ac:dyDescent="0.45">
      <c r="A409">
        <v>10408</v>
      </c>
      <c r="B409">
        <v>1</v>
      </c>
      <c r="C409">
        <v>53.4</v>
      </c>
      <c r="D409">
        <v>0</v>
      </c>
      <c r="E409">
        <v>0</v>
      </c>
      <c r="F409">
        <v>0</v>
      </c>
      <c r="G409">
        <v>0</v>
      </c>
      <c r="H409">
        <v>0</v>
      </c>
      <c r="I409">
        <v>0</v>
      </c>
      <c r="J409">
        <v>4.5999999999999996</v>
      </c>
      <c r="K409">
        <v>29</v>
      </c>
      <c r="L409">
        <v>0</v>
      </c>
      <c r="M409">
        <v>0</v>
      </c>
      <c r="N409">
        <v>0</v>
      </c>
      <c r="O409">
        <v>13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20</v>
      </c>
      <c r="X409">
        <v>88.75</v>
      </c>
      <c r="Y409">
        <v>0</v>
      </c>
      <c r="Z409">
        <v>1</v>
      </c>
      <c r="AA409">
        <v>0</v>
      </c>
      <c r="AB409">
        <v>0</v>
      </c>
      <c r="AC409">
        <v>1</v>
      </c>
      <c r="AD409">
        <v>800</v>
      </c>
      <c r="AE409">
        <v>1</v>
      </c>
      <c r="AF409">
        <v>1</v>
      </c>
      <c r="AG409">
        <v>0</v>
      </c>
      <c r="AH409">
        <v>0</v>
      </c>
      <c r="AI409">
        <v>1</v>
      </c>
      <c r="AJ409">
        <v>400</v>
      </c>
      <c r="AK409">
        <v>0.33</v>
      </c>
      <c r="AL409">
        <v>1</v>
      </c>
      <c r="AM409">
        <v>0</v>
      </c>
      <c r="AN409">
        <v>0</v>
      </c>
      <c r="AO409">
        <v>10.98</v>
      </c>
      <c r="AP409">
        <v>0.76666666666666661</v>
      </c>
      <c r="AQ409">
        <v>850.26</v>
      </c>
      <c r="AR409">
        <v>48</v>
      </c>
      <c r="AS409">
        <v>920</v>
      </c>
      <c r="AT409">
        <v>967</v>
      </c>
      <c r="AU409">
        <v>2.91</v>
      </c>
      <c r="AX409" t="s">
        <v>121</v>
      </c>
    </row>
    <row r="410" spans="1:50" x14ac:dyDescent="0.45">
      <c r="A410">
        <v>10409</v>
      </c>
      <c r="B410">
        <v>1</v>
      </c>
      <c r="C410">
        <v>53.4</v>
      </c>
      <c r="D410">
        <v>0</v>
      </c>
      <c r="E410">
        <v>0</v>
      </c>
      <c r="F410">
        <v>0</v>
      </c>
      <c r="G410">
        <v>0</v>
      </c>
      <c r="H410">
        <v>0</v>
      </c>
      <c r="I410">
        <v>0</v>
      </c>
      <c r="J410">
        <v>4.5999999999999996</v>
      </c>
      <c r="K410">
        <v>29</v>
      </c>
      <c r="L410">
        <v>0</v>
      </c>
      <c r="M410">
        <v>0</v>
      </c>
      <c r="N410">
        <v>0</v>
      </c>
      <c r="O410">
        <v>13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1</v>
      </c>
      <c r="W410">
        <v>20</v>
      </c>
      <c r="X410">
        <v>88.75</v>
      </c>
      <c r="Y410">
        <v>0</v>
      </c>
      <c r="Z410">
        <v>1</v>
      </c>
      <c r="AA410">
        <v>0</v>
      </c>
      <c r="AB410">
        <v>0</v>
      </c>
      <c r="AC410">
        <v>1</v>
      </c>
      <c r="AD410">
        <v>800</v>
      </c>
      <c r="AE410">
        <v>1</v>
      </c>
      <c r="AF410">
        <v>1</v>
      </c>
      <c r="AG410">
        <v>0</v>
      </c>
      <c r="AH410">
        <v>0</v>
      </c>
      <c r="AI410">
        <v>1</v>
      </c>
      <c r="AJ410">
        <v>400</v>
      </c>
      <c r="AK410">
        <v>1.67</v>
      </c>
      <c r="AL410">
        <v>1</v>
      </c>
      <c r="AM410">
        <v>0</v>
      </c>
      <c r="AN410">
        <v>0</v>
      </c>
      <c r="AO410">
        <v>10.98</v>
      </c>
      <c r="AP410">
        <v>0.76666666666666661</v>
      </c>
      <c r="AQ410">
        <v>850.26</v>
      </c>
      <c r="AR410">
        <v>83</v>
      </c>
      <c r="AS410">
        <v>1180</v>
      </c>
      <c r="AT410">
        <v>1192</v>
      </c>
      <c r="AU410">
        <v>1.66</v>
      </c>
      <c r="AX410" t="s">
        <v>121</v>
      </c>
    </row>
    <row r="411" spans="1:50" x14ac:dyDescent="0.45">
      <c r="A411">
        <v>10410</v>
      </c>
      <c r="B411">
        <v>1</v>
      </c>
      <c r="C411">
        <v>53</v>
      </c>
      <c r="D411">
        <v>0</v>
      </c>
      <c r="E411">
        <v>0</v>
      </c>
      <c r="F411">
        <v>0</v>
      </c>
      <c r="G411">
        <v>0</v>
      </c>
      <c r="H411">
        <v>0</v>
      </c>
      <c r="I411">
        <v>0</v>
      </c>
      <c r="J411">
        <v>7</v>
      </c>
      <c r="K411">
        <v>35</v>
      </c>
      <c r="L411">
        <v>0</v>
      </c>
      <c r="M411">
        <v>0</v>
      </c>
      <c r="N411">
        <v>0</v>
      </c>
      <c r="O411">
        <v>5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Y411">
        <v>1</v>
      </c>
      <c r="Z411">
        <v>0</v>
      </c>
      <c r="AA411">
        <v>0</v>
      </c>
      <c r="AB411">
        <v>0</v>
      </c>
      <c r="AC411">
        <v>1</v>
      </c>
      <c r="AD411">
        <v>850</v>
      </c>
      <c r="AE411">
        <v>0.5</v>
      </c>
      <c r="AF411">
        <v>1</v>
      </c>
      <c r="AG411">
        <v>0</v>
      </c>
      <c r="AH411">
        <v>0</v>
      </c>
      <c r="AI411">
        <v>0</v>
      </c>
      <c r="AO411">
        <v>10.9</v>
      </c>
      <c r="AP411">
        <v>1.1666666666666667</v>
      </c>
      <c r="AQ411">
        <v>833.7</v>
      </c>
      <c r="AT411">
        <v>480</v>
      </c>
      <c r="AU411">
        <v>22.13</v>
      </c>
      <c r="AX411" t="s">
        <v>122</v>
      </c>
    </row>
    <row r="412" spans="1:50" x14ac:dyDescent="0.45">
      <c r="A412">
        <v>10411</v>
      </c>
      <c r="B412">
        <v>1</v>
      </c>
      <c r="C412">
        <v>53</v>
      </c>
      <c r="D412">
        <v>0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7</v>
      </c>
      <c r="K412">
        <v>35</v>
      </c>
      <c r="L412">
        <v>0</v>
      </c>
      <c r="M412">
        <v>0</v>
      </c>
      <c r="N412">
        <v>0</v>
      </c>
      <c r="O412">
        <v>5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Y412">
        <v>1</v>
      </c>
      <c r="Z412">
        <v>0</v>
      </c>
      <c r="AA412">
        <v>0</v>
      </c>
      <c r="AB412">
        <v>0</v>
      </c>
      <c r="AC412">
        <v>1</v>
      </c>
      <c r="AD412">
        <v>850</v>
      </c>
      <c r="AE412">
        <v>0.5</v>
      </c>
      <c r="AF412">
        <v>1</v>
      </c>
      <c r="AG412">
        <v>0</v>
      </c>
      <c r="AH412">
        <v>0</v>
      </c>
      <c r="AI412">
        <v>1</v>
      </c>
      <c r="AJ412">
        <v>400</v>
      </c>
      <c r="AK412">
        <v>12</v>
      </c>
      <c r="AL412">
        <v>1</v>
      </c>
      <c r="AM412">
        <v>0</v>
      </c>
      <c r="AN412">
        <v>0</v>
      </c>
      <c r="AO412">
        <v>10.9</v>
      </c>
      <c r="AP412">
        <v>1.1666666666666667</v>
      </c>
      <c r="AQ412">
        <v>833.7</v>
      </c>
      <c r="AT412">
        <v>492</v>
      </c>
      <c r="AU412">
        <v>6.17</v>
      </c>
      <c r="AX412" t="s">
        <v>122</v>
      </c>
    </row>
    <row r="413" spans="1:50" x14ac:dyDescent="0.45">
      <c r="A413">
        <v>10412</v>
      </c>
      <c r="B413">
        <v>1</v>
      </c>
      <c r="C413">
        <v>53</v>
      </c>
      <c r="D413">
        <v>0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7</v>
      </c>
      <c r="K413">
        <v>35</v>
      </c>
      <c r="L413">
        <v>0</v>
      </c>
      <c r="M413">
        <v>0</v>
      </c>
      <c r="N413">
        <v>0</v>
      </c>
      <c r="O413">
        <v>5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Y413">
        <v>1</v>
      </c>
      <c r="Z413">
        <v>0</v>
      </c>
      <c r="AA413">
        <v>0</v>
      </c>
      <c r="AB413">
        <v>0</v>
      </c>
      <c r="AC413">
        <v>1</v>
      </c>
      <c r="AD413">
        <v>850</v>
      </c>
      <c r="AE413">
        <v>0.5</v>
      </c>
      <c r="AF413">
        <v>1</v>
      </c>
      <c r="AG413">
        <v>0</v>
      </c>
      <c r="AH413">
        <v>0</v>
      </c>
      <c r="AI413">
        <v>1</v>
      </c>
      <c r="AJ413">
        <v>450</v>
      </c>
      <c r="AK413">
        <v>12</v>
      </c>
      <c r="AL413">
        <v>1</v>
      </c>
      <c r="AM413">
        <v>0</v>
      </c>
      <c r="AN413">
        <v>0</v>
      </c>
      <c r="AO413">
        <v>10.9</v>
      </c>
      <c r="AP413">
        <v>1.1666666666666667</v>
      </c>
      <c r="AQ413">
        <v>833.7</v>
      </c>
      <c r="AT413">
        <v>854</v>
      </c>
      <c r="AU413">
        <v>6.66</v>
      </c>
      <c r="AX413" t="s">
        <v>122</v>
      </c>
    </row>
    <row r="414" spans="1:50" x14ac:dyDescent="0.45">
      <c r="A414">
        <v>10413</v>
      </c>
      <c r="B414">
        <v>1</v>
      </c>
      <c r="C414">
        <v>53</v>
      </c>
      <c r="D414">
        <v>0</v>
      </c>
      <c r="E414">
        <v>0</v>
      </c>
      <c r="F414">
        <v>0</v>
      </c>
      <c r="G414">
        <v>0</v>
      </c>
      <c r="H414">
        <v>0</v>
      </c>
      <c r="I414">
        <v>0</v>
      </c>
      <c r="J414">
        <v>7</v>
      </c>
      <c r="K414">
        <v>35</v>
      </c>
      <c r="L414">
        <v>0</v>
      </c>
      <c r="M414">
        <v>0</v>
      </c>
      <c r="N414">
        <v>0</v>
      </c>
      <c r="O414">
        <v>5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Y414">
        <v>1</v>
      </c>
      <c r="Z414">
        <v>0</v>
      </c>
      <c r="AA414">
        <v>0</v>
      </c>
      <c r="AB414">
        <v>0</v>
      </c>
      <c r="AC414">
        <v>1</v>
      </c>
      <c r="AD414">
        <v>850</v>
      </c>
      <c r="AE414">
        <v>0.5</v>
      </c>
      <c r="AF414">
        <v>1</v>
      </c>
      <c r="AG414">
        <v>0</v>
      </c>
      <c r="AH414">
        <v>0</v>
      </c>
      <c r="AI414">
        <v>1</v>
      </c>
      <c r="AJ414">
        <v>500</v>
      </c>
      <c r="AK414">
        <v>12</v>
      </c>
      <c r="AL414">
        <v>1</v>
      </c>
      <c r="AM414">
        <v>0</v>
      </c>
      <c r="AN414">
        <v>0</v>
      </c>
      <c r="AO414">
        <v>10.9</v>
      </c>
      <c r="AP414">
        <v>1.1666666666666667</v>
      </c>
      <c r="AQ414">
        <v>833.7</v>
      </c>
      <c r="AT414">
        <v>613</v>
      </c>
      <c r="AU414">
        <v>11.31</v>
      </c>
      <c r="AX414" t="s">
        <v>122</v>
      </c>
    </row>
    <row r="415" spans="1:50" x14ac:dyDescent="0.45">
      <c r="A415">
        <v>10414</v>
      </c>
      <c r="B415">
        <v>1</v>
      </c>
      <c r="C415">
        <v>53</v>
      </c>
      <c r="D415">
        <v>0</v>
      </c>
      <c r="E415">
        <v>0</v>
      </c>
      <c r="F415">
        <v>0</v>
      </c>
      <c r="G415">
        <v>0</v>
      </c>
      <c r="H415">
        <v>0</v>
      </c>
      <c r="I415">
        <v>0</v>
      </c>
      <c r="J415">
        <v>7</v>
      </c>
      <c r="K415">
        <v>35</v>
      </c>
      <c r="L415">
        <v>0</v>
      </c>
      <c r="M415">
        <v>0</v>
      </c>
      <c r="N415">
        <v>0</v>
      </c>
      <c r="O415">
        <v>5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Y415">
        <v>1</v>
      </c>
      <c r="Z415">
        <v>0</v>
      </c>
      <c r="AA415">
        <v>0</v>
      </c>
      <c r="AB415">
        <v>0</v>
      </c>
      <c r="AC415">
        <v>1</v>
      </c>
      <c r="AD415">
        <v>850</v>
      </c>
      <c r="AE415">
        <v>0.5</v>
      </c>
      <c r="AF415">
        <v>1</v>
      </c>
      <c r="AG415">
        <v>0</v>
      </c>
      <c r="AH415">
        <v>0</v>
      </c>
      <c r="AI415">
        <v>1</v>
      </c>
      <c r="AJ415">
        <v>550</v>
      </c>
      <c r="AK415">
        <v>12</v>
      </c>
      <c r="AL415">
        <v>1</v>
      </c>
      <c r="AM415">
        <v>0</v>
      </c>
      <c r="AN415">
        <v>0</v>
      </c>
      <c r="AO415">
        <v>10.9</v>
      </c>
      <c r="AP415">
        <v>1.1666666666666667</v>
      </c>
      <c r="AQ415">
        <v>833.7</v>
      </c>
      <c r="AT415">
        <v>529</v>
      </c>
      <c r="AU415">
        <v>17.440000000000001</v>
      </c>
      <c r="AX415" t="s">
        <v>122</v>
      </c>
    </row>
    <row r="416" spans="1:50" x14ac:dyDescent="0.45">
      <c r="A416">
        <v>10415</v>
      </c>
      <c r="B416">
        <v>1</v>
      </c>
      <c r="C416">
        <v>60</v>
      </c>
      <c r="D416">
        <v>0</v>
      </c>
      <c r="E416">
        <v>0</v>
      </c>
      <c r="F416">
        <v>0</v>
      </c>
      <c r="G416">
        <v>0</v>
      </c>
      <c r="H416">
        <v>0</v>
      </c>
      <c r="I416">
        <v>0</v>
      </c>
      <c r="J416">
        <v>3</v>
      </c>
      <c r="K416">
        <v>35</v>
      </c>
      <c r="L416">
        <v>0</v>
      </c>
      <c r="M416">
        <v>0</v>
      </c>
      <c r="N416">
        <v>0</v>
      </c>
      <c r="O416">
        <v>2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20</v>
      </c>
      <c r="X416">
        <v>90</v>
      </c>
      <c r="Y416">
        <v>0</v>
      </c>
      <c r="Z416">
        <v>1</v>
      </c>
      <c r="AA416">
        <v>0</v>
      </c>
      <c r="AB416">
        <v>0</v>
      </c>
      <c r="AC416">
        <v>1</v>
      </c>
      <c r="AD416">
        <v>450</v>
      </c>
      <c r="AE416">
        <v>0.16700000000000001</v>
      </c>
      <c r="AF416">
        <v>0</v>
      </c>
      <c r="AG416">
        <v>1</v>
      </c>
      <c r="AH416">
        <v>0</v>
      </c>
      <c r="AI416">
        <v>0</v>
      </c>
      <c r="AO416">
        <v>10.24</v>
      </c>
      <c r="AP416">
        <v>0.5</v>
      </c>
      <c r="AQ416">
        <v>861.3</v>
      </c>
      <c r="AT416">
        <v>864</v>
      </c>
      <c r="AU416">
        <v>1.55</v>
      </c>
      <c r="AX416" t="s">
        <v>123</v>
      </c>
    </row>
    <row r="417" spans="1:50" x14ac:dyDescent="0.45">
      <c r="A417">
        <v>10416</v>
      </c>
      <c r="B417">
        <v>1</v>
      </c>
      <c r="C417">
        <v>60</v>
      </c>
      <c r="D417">
        <v>0</v>
      </c>
      <c r="E417">
        <v>0</v>
      </c>
      <c r="F417">
        <v>0</v>
      </c>
      <c r="G417">
        <v>0</v>
      </c>
      <c r="H417">
        <v>0</v>
      </c>
      <c r="I417">
        <v>0</v>
      </c>
      <c r="J417">
        <v>3</v>
      </c>
      <c r="K417">
        <v>35</v>
      </c>
      <c r="L417">
        <v>0</v>
      </c>
      <c r="M417">
        <v>0</v>
      </c>
      <c r="N417">
        <v>0</v>
      </c>
      <c r="O417">
        <v>2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20</v>
      </c>
      <c r="X417">
        <v>90</v>
      </c>
      <c r="Y417">
        <v>0</v>
      </c>
      <c r="Z417">
        <v>1</v>
      </c>
      <c r="AA417">
        <v>0</v>
      </c>
      <c r="AB417">
        <v>0</v>
      </c>
      <c r="AC417">
        <v>1</v>
      </c>
      <c r="AD417">
        <v>550</v>
      </c>
      <c r="AE417">
        <v>0.16700000000000001</v>
      </c>
      <c r="AF417">
        <v>0</v>
      </c>
      <c r="AG417">
        <v>1</v>
      </c>
      <c r="AH417">
        <v>0</v>
      </c>
      <c r="AI417">
        <v>0</v>
      </c>
      <c r="AO417">
        <v>10.24</v>
      </c>
      <c r="AP417">
        <v>0.5</v>
      </c>
      <c r="AQ417">
        <v>861.3</v>
      </c>
      <c r="AT417">
        <v>780</v>
      </c>
      <c r="AU417">
        <v>17.399999999999999</v>
      </c>
      <c r="AX417" t="s">
        <v>123</v>
      </c>
    </row>
    <row r="418" spans="1:50" x14ac:dyDescent="0.45">
      <c r="A418">
        <v>10417</v>
      </c>
      <c r="B418">
        <v>1</v>
      </c>
      <c r="C418">
        <v>60</v>
      </c>
      <c r="D418">
        <v>0</v>
      </c>
      <c r="E418">
        <v>0</v>
      </c>
      <c r="F418">
        <v>0</v>
      </c>
      <c r="G418">
        <v>0</v>
      </c>
      <c r="H418">
        <v>0</v>
      </c>
      <c r="I418">
        <v>0</v>
      </c>
      <c r="J418">
        <v>3</v>
      </c>
      <c r="K418">
        <v>35</v>
      </c>
      <c r="L418">
        <v>0</v>
      </c>
      <c r="M418">
        <v>0</v>
      </c>
      <c r="N418">
        <v>0</v>
      </c>
      <c r="O418">
        <v>2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20</v>
      </c>
      <c r="X418">
        <v>90</v>
      </c>
      <c r="Y418">
        <v>0</v>
      </c>
      <c r="Z418">
        <v>1</v>
      </c>
      <c r="AA418">
        <v>0</v>
      </c>
      <c r="AB418">
        <v>0</v>
      </c>
      <c r="AC418">
        <v>1</v>
      </c>
      <c r="AD418">
        <v>650</v>
      </c>
      <c r="AE418">
        <v>0.16700000000000001</v>
      </c>
      <c r="AF418">
        <v>0</v>
      </c>
      <c r="AG418">
        <v>1</v>
      </c>
      <c r="AH418">
        <v>0</v>
      </c>
      <c r="AI418">
        <v>0</v>
      </c>
      <c r="AO418">
        <v>10.24</v>
      </c>
      <c r="AP418">
        <v>0.5</v>
      </c>
      <c r="AQ418">
        <v>861.3</v>
      </c>
      <c r="AT418">
        <v>456</v>
      </c>
      <c r="AU418">
        <v>25.44</v>
      </c>
      <c r="AX418" t="s">
        <v>123</v>
      </c>
    </row>
    <row r="419" spans="1:50" x14ac:dyDescent="0.45">
      <c r="A419">
        <v>10418</v>
      </c>
      <c r="B419">
        <v>1</v>
      </c>
      <c r="C419">
        <v>60</v>
      </c>
      <c r="D419">
        <v>0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3</v>
      </c>
      <c r="K419">
        <v>35</v>
      </c>
      <c r="L419">
        <v>0</v>
      </c>
      <c r="M419">
        <v>0</v>
      </c>
      <c r="N419">
        <v>0</v>
      </c>
      <c r="O419">
        <v>2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1</v>
      </c>
      <c r="W419">
        <v>20</v>
      </c>
      <c r="X419">
        <v>90</v>
      </c>
      <c r="Y419">
        <v>0</v>
      </c>
      <c r="Z419">
        <v>1</v>
      </c>
      <c r="AA419">
        <v>0</v>
      </c>
      <c r="AB419">
        <v>0</v>
      </c>
      <c r="AC419">
        <v>1</v>
      </c>
      <c r="AD419">
        <v>750</v>
      </c>
      <c r="AE419">
        <v>0.16700000000000001</v>
      </c>
      <c r="AF419">
        <v>0</v>
      </c>
      <c r="AG419">
        <v>1</v>
      </c>
      <c r="AH419">
        <v>0</v>
      </c>
      <c r="AI419">
        <v>0</v>
      </c>
      <c r="AO419">
        <v>10.24</v>
      </c>
      <c r="AP419">
        <v>0.5</v>
      </c>
      <c r="AQ419">
        <v>861.3</v>
      </c>
      <c r="AT419">
        <v>589</v>
      </c>
      <c r="AU419">
        <v>18.579999999999998</v>
      </c>
      <c r="AX419" t="s">
        <v>123</v>
      </c>
    </row>
    <row r="420" spans="1:50" x14ac:dyDescent="0.45">
      <c r="A420">
        <v>10419</v>
      </c>
      <c r="B420">
        <v>1</v>
      </c>
      <c r="C420">
        <v>55.010000000000005</v>
      </c>
      <c r="D420">
        <v>0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20.09</v>
      </c>
      <c r="K420">
        <v>7.26</v>
      </c>
      <c r="L420">
        <v>0</v>
      </c>
      <c r="M420">
        <v>0</v>
      </c>
      <c r="N420">
        <v>0</v>
      </c>
      <c r="O420">
        <v>17.64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1</v>
      </c>
      <c r="Y420">
        <v>0</v>
      </c>
      <c r="Z420">
        <v>1</v>
      </c>
      <c r="AA420">
        <v>0</v>
      </c>
      <c r="AB420">
        <v>0</v>
      </c>
      <c r="AC420">
        <v>1</v>
      </c>
      <c r="AD420">
        <f t="shared" ref="AD420:AD429" si="4">AQ420</f>
        <v>743.37900000000002</v>
      </c>
      <c r="AF420">
        <v>1</v>
      </c>
      <c r="AG420">
        <v>0</v>
      </c>
      <c r="AH420">
        <v>0</v>
      </c>
      <c r="AI420">
        <v>0</v>
      </c>
      <c r="AO420">
        <v>5.9136000000000006</v>
      </c>
      <c r="AP420">
        <v>3.3483333333333332</v>
      </c>
      <c r="AQ420">
        <v>743.37900000000002</v>
      </c>
      <c r="AR420">
        <v>73</v>
      </c>
      <c r="AS420">
        <v>1107</v>
      </c>
      <c r="AX420" t="s">
        <v>60</v>
      </c>
    </row>
    <row r="421" spans="1:50" x14ac:dyDescent="0.45">
      <c r="A421">
        <v>10420</v>
      </c>
      <c r="B421">
        <v>1</v>
      </c>
      <c r="C421">
        <v>54.48</v>
      </c>
      <c r="D421">
        <v>0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22.98</v>
      </c>
      <c r="K421">
        <v>4.51</v>
      </c>
      <c r="L421">
        <v>0</v>
      </c>
      <c r="M421">
        <v>0</v>
      </c>
      <c r="N421">
        <v>0</v>
      </c>
      <c r="O421">
        <v>18.029999999999998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1</v>
      </c>
      <c r="Y421">
        <v>0</v>
      </c>
      <c r="Z421">
        <v>1</v>
      </c>
      <c r="AA421">
        <v>0</v>
      </c>
      <c r="AB421">
        <v>0</v>
      </c>
      <c r="AC421">
        <v>1</v>
      </c>
      <c r="AD421">
        <f t="shared" si="4"/>
        <v>723.43799999999999</v>
      </c>
      <c r="AF421">
        <v>1</v>
      </c>
      <c r="AG421">
        <v>0</v>
      </c>
      <c r="AH421">
        <v>0</v>
      </c>
      <c r="AI421">
        <v>0</v>
      </c>
      <c r="AO421">
        <v>5.2294</v>
      </c>
      <c r="AP421">
        <v>3.83</v>
      </c>
      <c r="AQ421">
        <v>723.43799999999999</v>
      </c>
      <c r="AR421">
        <v>75</v>
      </c>
      <c r="AS421">
        <v>932</v>
      </c>
      <c r="AX421" t="s">
        <v>60</v>
      </c>
    </row>
    <row r="422" spans="1:50" x14ac:dyDescent="0.45">
      <c r="A422">
        <v>10421</v>
      </c>
      <c r="B422">
        <v>1</v>
      </c>
      <c r="C422">
        <v>53.16</v>
      </c>
      <c r="D422">
        <v>0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26.040000000000003</v>
      </c>
      <c r="K422">
        <v>2.2800000000000002</v>
      </c>
      <c r="L422">
        <v>0</v>
      </c>
      <c r="M422">
        <v>0</v>
      </c>
      <c r="N422">
        <v>0</v>
      </c>
      <c r="O422">
        <v>18.52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1</v>
      </c>
      <c r="Y422">
        <v>0</v>
      </c>
      <c r="Z422">
        <v>1</v>
      </c>
      <c r="AA422">
        <v>0</v>
      </c>
      <c r="AB422">
        <v>0</v>
      </c>
      <c r="AC422">
        <v>1</v>
      </c>
      <c r="AD422">
        <f t="shared" si="4"/>
        <v>702.32399999999996</v>
      </c>
      <c r="AF422">
        <v>1</v>
      </c>
      <c r="AG422">
        <v>0</v>
      </c>
      <c r="AH422">
        <v>0</v>
      </c>
      <c r="AI422">
        <v>0</v>
      </c>
      <c r="AO422">
        <v>4.7127999999999997</v>
      </c>
      <c r="AP422">
        <v>4.3400000000000007</v>
      </c>
      <c r="AQ422">
        <v>702.32399999999996</v>
      </c>
      <c r="AR422">
        <v>77</v>
      </c>
      <c r="AS422">
        <v>953</v>
      </c>
      <c r="AX422" t="s">
        <v>60</v>
      </c>
    </row>
    <row r="423" spans="1:50" x14ac:dyDescent="0.45">
      <c r="A423">
        <v>10422</v>
      </c>
      <c r="B423">
        <v>1</v>
      </c>
      <c r="C423">
        <v>71.97</v>
      </c>
      <c r="D423">
        <v>0</v>
      </c>
      <c r="E423">
        <v>0</v>
      </c>
      <c r="F423">
        <v>0</v>
      </c>
      <c r="G423">
        <v>0</v>
      </c>
      <c r="H423">
        <v>0</v>
      </c>
      <c r="I423">
        <v>0</v>
      </c>
      <c r="J423">
        <v>3.25</v>
      </c>
      <c r="K423">
        <v>20.14</v>
      </c>
      <c r="L423">
        <v>0</v>
      </c>
      <c r="M423">
        <v>0</v>
      </c>
      <c r="N423">
        <v>0</v>
      </c>
      <c r="O423">
        <v>4.6399999999999997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1</v>
      </c>
      <c r="Y423">
        <v>0</v>
      </c>
      <c r="Z423">
        <v>1</v>
      </c>
      <c r="AA423">
        <v>0</v>
      </c>
      <c r="AB423">
        <v>0</v>
      </c>
      <c r="AC423">
        <v>1</v>
      </c>
      <c r="AD423">
        <f t="shared" si="4"/>
        <v>859.57500000000005</v>
      </c>
      <c r="AF423">
        <v>1</v>
      </c>
      <c r="AG423">
        <v>0</v>
      </c>
      <c r="AH423">
        <v>0</v>
      </c>
      <c r="AI423">
        <v>0</v>
      </c>
      <c r="AO423">
        <v>6.66</v>
      </c>
      <c r="AP423">
        <v>0.54166666666666663</v>
      </c>
      <c r="AQ423">
        <v>859.57500000000005</v>
      </c>
      <c r="AR423">
        <v>65</v>
      </c>
      <c r="AS423">
        <v>600</v>
      </c>
      <c r="AX423" t="s">
        <v>60</v>
      </c>
    </row>
    <row r="424" spans="1:50" x14ac:dyDescent="0.45">
      <c r="A424">
        <v>10423</v>
      </c>
      <c r="B424">
        <v>1</v>
      </c>
      <c r="C424">
        <v>71.97</v>
      </c>
      <c r="D424">
        <v>0</v>
      </c>
      <c r="E424">
        <v>0</v>
      </c>
      <c r="F424">
        <v>0</v>
      </c>
      <c r="G424">
        <v>0</v>
      </c>
      <c r="H424">
        <v>0</v>
      </c>
      <c r="I424">
        <v>0</v>
      </c>
      <c r="J424">
        <v>3.25</v>
      </c>
      <c r="K424">
        <v>20.14</v>
      </c>
      <c r="L424">
        <v>0</v>
      </c>
      <c r="M424">
        <v>0</v>
      </c>
      <c r="N424">
        <v>0</v>
      </c>
      <c r="O424">
        <v>4.6399999999999997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1</v>
      </c>
      <c r="Y424">
        <v>0</v>
      </c>
      <c r="Z424">
        <v>1</v>
      </c>
      <c r="AA424">
        <v>0</v>
      </c>
      <c r="AB424">
        <v>0</v>
      </c>
      <c r="AC424">
        <v>1</v>
      </c>
      <c r="AD424">
        <f t="shared" si="4"/>
        <v>859.57500000000005</v>
      </c>
      <c r="AF424">
        <v>1</v>
      </c>
      <c r="AG424">
        <v>0</v>
      </c>
      <c r="AH424">
        <v>0</v>
      </c>
      <c r="AI424">
        <v>0</v>
      </c>
      <c r="AO424">
        <v>6.66</v>
      </c>
      <c r="AP424">
        <v>0.54166666666666663</v>
      </c>
      <c r="AQ424">
        <v>859.57500000000005</v>
      </c>
      <c r="AR424">
        <v>55</v>
      </c>
      <c r="AS424">
        <v>257</v>
      </c>
      <c r="AX424" t="s">
        <v>60</v>
      </c>
    </row>
    <row r="425" spans="1:50" x14ac:dyDescent="0.45">
      <c r="A425">
        <v>10424</v>
      </c>
      <c r="B425">
        <v>1</v>
      </c>
      <c r="C425">
        <v>74.739999999999995</v>
      </c>
      <c r="D425">
        <v>0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2.0299999999999998</v>
      </c>
      <c r="K425">
        <v>22.54</v>
      </c>
      <c r="L425">
        <v>0</v>
      </c>
      <c r="M425">
        <v>0</v>
      </c>
      <c r="N425">
        <v>0</v>
      </c>
      <c r="O425">
        <v>0.69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1</v>
      </c>
      <c r="Y425">
        <v>0</v>
      </c>
      <c r="Z425">
        <v>1</v>
      </c>
      <c r="AA425">
        <v>0</v>
      </c>
      <c r="AB425">
        <v>0</v>
      </c>
      <c r="AC425">
        <v>1</v>
      </c>
      <c r="AD425">
        <f t="shared" si="4"/>
        <v>867.99300000000005</v>
      </c>
      <c r="AF425">
        <v>1</v>
      </c>
      <c r="AG425">
        <v>0</v>
      </c>
      <c r="AH425">
        <v>0</v>
      </c>
      <c r="AI425">
        <v>0</v>
      </c>
      <c r="AO425">
        <v>6.4630000000000001</v>
      </c>
      <c r="AP425">
        <v>0.33833333333333332</v>
      </c>
      <c r="AQ425">
        <v>867.99300000000005</v>
      </c>
      <c r="AR425">
        <v>64.5</v>
      </c>
      <c r="AS425">
        <v>700</v>
      </c>
      <c r="AX425" t="s">
        <v>60</v>
      </c>
    </row>
    <row r="426" spans="1:50" x14ac:dyDescent="0.45">
      <c r="A426">
        <v>10425</v>
      </c>
      <c r="B426">
        <v>1</v>
      </c>
      <c r="C426">
        <v>72.740000000000009</v>
      </c>
      <c r="D426">
        <v>0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3.46</v>
      </c>
      <c r="K426">
        <v>20.27</v>
      </c>
      <c r="L426">
        <v>0</v>
      </c>
      <c r="M426">
        <v>0</v>
      </c>
      <c r="N426">
        <v>0</v>
      </c>
      <c r="O426">
        <v>3.53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1</v>
      </c>
      <c r="Y426">
        <v>0</v>
      </c>
      <c r="Z426">
        <v>1</v>
      </c>
      <c r="AA426">
        <v>0</v>
      </c>
      <c r="AB426">
        <v>0</v>
      </c>
      <c r="AC426">
        <v>1</v>
      </c>
      <c r="AD426">
        <f t="shared" si="4"/>
        <v>858.12599999999998</v>
      </c>
      <c r="AF426">
        <v>0</v>
      </c>
      <c r="AG426">
        <v>1</v>
      </c>
      <c r="AH426">
        <v>0</v>
      </c>
      <c r="AI426">
        <v>0</v>
      </c>
      <c r="AO426">
        <v>6.4522000000000004</v>
      </c>
      <c r="AP426">
        <v>0.57666666666666666</v>
      </c>
      <c r="AQ426">
        <v>858.12599999999998</v>
      </c>
      <c r="AR426">
        <v>57.1</v>
      </c>
      <c r="AS426">
        <v>400</v>
      </c>
      <c r="AX426" t="s">
        <v>60</v>
      </c>
    </row>
    <row r="427" spans="1:50" x14ac:dyDescent="0.45">
      <c r="A427">
        <v>10426</v>
      </c>
      <c r="B427">
        <v>1</v>
      </c>
      <c r="C427">
        <v>74.13</v>
      </c>
      <c r="D427">
        <v>0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3.2300000000000004</v>
      </c>
      <c r="K427">
        <v>19.86</v>
      </c>
      <c r="L427">
        <v>0</v>
      </c>
      <c r="M427">
        <v>0</v>
      </c>
      <c r="N427">
        <v>0</v>
      </c>
      <c r="O427">
        <v>2.78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1</v>
      </c>
      <c r="Y427">
        <v>0</v>
      </c>
      <c r="Z427">
        <v>1</v>
      </c>
      <c r="AA427">
        <v>0</v>
      </c>
      <c r="AB427">
        <v>0</v>
      </c>
      <c r="AC427">
        <v>1</v>
      </c>
      <c r="AD427">
        <f t="shared" si="4"/>
        <v>859.71299999999997</v>
      </c>
      <c r="AF427">
        <v>0</v>
      </c>
      <c r="AG427">
        <v>1</v>
      </c>
      <c r="AH427">
        <v>0</v>
      </c>
      <c r="AI427">
        <v>0</v>
      </c>
      <c r="AO427">
        <v>6.1724000000000006</v>
      </c>
      <c r="AP427">
        <v>0.53833333333333344</v>
      </c>
      <c r="AQ427">
        <v>859.71299999999997</v>
      </c>
      <c r="AR427">
        <v>53.7</v>
      </c>
      <c r="AS427">
        <v>435</v>
      </c>
      <c r="AX427" t="s">
        <v>60</v>
      </c>
    </row>
    <row r="428" spans="1:50" x14ac:dyDescent="0.45">
      <c r="A428">
        <v>10427</v>
      </c>
      <c r="B428">
        <v>1</v>
      </c>
      <c r="C428">
        <v>74.3</v>
      </c>
      <c r="D428">
        <v>0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2</v>
      </c>
      <c r="K428">
        <v>23</v>
      </c>
      <c r="L428">
        <v>0</v>
      </c>
      <c r="M428">
        <v>0</v>
      </c>
      <c r="N428">
        <v>0</v>
      </c>
      <c r="O428">
        <v>0.70000000000000007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1</v>
      </c>
      <c r="Y428">
        <v>0</v>
      </c>
      <c r="Z428">
        <v>1</v>
      </c>
      <c r="AA428">
        <v>0</v>
      </c>
      <c r="AB428">
        <v>0</v>
      </c>
      <c r="AC428">
        <v>1</v>
      </c>
      <c r="AD428">
        <f t="shared" si="4"/>
        <v>868.2</v>
      </c>
      <c r="AF428">
        <v>1</v>
      </c>
      <c r="AG428">
        <v>0</v>
      </c>
      <c r="AH428">
        <v>0</v>
      </c>
      <c r="AI428">
        <v>0</v>
      </c>
      <c r="AO428">
        <v>6.5940000000000003</v>
      </c>
      <c r="AP428">
        <v>0.33333333333333331</v>
      </c>
      <c r="AQ428">
        <v>868.2</v>
      </c>
      <c r="AR428">
        <v>55</v>
      </c>
      <c r="AS428">
        <v>280</v>
      </c>
      <c r="AX428" t="s">
        <v>60</v>
      </c>
    </row>
    <row r="429" spans="1:50" x14ac:dyDescent="0.45">
      <c r="A429">
        <v>10428</v>
      </c>
      <c r="B429">
        <v>1</v>
      </c>
      <c r="C429">
        <v>70.45</v>
      </c>
      <c r="D429">
        <v>0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3.44</v>
      </c>
      <c r="K429">
        <v>21.42</v>
      </c>
      <c r="L429">
        <v>0</v>
      </c>
      <c r="M429">
        <v>0</v>
      </c>
      <c r="N429">
        <v>0</v>
      </c>
      <c r="O429">
        <v>4.6899999999999995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1</v>
      </c>
      <c r="Y429">
        <v>0</v>
      </c>
      <c r="Z429">
        <v>1</v>
      </c>
      <c r="AA429">
        <v>0</v>
      </c>
      <c r="AB429">
        <v>0</v>
      </c>
      <c r="AC429">
        <v>1</v>
      </c>
      <c r="AD429">
        <f t="shared" si="4"/>
        <v>858.26400000000001</v>
      </c>
      <c r="AF429">
        <v>1</v>
      </c>
      <c r="AG429">
        <v>0</v>
      </c>
      <c r="AH429">
        <v>0</v>
      </c>
      <c r="AI429">
        <v>0</v>
      </c>
      <c r="AO429">
        <v>7.0294000000000008</v>
      </c>
      <c r="AP429">
        <v>0.57333333333333336</v>
      </c>
      <c r="AQ429">
        <v>858.26400000000001</v>
      </c>
      <c r="AR429">
        <v>61</v>
      </c>
      <c r="AS429">
        <v>521</v>
      </c>
      <c r="AX429" t="s">
        <v>60</v>
      </c>
    </row>
    <row r="430" spans="1:50" x14ac:dyDescent="0.45">
      <c r="A430">
        <v>10429</v>
      </c>
      <c r="B430">
        <v>1</v>
      </c>
      <c r="C430">
        <v>72.06</v>
      </c>
      <c r="D430">
        <v>0</v>
      </c>
      <c r="E430">
        <v>0</v>
      </c>
      <c r="F430">
        <v>0</v>
      </c>
      <c r="G430">
        <v>0</v>
      </c>
      <c r="H430">
        <v>0</v>
      </c>
      <c r="I430">
        <v>0</v>
      </c>
      <c r="J430">
        <v>3.18</v>
      </c>
      <c r="K430">
        <v>20.13</v>
      </c>
      <c r="L430">
        <v>0</v>
      </c>
      <c r="M430">
        <v>0</v>
      </c>
      <c r="N430">
        <v>0</v>
      </c>
      <c r="O430">
        <v>4.63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Y430">
        <v>1</v>
      </c>
      <c r="Z430">
        <v>0</v>
      </c>
      <c r="AA430">
        <v>0</v>
      </c>
      <c r="AB430">
        <v>0</v>
      </c>
      <c r="AC430">
        <v>0</v>
      </c>
      <c r="AI430">
        <v>0</v>
      </c>
      <c r="AO430">
        <v>6.6550000000000002</v>
      </c>
      <c r="AP430">
        <v>0.53</v>
      </c>
      <c r="AQ430">
        <v>860.05799999999999</v>
      </c>
      <c r="AR430">
        <v>65</v>
      </c>
      <c r="AW430" t="s">
        <v>346</v>
      </c>
    </row>
    <row r="431" spans="1:50" x14ac:dyDescent="0.45">
      <c r="A431">
        <v>10430</v>
      </c>
      <c r="B431">
        <v>1</v>
      </c>
      <c r="C431">
        <v>69.3</v>
      </c>
      <c r="D431">
        <v>0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4.9000000000000004</v>
      </c>
      <c r="K431">
        <v>24</v>
      </c>
      <c r="L431">
        <v>0</v>
      </c>
      <c r="M431">
        <v>0</v>
      </c>
      <c r="N431">
        <v>0</v>
      </c>
      <c r="O431">
        <v>1.8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Y431">
        <v>1</v>
      </c>
      <c r="Z431">
        <v>0</v>
      </c>
      <c r="AA431">
        <v>0</v>
      </c>
      <c r="AB431">
        <v>0</v>
      </c>
      <c r="AC431">
        <v>0</v>
      </c>
      <c r="AI431">
        <v>0</v>
      </c>
      <c r="AO431">
        <v>7.1160000000000005</v>
      </c>
      <c r="AP431">
        <v>0.81666666666666676</v>
      </c>
      <c r="AQ431">
        <v>848.19</v>
      </c>
      <c r="AR431">
        <v>55</v>
      </c>
      <c r="AW431" t="s">
        <v>346</v>
      </c>
    </row>
    <row r="432" spans="1:50" x14ac:dyDescent="0.45">
      <c r="A432">
        <v>10431</v>
      </c>
      <c r="B432">
        <v>1</v>
      </c>
      <c r="C432">
        <v>74.3</v>
      </c>
      <c r="D432">
        <v>0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2</v>
      </c>
      <c r="K432">
        <v>23</v>
      </c>
      <c r="L432">
        <v>0</v>
      </c>
      <c r="M432">
        <v>0</v>
      </c>
      <c r="N432">
        <v>0</v>
      </c>
      <c r="O432">
        <v>0.7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Y432">
        <v>1</v>
      </c>
      <c r="Z432">
        <v>0</v>
      </c>
      <c r="AA432">
        <v>0</v>
      </c>
      <c r="AB432">
        <v>0</v>
      </c>
      <c r="AC432">
        <v>0</v>
      </c>
      <c r="AI432">
        <v>0</v>
      </c>
      <c r="AO432">
        <v>6.5940000000000003</v>
      </c>
      <c r="AP432">
        <v>0.33333333333333331</v>
      </c>
      <c r="AQ432">
        <v>868.2</v>
      </c>
      <c r="AR432">
        <v>56</v>
      </c>
      <c r="AW432" t="s">
        <v>346</v>
      </c>
    </row>
    <row r="433" spans="1:49" x14ac:dyDescent="0.45">
      <c r="A433">
        <v>10432</v>
      </c>
      <c r="B433">
        <v>1</v>
      </c>
      <c r="C433">
        <v>83.67</v>
      </c>
      <c r="D433">
        <v>0</v>
      </c>
      <c r="E433">
        <v>0</v>
      </c>
      <c r="F433">
        <v>0</v>
      </c>
      <c r="G433">
        <v>0</v>
      </c>
      <c r="H433">
        <v>0</v>
      </c>
      <c r="I433">
        <v>0</v>
      </c>
      <c r="J433">
        <v>7.93</v>
      </c>
      <c r="K433">
        <v>7.78</v>
      </c>
      <c r="L433">
        <v>0</v>
      </c>
      <c r="M433">
        <v>0</v>
      </c>
      <c r="N433">
        <v>0</v>
      </c>
      <c r="O433">
        <v>0.62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Y433">
        <v>1</v>
      </c>
      <c r="Z433">
        <v>0</v>
      </c>
      <c r="AA433">
        <v>0</v>
      </c>
      <c r="AB433">
        <v>0</v>
      </c>
      <c r="AC433">
        <v>0</v>
      </c>
      <c r="AI433">
        <v>0</v>
      </c>
      <c r="AO433">
        <v>2.3148000000000004</v>
      </c>
      <c r="AP433">
        <v>1.3216666666666665</v>
      </c>
      <c r="AQ433">
        <v>827.28300000000002</v>
      </c>
      <c r="AR433">
        <v>90</v>
      </c>
      <c r="AW433" t="s">
        <v>346</v>
      </c>
    </row>
    <row r="434" spans="1:49" x14ac:dyDescent="0.45">
      <c r="A434">
        <v>10433</v>
      </c>
      <c r="B434">
        <v>1</v>
      </c>
      <c r="C434">
        <v>82.76</v>
      </c>
      <c r="D434">
        <v>0</v>
      </c>
      <c r="E434">
        <v>0</v>
      </c>
      <c r="F434">
        <v>0</v>
      </c>
      <c r="G434">
        <v>0</v>
      </c>
      <c r="H434">
        <v>0</v>
      </c>
      <c r="I434">
        <v>0</v>
      </c>
      <c r="J434">
        <v>8.07</v>
      </c>
      <c r="K434">
        <v>7.92</v>
      </c>
      <c r="L434">
        <v>0</v>
      </c>
      <c r="M434">
        <v>0</v>
      </c>
      <c r="N434">
        <v>0</v>
      </c>
      <c r="O434">
        <v>1.25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Y434">
        <v>1</v>
      </c>
      <c r="Z434">
        <v>0</v>
      </c>
      <c r="AA434">
        <v>0</v>
      </c>
      <c r="AB434">
        <v>0</v>
      </c>
      <c r="AC434">
        <v>0</v>
      </c>
      <c r="AI434">
        <v>0</v>
      </c>
      <c r="AO434">
        <v>2.4925999999999999</v>
      </c>
      <c r="AP434">
        <v>1.345</v>
      </c>
      <c r="AQ434">
        <v>826.31700000000001</v>
      </c>
      <c r="AR434">
        <v>92.54</v>
      </c>
      <c r="AW434" t="s">
        <v>347</v>
      </c>
    </row>
    <row r="435" spans="1:49" x14ac:dyDescent="0.45">
      <c r="A435">
        <v>10434</v>
      </c>
      <c r="B435">
        <v>1</v>
      </c>
      <c r="C435">
        <v>81.819999999999993</v>
      </c>
      <c r="D435">
        <v>0</v>
      </c>
      <c r="E435">
        <v>0</v>
      </c>
      <c r="F435">
        <v>0</v>
      </c>
      <c r="G435">
        <v>0</v>
      </c>
      <c r="H435">
        <v>0</v>
      </c>
      <c r="I435">
        <v>0</v>
      </c>
      <c r="J435">
        <v>8.2100000000000009</v>
      </c>
      <c r="K435">
        <v>8.06</v>
      </c>
      <c r="L435">
        <v>0</v>
      </c>
      <c r="M435">
        <v>0</v>
      </c>
      <c r="N435">
        <v>0</v>
      </c>
      <c r="O435">
        <v>1.91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Y435">
        <v>1</v>
      </c>
      <c r="Z435">
        <v>0</v>
      </c>
      <c r="AA435">
        <v>0</v>
      </c>
      <c r="AB435">
        <v>0</v>
      </c>
      <c r="AC435">
        <v>0</v>
      </c>
      <c r="AI435">
        <v>0</v>
      </c>
      <c r="AO435">
        <v>2.677</v>
      </c>
      <c r="AP435">
        <v>1.3683333333333334</v>
      </c>
      <c r="AQ435">
        <v>825.351</v>
      </c>
      <c r="AR435">
        <v>93.66</v>
      </c>
      <c r="AW435" t="s">
        <v>347</v>
      </c>
    </row>
    <row r="436" spans="1:49" x14ac:dyDescent="0.45">
      <c r="A436">
        <v>10435</v>
      </c>
      <c r="B436">
        <v>1</v>
      </c>
      <c r="C436">
        <v>80.849999999999994</v>
      </c>
      <c r="D436">
        <v>0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8.36</v>
      </c>
      <c r="K436">
        <v>8.1999999999999993</v>
      </c>
      <c r="L436">
        <v>0</v>
      </c>
      <c r="M436">
        <v>0</v>
      </c>
      <c r="N436">
        <v>0</v>
      </c>
      <c r="O436">
        <v>2.59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Y436">
        <v>1</v>
      </c>
      <c r="Z436">
        <v>0</v>
      </c>
      <c r="AA436">
        <v>0</v>
      </c>
      <c r="AB436">
        <v>0</v>
      </c>
      <c r="AC436">
        <v>0</v>
      </c>
      <c r="AI436">
        <v>0</v>
      </c>
      <c r="AO436">
        <v>2.8657999999999997</v>
      </c>
      <c r="AP436">
        <v>1.3933333333333333</v>
      </c>
      <c r="AQ436">
        <v>824.31600000000003</v>
      </c>
      <c r="AR436">
        <v>83.52</v>
      </c>
      <c r="AW436" t="s">
        <v>347</v>
      </c>
    </row>
    <row r="437" spans="1:49" x14ac:dyDescent="0.45">
      <c r="A437">
        <v>10436</v>
      </c>
      <c r="B437">
        <v>1</v>
      </c>
      <c r="C437">
        <v>69.290000000000006</v>
      </c>
      <c r="D437">
        <v>0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4.92</v>
      </c>
      <c r="K437">
        <v>24.01</v>
      </c>
      <c r="L437">
        <v>0</v>
      </c>
      <c r="M437">
        <v>0</v>
      </c>
      <c r="N437">
        <v>0</v>
      </c>
      <c r="O437">
        <v>1.78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Y437">
        <v>1</v>
      </c>
      <c r="Z437">
        <v>0</v>
      </c>
      <c r="AA437">
        <v>0</v>
      </c>
      <c r="AB437">
        <v>0</v>
      </c>
      <c r="AC437">
        <v>0</v>
      </c>
      <c r="AI437">
        <v>0</v>
      </c>
      <c r="AO437">
        <v>7.1144000000000016</v>
      </c>
      <c r="AP437">
        <v>0.82</v>
      </c>
      <c r="AQ437">
        <v>848.05200000000002</v>
      </c>
      <c r="AR437">
        <v>55</v>
      </c>
      <c r="AW437" t="s">
        <v>347</v>
      </c>
    </row>
    <row r="438" spans="1:49" x14ac:dyDescent="0.45">
      <c r="A438">
        <v>10437</v>
      </c>
      <c r="B438">
        <v>1</v>
      </c>
      <c r="C438">
        <v>34.6</v>
      </c>
      <c r="D438">
        <v>0</v>
      </c>
      <c r="E438">
        <v>0</v>
      </c>
      <c r="F438">
        <v>0</v>
      </c>
      <c r="G438">
        <v>0</v>
      </c>
      <c r="H438">
        <v>0</v>
      </c>
      <c r="I438">
        <v>0</v>
      </c>
      <c r="J438">
        <v>8.7100000000000009</v>
      </c>
      <c r="K438">
        <v>44.35</v>
      </c>
      <c r="L438">
        <v>0</v>
      </c>
      <c r="M438">
        <v>0</v>
      </c>
      <c r="N438">
        <v>0</v>
      </c>
      <c r="O438">
        <v>12.34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Y438">
        <v>1</v>
      </c>
      <c r="Z438">
        <v>0</v>
      </c>
      <c r="AA438">
        <v>0</v>
      </c>
      <c r="AB438">
        <v>0</v>
      </c>
      <c r="AC438">
        <v>0</v>
      </c>
      <c r="AI438">
        <v>0</v>
      </c>
      <c r="AO438">
        <v>15.132800000000001</v>
      </c>
      <c r="AP438">
        <v>1.4516666666666669</v>
      </c>
      <c r="AQ438">
        <v>821.90099999999995</v>
      </c>
      <c r="AR438">
        <v>64</v>
      </c>
      <c r="AW438" t="s">
        <v>347</v>
      </c>
    </row>
    <row r="439" spans="1:49" x14ac:dyDescent="0.45">
      <c r="A439">
        <v>10438</v>
      </c>
      <c r="B439">
        <v>1</v>
      </c>
      <c r="C439">
        <v>55.01</v>
      </c>
      <c r="D439">
        <v>0</v>
      </c>
      <c r="E439">
        <v>0</v>
      </c>
      <c r="F439">
        <v>0</v>
      </c>
      <c r="G439">
        <v>0</v>
      </c>
      <c r="H439">
        <v>0</v>
      </c>
      <c r="I439">
        <v>0</v>
      </c>
      <c r="J439">
        <v>20.09</v>
      </c>
      <c r="K439">
        <v>7.26</v>
      </c>
      <c r="L439">
        <v>0</v>
      </c>
      <c r="M439">
        <v>0</v>
      </c>
      <c r="N439">
        <v>0</v>
      </c>
      <c r="O439">
        <v>17.64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Y439">
        <v>1</v>
      </c>
      <c r="Z439">
        <v>0</v>
      </c>
      <c r="AA439">
        <v>0</v>
      </c>
      <c r="AB439">
        <v>0</v>
      </c>
      <c r="AC439">
        <v>0</v>
      </c>
      <c r="AI439">
        <v>0</v>
      </c>
      <c r="AO439">
        <v>5.9136000000000006</v>
      </c>
      <c r="AP439">
        <v>3.3483333333333332</v>
      </c>
      <c r="AQ439">
        <v>743.37900000000002</v>
      </c>
      <c r="AR439">
        <v>73.12</v>
      </c>
      <c r="AW439" t="s">
        <v>243</v>
      </c>
    </row>
    <row r="440" spans="1:49" x14ac:dyDescent="0.45">
      <c r="A440">
        <v>10439</v>
      </c>
      <c r="B440">
        <v>1</v>
      </c>
      <c r="C440">
        <v>54.48</v>
      </c>
      <c r="D440">
        <v>0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22.98</v>
      </c>
      <c r="K440">
        <v>4.51</v>
      </c>
      <c r="L440">
        <v>0</v>
      </c>
      <c r="M440">
        <v>0</v>
      </c>
      <c r="N440">
        <v>0</v>
      </c>
      <c r="O440">
        <v>18.03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Y440">
        <v>1</v>
      </c>
      <c r="Z440">
        <v>0</v>
      </c>
      <c r="AA440">
        <v>0</v>
      </c>
      <c r="AB440">
        <v>0</v>
      </c>
      <c r="AC440">
        <v>0</v>
      </c>
      <c r="AI440">
        <v>0</v>
      </c>
      <c r="AO440">
        <v>5.2294</v>
      </c>
      <c r="AP440">
        <v>3.83</v>
      </c>
      <c r="AQ440">
        <v>723.43799999999999</v>
      </c>
      <c r="AR440">
        <v>74.98</v>
      </c>
      <c r="AW440" t="s">
        <v>276</v>
      </c>
    </row>
    <row r="441" spans="1:49" x14ac:dyDescent="0.45">
      <c r="A441">
        <v>10440</v>
      </c>
      <c r="B441">
        <v>1</v>
      </c>
      <c r="C441">
        <v>53.16</v>
      </c>
      <c r="D441">
        <v>0</v>
      </c>
      <c r="E441">
        <v>0</v>
      </c>
      <c r="F441">
        <v>0</v>
      </c>
      <c r="G441">
        <v>0</v>
      </c>
      <c r="H441">
        <v>0</v>
      </c>
      <c r="I441">
        <v>0</v>
      </c>
      <c r="J441">
        <v>26.04</v>
      </c>
      <c r="K441">
        <v>2.2799999999999998</v>
      </c>
      <c r="L441">
        <v>0</v>
      </c>
      <c r="M441">
        <v>0</v>
      </c>
      <c r="N441">
        <v>0</v>
      </c>
      <c r="O441">
        <v>18.52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Y441">
        <v>1</v>
      </c>
      <c r="Z441">
        <v>0</v>
      </c>
      <c r="AA441">
        <v>0</v>
      </c>
      <c r="AB441">
        <v>0</v>
      </c>
      <c r="AC441">
        <v>0</v>
      </c>
      <c r="AI441">
        <v>0</v>
      </c>
      <c r="AO441">
        <v>4.7127999999999997</v>
      </c>
      <c r="AP441">
        <v>4.34</v>
      </c>
      <c r="AQ441">
        <v>702.32399999999996</v>
      </c>
      <c r="AR441">
        <v>76.62</v>
      </c>
      <c r="AW441" t="s">
        <v>276</v>
      </c>
    </row>
    <row r="442" spans="1:49" x14ac:dyDescent="0.45">
      <c r="A442">
        <v>10441</v>
      </c>
      <c r="B442">
        <v>1</v>
      </c>
      <c r="C442">
        <v>67.8</v>
      </c>
      <c r="D442">
        <v>0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3.6</v>
      </c>
      <c r="K442">
        <v>24.8</v>
      </c>
      <c r="L442">
        <v>0</v>
      </c>
      <c r="M442">
        <v>0</v>
      </c>
      <c r="N442">
        <v>0</v>
      </c>
      <c r="O442">
        <v>3.8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Y442">
        <v>1</v>
      </c>
      <c r="Z442">
        <v>0</v>
      </c>
      <c r="AA442">
        <v>0</v>
      </c>
      <c r="AB442">
        <v>0</v>
      </c>
      <c r="AC442">
        <v>0</v>
      </c>
      <c r="AI442">
        <v>0</v>
      </c>
      <c r="AO442">
        <v>7.7800000000000011</v>
      </c>
      <c r="AP442">
        <v>0.6</v>
      </c>
      <c r="AQ442">
        <v>857.16</v>
      </c>
      <c r="AR442">
        <v>65.8</v>
      </c>
      <c r="AW442" t="s">
        <v>276</v>
      </c>
    </row>
    <row r="443" spans="1:49" x14ac:dyDescent="0.45">
      <c r="A443">
        <v>10442</v>
      </c>
      <c r="B443">
        <v>1</v>
      </c>
      <c r="C443">
        <v>69.7</v>
      </c>
      <c r="D443">
        <v>0</v>
      </c>
      <c r="E443">
        <v>0</v>
      </c>
      <c r="F443">
        <v>0</v>
      </c>
      <c r="G443">
        <v>0</v>
      </c>
      <c r="H443">
        <v>0</v>
      </c>
      <c r="I443">
        <v>0</v>
      </c>
      <c r="J443">
        <v>3.2</v>
      </c>
      <c r="K443">
        <v>22.9</v>
      </c>
      <c r="L443">
        <v>0</v>
      </c>
      <c r="M443">
        <v>0</v>
      </c>
      <c r="N443">
        <v>0</v>
      </c>
      <c r="O443">
        <v>4.2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Y443">
        <v>1</v>
      </c>
      <c r="Z443">
        <v>0</v>
      </c>
      <c r="AA443">
        <v>0</v>
      </c>
      <c r="AB443">
        <v>0</v>
      </c>
      <c r="AC443">
        <v>0</v>
      </c>
      <c r="AI443">
        <v>0</v>
      </c>
      <c r="AO443">
        <v>7.3360000000000003</v>
      </c>
      <c r="AP443">
        <v>0.53333333333333333</v>
      </c>
      <c r="AQ443">
        <v>859.92</v>
      </c>
      <c r="AR443">
        <v>64.2</v>
      </c>
      <c r="AW443" t="s">
        <v>276</v>
      </c>
    </row>
    <row r="444" spans="1:49" x14ac:dyDescent="0.45">
      <c r="A444">
        <v>10443</v>
      </c>
      <c r="B444">
        <v>1</v>
      </c>
      <c r="C444">
        <v>70.599999999999994</v>
      </c>
      <c r="D444">
        <v>0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3.4</v>
      </c>
      <c r="K444">
        <v>20.9</v>
      </c>
      <c r="L444">
        <v>0</v>
      </c>
      <c r="M444">
        <v>0</v>
      </c>
      <c r="N444">
        <v>0</v>
      </c>
      <c r="O444">
        <v>5.0999999999999996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Y444">
        <v>1</v>
      </c>
      <c r="Z444">
        <v>0</v>
      </c>
      <c r="AA444">
        <v>0</v>
      </c>
      <c r="AB444">
        <v>0</v>
      </c>
      <c r="AC444">
        <v>0</v>
      </c>
      <c r="AI444">
        <v>0</v>
      </c>
      <c r="AO444">
        <v>6.9740000000000002</v>
      </c>
      <c r="AP444">
        <v>0.56666666666666665</v>
      </c>
      <c r="AQ444">
        <v>858.54</v>
      </c>
      <c r="AR444">
        <v>63</v>
      </c>
    </row>
    <row r="445" spans="1:49" x14ac:dyDescent="0.45">
      <c r="A445">
        <v>10444</v>
      </c>
      <c r="B445">
        <v>1</v>
      </c>
      <c r="C445">
        <v>74.8</v>
      </c>
      <c r="D445">
        <v>0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2</v>
      </c>
      <c r="K445">
        <v>22.5</v>
      </c>
      <c r="L445">
        <v>0</v>
      </c>
      <c r="M445">
        <v>0</v>
      </c>
      <c r="N445">
        <v>0</v>
      </c>
      <c r="O445">
        <v>0.7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Y445">
        <v>1</v>
      </c>
      <c r="Z445">
        <v>0</v>
      </c>
      <c r="AA445">
        <v>0</v>
      </c>
      <c r="AB445">
        <v>0</v>
      </c>
      <c r="AC445">
        <v>0</v>
      </c>
      <c r="AI445">
        <v>0</v>
      </c>
      <c r="AO445">
        <v>6.4540000000000006</v>
      </c>
      <c r="AP445">
        <v>0.33333333333333331</v>
      </c>
      <c r="AQ445">
        <v>868.2</v>
      </c>
      <c r="AR445">
        <v>59.5</v>
      </c>
    </row>
    <row r="446" spans="1:49" x14ac:dyDescent="0.45">
      <c r="A446">
        <v>10445</v>
      </c>
      <c r="B446">
        <v>1</v>
      </c>
      <c r="C446">
        <v>69.709999999999994</v>
      </c>
      <c r="D446">
        <v>0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4.83</v>
      </c>
      <c r="K446">
        <v>23.72</v>
      </c>
      <c r="L446">
        <v>0</v>
      </c>
      <c r="M446">
        <v>0</v>
      </c>
      <c r="N446">
        <v>0</v>
      </c>
      <c r="O446">
        <v>1.74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Y446">
        <v>1</v>
      </c>
      <c r="Z446">
        <v>0</v>
      </c>
      <c r="AA446">
        <v>0</v>
      </c>
      <c r="AB446">
        <v>0</v>
      </c>
      <c r="AC446">
        <v>0</v>
      </c>
      <c r="AI446">
        <v>0</v>
      </c>
      <c r="AO446">
        <v>7.0244</v>
      </c>
      <c r="AP446">
        <v>0.80500000000000005</v>
      </c>
      <c r="AQ446">
        <v>848.673</v>
      </c>
      <c r="AR446">
        <v>62.2</v>
      </c>
    </row>
    <row r="447" spans="1:49" x14ac:dyDescent="0.45">
      <c r="A447">
        <v>10446</v>
      </c>
      <c r="B447">
        <v>1</v>
      </c>
      <c r="C447">
        <v>74.27</v>
      </c>
      <c r="D447">
        <v>0</v>
      </c>
      <c r="E447">
        <v>0</v>
      </c>
      <c r="F447">
        <v>0</v>
      </c>
      <c r="G447">
        <v>0</v>
      </c>
      <c r="H447">
        <v>0</v>
      </c>
      <c r="I447">
        <v>0</v>
      </c>
      <c r="J447">
        <v>1.96</v>
      </c>
      <c r="K447">
        <v>23.11</v>
      </c>
      <c r="L447">
        <v>0</v>
      </c>
      <c r="M447">
        <v>0</v>
      </c>
      <c r="N447">
        <v>0</v>
      </c>
      <c r="O447">
        <v>0.66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Y447">
        <v>1</v>
      </c>
      <c r="Z447">
        <v>0</v>
      </c>
      <c r="AA447">
        <v>0</v>
      </c>
      <c r="AB447">
        <v>0</v>
      </c>
      <c r="AC447">
        <v>0</v>
      </c>
      <c r="AI447">
        <v>0</v>
      </c>
      <c r="AO447">
        <v>6.6160000000000005</v>
      </c>
      <c r="AP447">
        <v>0.32666666666666666</v>
      </c>
      <c r="AQ447">
        <v>868.476</v>
      </c>
      <c r="AR447">
        <v>60.2</v>
      </c>
    </row>
    <row r="448" spans="1:49" x14ac:dyDescent="0.45">
      <c r="A448">
        <v>10447</v>
      </c>
      <c r="B448">
        <v>1</v>
      </c>
      <c r="C448">
        <v>72.63</v>
      </c>
      <c r="D448">
        <v>0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3.47</v>
      </c>
      <c r="K448">
        <v>20.41</v>
      </c>
      <c r="L448">
        <v>0</v>
      </c>
      <c r="M448">
        <v>0</v>
      </c>
      <c r="N448">
        <v>0</v>
      </c>
      <c r="O448">
        <v>3.49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Y448">
        <v>1</v>
      </c>
      <c r="Z448">
        <v>0</v>
      </c>
      <c r="AA448">
        <v>0</v>
      </c>
      <c r="AB448">
        <v>0</v>
      </c>
      <c r="AC448">
        <v>0</v>
      </c>
      <c r="AI448">
        <v>0</v>
      </c>
      <c r="AO448">
        <v>6.4826000000000006</v>
      </c>
      <c r="AP448">
        <v>0.57833333333333337</v>
      </c>
      <c r="AQ448">
        <v>858.05700000000002</v>
      </c>
      <c r="AR448">
        <v>56</v>
      </c>
    </row>
    <row r="449" spans="1:50" x14ac:dyDescent="0.45">
      <c r="A449">
        <v>10448</v>
      </c>
      <c r="B449">
        <v>1</v>
      </c>
      <c r="C449">
        <v>68.209999999999994</v>
      </c>
      <c r="D449">
        <v>0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3.58</v>
      </c>
      <c r="K449">
        <v>24.6</v>
      </c>
      <c r="L449">
        <v>0</v>
      </c>
      <c r="M449">
        <v>0</v>
      </c>
      <c r="N449">
        <v>0</v>
      </c>
      <c r="O449">
        <v>3.61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Y449">
        <v>1</v>
      </c>
      <c r="Z449">
        <v>0</v>
      </c>
      <c r="AA449">
        <v>0</v>
      </c>
      <c r="AB449">
        <v>0</v>
      </c>
      <c r="AC449">
        <v>0</v>
      </c>
      <c r="AI449">
        <v>0</v>
      </c>
      <c r="AO449">
        <v>7.6822000000000008</v>
      </c>
      <c r="AP449">
        <v>0.59666666666666668</v>
      </c>
      <c r="AQ449">
        <v>857.298</v>
      </c>
      <c r="AR449">
        <v>62</v>
      </c>
    </row>
    <row r="450" spans="1:50" x14ac:dyDescent="0.45">
      <c r="A450">
        <v>10449</v>
      </c>
      <c r="B450">
        <v>1</v>
      </c>
      <c r="C450">
        <v>69.2</v>
      </c>
      <c r="D450">
        <v>0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5</v>
      </c>
      <c r="K450">
        <v>24.1</v>
      </c>
      <c r="L450">
        <v>0</v>
      </c>
      <c r="M450">
        <v>0</v>
      </c>
      <c r="N450">
        <v>0</v>
      </c>
      <c r="O450">
        <v>1.7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Y450">
        <v>1</v>
      </c>
      <c r="Z450">
        <v>0</v>
      </c>
      <c r="AA450">
        <v>0</v>
      </c>
      <c r="AB450">
        <v>0</v>
      </c>
      <c r="AC450">
        <v>0</v>
      </c>
      <c r="AI450">
        <v>0</v>
      </c>
      <c r="AO450">
        <v>7.1220000000000008</v>
      </c>
      <c r="AP450">
        <v>0.83333333333333337</v>
      </c>
      <c r="AQ450">
        <v>847.5</v>
      </c>
      <c r="AR450">
        <v>56</v>
      </c>
    </row>
    <row r="451" spans="1:50" x14ac:dyDescent="0.45">
      <c r="A451">
        <v>10450</v>
      </c>
      <c r="B451">
        <v>1</v>
      </c>
      <c r="C451">
        <v>69.900000000000006</v>
      </c>
      <c r="D451">
        <v>0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5.0999999999999996</v>
      </c>
      <c r="K451">
        <v>20.5</v>
      </c>
      <c r="L451">
        <v>0</v>
      </c>
      <c r="M451">
        <v>0</v>
      </c>
      <c r="N451">
        <v>0</v>
      </c>
      <c r="O451">
        <v>4.5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Y451">
        <v>1</v>
      </c>
      <c r="Z451">
        <v>0</v>
      </c>
      <c r="AA451">
        <v>0</v>
      </c>
      <c r="AB451">
        <v>0</v>
      </c>
      <c r="AC451">
        <v>0</v>
      </c>
      <c r="AI451">
        <v>0</v>
      </c>
      <c r="AO451">
        <v>6.73</v>
      </c>
      <c r="AP451">
        <v>0.85</v>
      </c>
      <c r="AQ451">
        <v>846.81</v>
      </c>
      <c r="AR451">
        <v>50</v>
      </c>
    </row>
    <row r="452" spans="1:50" x14ac:dyDescent="0.45">
      <c r="A452">
        <v>10451</v>
      </c>
      <c r="B452">
        <v>1</v>
      </c>
      <c r="C452">
        <v>63.3</v>
      </c>
      <c r="D452">
        <v>0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17.600000000000001</v>
      </c>
      <c r="K452">
        <v>18.7</v>
      </c>
      <c r="L452">
        <v>0</v>
      </c>
      <c r="M452">
        <v>0</v>
      </c>
      <c r="N452">
        <v>0</v>
      </c>
      <c r="O452">
        <v>0.4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Y452">
        <v>1</v>
      </c>
      <c r="Z452">
        <v>0</v>
      </c>
      <c r="AA452">
        <v>0</v>
      </c>
      <c r="AB452">
        <v>0</v>
      </c>
      <c r="AC452">
        <v>0</v>
      </c>
      <c r="AI452">
        <v>0</v>
      </c>
      <c r="AO452">
        <v>5.3240000000000007</v>
      </c>
      <c r="AP452">
        <v>2.9333333333333336</v>
      </c>
      <c r="AQ452">
        <v>760.56</v>
      </c>
      <c r="AR452">
        <v>48.3</v>
      </c>
    </row>
    <row r="453" spans="1:50" x14ac:dyDescent="0.45">
      <c r="A453">
        <v>10452</v>
      </c>
      <c r="B453">
        <v>1</v>
      </c>
      <c r="C453">
        <v>86</v>
      </c>
      <c r="D453">
        <v>6</v>
      </c>
      <c r="E453">
        <v>4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4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Y453">
        <v>1</v>
      </c>
      <c r="Z453">
        <v>0</v>
      </c>
      <c r="AA453">
        <v>0</v>
      </c>
      <c r="AB453">
        <v>0</v>
      </c>
      <c r="AC453">
        <v>1</v>
      </c>
      <c r="AD453">
        <v>800</v>
      </c>
      <c r="AE453">
        <v>1</v>
      </c>
      <c r="AF453">
        <v>1</v>
      </c>
      <c r="AG453">
        <v>0</v>
      </c>
      <c r="AH453">
        <v>0</v>
      </c>
      <c r="AI453">
        <v>1</v>
      </c>
      <c r="AJ453">
        <v>550</v>
      </c>
      <c r="AK453">
        <v>6</v>
      </c>
      <c r="AL453">
        <v>0</v>
      </c>
      <c r="AM453">
        <v>1</v>
      </c>
      <c r="AN453">
        <v>0</v>
      </c>
      <c r="AO453">
        <v>0.67999999999999972</v>
      </c>
      <c r="AP453">
        <v>6</v>
      </c>
      <c r="AQ453">
        <v>809.4</v>
      </c>
      <c r="AT453">
        <v>1032</v>
      </c>
      <c r="AU453">
        <v>18.440000000000001</v>
      </c>
      <c r="AX453" t="s">
        <v>124</v>
      </c>
    </row>
    <row r="454" spans="1:50" x14ac:dyDescent="0.45">
      <c r="A454">
        <v>10453</v>
      </c>
      <c r="B454">
        <v>1</v>
      </c>
      <c r="C454">
        <v>86</v>
      </c>
      <c r="D454">
        <v>6</v>
      </c>
      <c r="E454">
        <v>4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4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Y454">
        <v>1</v>
      </c>
      <c r="Z454">
        <v>0</v>
      </c>
      <c r="AA454">
        <v>0</v>
      </c>
      <c r="AB454">
        <v>0</v>
      </c>
      <c r="AC454">
        <v>1</v>
      </c>
      <c r="AD454">
        <v>830</v>
      </c>
      <c r="AE454">
        <v>1</v>
      </c>
      <c r="AF454">
        <v>1</v>
      </c>
      <c r="AG454">
        <v>0</v>
      </c>
      <c r="AH454">
        <v>0</v>
      </c>
      <c r="AI454">
        <v>1</v>
      </c>
      <c r="AJ454">
        <v>550</v>
      </c>
      <c r="AK454">
        <v>6</v>
      </c>
      <c r="AL454">
        <v>0</v>
      </c>
      <c r="AM454">
        <v>1</v>
      </c>
      <c r="AN454">
        <v>0</v>
      </c>
      <c r="AO454">
        <v>0.67999999999999972</v>
      </c>
      <c r="AP454">
        <v>6</v>
      </c>
      <c r="AQ454">
        <v>809.4</v>
      </c>
      <c r="AT454">
        <v>1084</v>
      </c>
      <c r="AU454">
        <v>15.76</v>
      </c>
      <c r="AX454" t="s">
        <v>124</v>
      </c>
    </row>
    <row r="455" spans="1:50" x14ac:dyDescent="0.45">
      <c r="A455">
        <v>10454</v>
      </c>
      <c r="B455">
        <v>1</v>
      </c>
      <c r="C455">
        <v>86</v>
      </c>
      <c r="D455">
        <v>6</v>
      </c>
      <c r="E455">
        <v>4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4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Y455">
        <v>1</v>
      </c>
      <c r="Z455">
        <v>0</v>
      </c>
      <c r="AA455">
        <v>0</v>
      </c>
      <c r="AB455">
        <v>0</v>
      </c>
      <c r="AC455">
        <v>1</v>
      </c>
      <c r="AD455">
        <v>860</v>
      </c>
      <c r="AE455">
        <v>1</v>
      </c>
      <c r="AF455">
        <v>1</v>
      </c>
      <c r="AG455">
        <v>0</v>
      </c>
      <c r="AH455">
        <v>0</v>
      </c>
      <c r="AI455">
        <v>1</v>
      </c>
      <c r="AJ455">
        <v>550</v>
      </c>
      <c r="AK455">
        <v>6</v>
      </c>
      <c r="AL455">
        <v>0</v>
      </c>
      <c r="AM455">
        <v>1</v>
      </c>
      <c r="AN455">
        <v>0</v>
      </c>
      <c r="AO455">
        <v>0.67999999999999972</v>
      </c>
      <c r="AP455">
        <v>6</v>
      </c>
      <c r="AQ455">
        <v>809.4</v>
      </c>
      <c r="AT455">
        <v>1124</v>
      </c>
      <c r="AU455">
        <v>14.54</v>
      </c>
      <c r="AX455" t="s">
        <v>124</v>
      </c>
    </row>
    <row r="456" spans="1:50" x14ac:dyDescent="0.45">
      <c r="A456">
        <v>10455</v>
      </c>
      <c r="B456">
        <v>1</v>
      </c>
      <c r="C456">
        <v>86</v>
      </c>
      <c r="D456">
        <v>6</v>
      </c>
      <c r="E456">
        <v>4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4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Y456">
        <v>1</v>
      </c>
      <c r="Z456">
        <v>0</v>
      </c>
      <c r="AA456">
        <v>0</v>
      </c>
      <c r="AB456">
        <v>0</v>
      </c>
      <c r="AC456">
        <v>1</v>
      </c>
      <c r="AD456">
        <v>890</v>
      </c>
      <c r="AE456">
        <v>1</v>
      </c>
      <c r="AF456">
        <v>1</v>
      </c>
      <c r="AG456">
        <v>0</v>
      </c>
      <c r="AH456">
        <v>0</v>
      </c>
      <c r="AI456">
        <v>1</v>
      </c>
      <c r="AJ456">
        <v>550</v>
      </c>
      <c r="AK456">
        <v>6</v>
      </c>
      <c r="AL456">
        <v>0</v>
      </c>
      <c r="AM456">
        <v>1</v>
      </c>
      <c r="AN456">
        <v>0</v>
      </c>
      <c r="AO456">
        <v>0.67999999999999972</v>
      </c>
      <c r="AP456">
        <v>6</v>
      </c>
      <c r="AQ456">
        <v>809.4</v>
      </c>
      <c r="AT456">
        <v>1225</v>
      </c>
      <c r="AU456">
        <v>5.12</v>
      </c>
      <c r="AX456" t="s">
        <v>124</v>
      </c>
    </row>
    <row r="457" spans="1:50" x14ac:dyDescent="0.45">
      <c r="A457">
        <v>10456</v>
      </c>
      <c r="B457">
        <v>1</v>
      </c>
      <c r="C457">
        <v>86</v>
      </c>
      <c r="D457">
        <v>6</v>
      </c>
      <c r="E457">
        <v>4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4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Y457">
        <v>1</v>
      </c>
      <c r="Z457">
        <v>0</v>
      </c>
      <c r="AA457">
        <v>0</v>
      </c>
      <c r="AB457">
        <v>0</v>
      </c>
      <c r="AC457">
        <v>1</v>
      </c>
      <c r="AD457">
        <v>920</v>
      </c>
      <c r="AE457">
        <v>1</v>
      </c>
      <c r="AF457">
        <v>1</v>
      </c>
      <c r="AG457">
        <v>0</v>
      </c>
      <c r="AH457">
        <v>0</v>
      </c>
      <c r="AI457">
        <v>1</v>
      </c>
      <c r="AJ457">
        <v>550</v>
      </c>
      <c r="AK457">
        <v>6</v>
      </c>
      <c r="AL457">
        <v>0</v>
      </c>
      <c r="AM457">
        <v>1</v>
      </c>
      <c r="AN457">
        <v>0</v>
      </c>
      <c r="AO457">
        <v>0.67999999999999972</v>
      </c>
      <c r="AP457">
        <v>6</v>
      </c>
      <c r="AQ457">
        <v>809.4</v>
      </c>
      <c r="AT457">
        <v>1285</v>
      </c>
      <c r="AU457">
        <v>3.12</v>
      </c>
      <c r="AX457" t="s">
        <v>124</v>
      </c>
    </row>
    <row r="458" spans="1:50" x14ac:dyDescent="0.45">
      <c r="A458">
        <v>10457</v>
      </c>
      <c r="B458">
        <v>1</v>
      </c>
      <c r="C458">
        <v>89.86</v>
      </c>
      <c r="D458">
        <v>8.1</v>
      </c>
      <c r="E458">
        <v>0.99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1.05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Y458">
        <v>1</v>
      </c>
      <c r="Z458">
        <v>0</v>
      </c>
      <c r="AA458">
        <v>0</v>
      </c>
      <c r="AB458">
        <v>0</v>
      </c>
      <c r="AC458">
        <v>1</v>
      </c>
      <c r="AD458">
        <v>915</v>
      </c>
      <c r="AE458">
        <v>1</v>
      </c>
      <c r="AF458">
        <v>1</v>
      </c>
      <c r="AG458">
        <v>0</v>
      </c>
      <c r="AH458">
        <v>0</v>
      </c>
      <c r="AI458">
        <v>1</v>
      </c>
      <c r="AJ458">
        <v>580</v>
      </c>
      <c r="AK458">
        <v>8</v>
      </c>
      <c r="AL458">
        <v>0</v>
      </c>
      <c r="AM458">
        <v>1</v>
      </c>
      <c r="AN458">
        <v>0</v>
      </c>
      <c r="AO458">
        <v>-6.3866999999999994</v>
      </c>
      <c r="AP458">
        <v>8.1</v>
      </c>
      <c r="AQ458">
        <v>877.35299999999995</v>
      </c>
      <c r="AS458">
        <v>953.5</v>
      </c>
      <c r="AT458">
        <v>969</v>
      </c>
      <c r="AU458">
        <v>18</v>
      </c>
      <c r="AX458" t="s">
        <v>108</v>
      </c>
    </row>
    <row r="459" spans="1:50" x14ac:dyDescent="0.45">
      <c r="A459">
        <v>10458</v>
      </c>
      <c r="B459">
        <v>1</v>
      </c>
      <c r="C459">
        <v>89.86</v>
      </c>
      <c r="D459">
        <v>8.1</v>
      </c>
      <c r="E459">
        <v>0.99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1.05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Y459">
        <v>1</v>
      </c>
      <c r="Z459">
        <v>0</v>
      </c>
      <c r="AA459">
        <v>0</v>
      </c>
      <c r="AB459">
        <v>0</v>
      </c>
      <c r="AC459">
        <v>1</v>
      </c>
      <c r="AD459">
        <v>915</v>
      </c>
      <c r="AE459">
        <v>1</v>
      </c>
      <c r="AF459">
        <v>1</v>
      </c>
      <c r="AG459">
        <v>0</v>
      </c>
      <c r="AH459">
        <v>0</v>
      </c>
      <c r="AI459">
        <v>1</v>
      </c>
      <c r="AJ459">
        <v>580</v>
      </c>
      <c r="AK459">
        <v>8</v>
      </c>
      <c r="AL459">
        <v>0</v>
      </c>
      <c r="AM459">
        <v>1</v>
      </c>
      <c r="AN459">
        <v>0</v>
      </c>
      <c r="AO459">
        <v>-6.3866999999999994</v>
      </c>
      <c r="AP459">
        <v>8.1</v>
      </c>
      <c r="AQ459">
        <v>877.35299999999995</v>
      </c>
      <c r="AS459">
        <v>926.5</v>
      </c>
      <c r="AT459">
        <v>971</v>
      </c>
      <c r="AU459">
        <v>16.8</v>
      </c>
      <c r="AX459" t="s">
        <v>108</v>
      </c>
    </row>
    <row r="460" spans="1:50" x14ac:dyDescent="0.45">
      <c r="A460">
        <v>10459</v>
      </c>
      <c r="B460">
        <v>1</v>
      </c>
      <c r="C460">
        <v>89.86</v>
      </c>
      <c r="D460">
        <v>8.1</v>
      </c>
      <c r="E460">
        <v>0.99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1.05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Y460">
        <v>1</v>
      </c>
      <c r="Z460">
        <v>0</v>
      </c>
      <c r="AA460">
        <v>0</v>
      </c>
      <c r="AB460">
        <v>0</v>
      </c>
      <c r="AC460">
        <v>1</v>
      </c>
      <c r="AD460">
        <v>960</v>
      </c>
      <c r="AE460">
        <v>1</v>
      </c>
      <c r="AF460">
        <v>0</v>
      </c>
      <c r="AG460">
        <v>1</v>
      </c>
      <c r="AH460">
        <v>0</v>
      </c>
      <c r="AI460">
        <v>1</v>
      </c>
      <c r="AJ460">
        <v>580</v>
      </c>
      <c r="AK460">
        <v>8</v>
      </c>
      <c r="AL460">
        <v>0</v>
      </c>
      <c r="AM460">
        <v>1</v>
      </c>
      <c r="AN460">
        <v>0</v>
      </c>
      <c r="AO460">
        <v>-6.3866999999999994</v>
      </c>
      <c r="AP460">
        <v>8.1</v>
      </c>
      <c r="AQ460">
        <v>877.35299999999995</v>
      </c>
      <c r="AS460">
        <v>908.5</v>
      </c>
      <c r="AT460">
        <v>928.5</v>
      </c>
      <c r="AU460">
        <v>16.8</v>
      </c>
      <c r="AX460" t="s">
        <v>108</v>
      </c>
    </row>
    <row r="461" spans="1:50" x14ac:dyDescent="0.45">
      <c r="A461">
        <v>10460</v>
      </c>
      <c r="B461">
        <v>1</v>
      </c>
      <c r="C461">
        <v>89.86</v>
      </c>
      <c r="D461">
        <v>8.1</v>
      </c>
      <c r="E461">
        <v>0.99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1.05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Y461">
        <v>1</v>
      </c>
      <c r="Z461">
        <v>0</v>
      </c>
      <c r="AA461">
        <v>0</v>
      </c>
      <c r="AB461">
        <v>0</v>
      </c>
      <c r="AC461">
        <v>1</v>
      </c>
      <c r="AD461">
        <v>960</v>
      </c>
      <c r="AE461">
        <v>1</v>
      </c>
      <c r="AF461">
        <v>1</v>
      </c>
      <c r="AG461">
        <v>0</v>
      </c>
      <c r="AH461">
        <v>0</v>
      </c>
      <c r="AI461">
        <v>1</v>
      </c>
      <c r="AJ461">
        <v>580</v>
      </c>
      <c r="AK461">
        <v>8</v>
      </c>
      <c r="AL461">
        <v>0</v>
      </c>
      <c r="AM461">
        <v>1</v>
      </c>
      <c r="AN461">
        <v>0</v>
      </c>
      <c r="AO461">
        <v>-6.3866999999999994</v>
      </c>
      <c r="AP461">
        <v>8.1</v>
      </c>
      <c r="AQ461">
        <v>877.35299999999995</v>
      </c>
      <c r="AS461">
        <v>931.5</v>
      </c>
      <c r="AT461">
        <v>964</v>
      </c>
      <c r="AU461">
        <v>15</v>
      </c>
      <c r="AX461" t="s">
        <v>108</v>
      </c>
    </row>
    <row r="462" spans="1:50" x14ac:dyDescent="0.45">
      <c r="A462">
        <v>10461</v>
      </c>
      <c r="B462">
        <v>1</v>
      </c>
      <c r="C462">
        <v>89.86</v>
      </c>
      <c r="D462">
        <v>8.1</v>
      </c>
      <c r="E462">
        <v>0.99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1.05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Y462">
        <v>1</v>
      </c>
      <c r="Z462">
        <v>0</v>
      </c>
      <c r="AA462">
        <v>0</v>
      </c>
      <c r="AB462">
        <v>0</v>
      </c>
      <c r="AC462">
        <v>1</v>
      </c>
      <c r="AD462">
        <v>1010</v>
      </c>
      <c r="AE462">
        <v>1</v>
      </c>
      <c r="AF462">
        <v>1</v>
      </c>
      <c r="AG462">
        <v>0</v>
      </c>
      <c r="AH462">
        <v>0</v>
      </c>
      <c r="AI462">
        <v>1</v>
      </c>
      <c r="AJ462">
        <v>580</v>
      </c>
      <c r="AK462">
        <v>8</v>
      </c>
      <c r="AL462">
        <v>0</v>
      </c>
      <c r="AM462">
        <v>1</v>
      </c>
      <c r="AN462">
        <v>0</v>
      </c>
      <c r="AO462">
        <v>-6.3866999999999994</v>
      </c>
      <c r="AP462">
        <v>8.1</v>
      </c>
      <c r="AQ462">
        <v>877.35299999999995</v>
      </c>
      <c r="AS462">
        <v>937.5</v>
      </c>
      <c r="AT462">
        <v>989.5</v>
      </c>
      <c r="AU462">
        <v>15.3</v>
      </c>
      <c r="AX462" t="s">
        <v>108</v>
      </c>
    </row>
    <row r="463" spans="1:50" x14ac:dyDescent="0.45">
      <c r="A463">
        <v>10462</v>
      </c>
      <c r="B463">
        <v>1</v>
      </c>
      <c r="C463">
        <v>89.86</v>
      </c>
      <c r="D463">
        <v>8.1</v>
      </c>
      <c r="E463">
        <v>0.99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1.05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Y463">
        <v>1</v>
      </c>
      <c r="Z463">
        <v>0</v>
      </c>
      <c r="AA463">
        <v>0</v>
      </c>
      <c r="AB463">
        <v>0</v>
      </c>
      <c r="AC463">
        <v>1</v>
      </c>
      <c r="AD463">
        <v>915</v>
      </c>
      <c r="AE463">
        <v>1</v>
      </c>
      <c r="AF463">
        <v>0</v>
      </c>
      <c r="AG463">
        <v>1</v>
      </c>
      <c r="AH463">
        <v>0</v>
      </c>
      <c r="AI463">
        <v>1</v>
      </c>
      <c r="AJ463">
        <v>550</v>
      </c>
      <c r="AK463">
        <v>8</v>
      </c>
      <c r="AL463">
        <v>0</v>
      </c>
      <c r="AM463">
        <v>1</v>
      </c>
      <c r="AN463">
        <v>0</v>
      </c>
      <c r="AO463">
        <v>-6.3866999999999994</v>
      </c>
      <c r="AP463">
        <v>8.1</v>
      </c>
      <c r="AQ463">
        <v>877.35299999999995</v>
      </c>
      <c r="AS463">
        <v>907.5</v>
      </c>
      <c r="AT463">
        <v>938.5</v>
      </c>
      <c r="AU463">
        <v>16.5</v>
      </c>
      <c r="AX463" t="s">
        <v>108</v>
      </c>
    </row>
    <row r="464" spans="1:50" x14ac:dyDescent="0.45">
      <c r="A464">
        <v>10463</v>
      </c>
      <c r="B464">
        <v>1</v>
      </c>
      <c r="C464">
        <v>89.86</v>
      </c>
      <c r="D464">
        <v>8.1</v>
      </c>
      <c r="E464">
        <v>0.99</v>
      </c>
      <c r="F464">
        <v>0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1.05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Y464">
        <v>1</v>
      </c>
      <c r="Z464">
        <v>0</v>
      </c>
      <c r="AA464">
        <v>0</v>
      </c>
      <c r="AB464">
        <v>0</v>
      </c>
      <c r="AC464">
        <v>1</v>
      </c>
      <c r="AD464">
        <v>960</v>
      </c>
      <c r="AE464">
        <v>1</v>
      </c>
      <c r="AF464">
        <v>1</v>
      </c>
      <c r="AG464">
        <v>0</v>
      </c>
      <c r="AH464">
        <v>0</v>
      </c>
      <c r="AI464">
        <v>1</v>
      </c>
      <c r="AJ464">
        <v>580</v>
      </c>
      <c r="AK464">
        <v>8</v>
      </c>
      <c r="AL464">
        <v>0</v>
      </c>
      <c r="AM464">
        <v>1</v>
      </c>
      <c r="AN464">
        <v>0</v>
      </c>
      <c r="AO464">
        <v>-6.3866999999999994</v>
      </c>
      <c r="AP464">
        <v>8.1</v>
      </c>
      <c r="AQ464">
        <v>877.35299999999995</v>
      </c>
      <c r="AS464">
        <v>966</v>
      </c>
      <c r="AT464">
        <v>1017.5</v>
      </c>
      <c r="AU464">
        <v>15.3</v>
      </c>
      <c r="AX464" t="s">
        <v>108</v>
      </c>
    </row>
    <row r="465" spans="1:50" x14ac:dyDescent="0.45">
      <c r="A465">
        <v>10464</v>
      </c>
      <c r="B465">
        <v>1</v>
      </c>
      <c r="C465">
        <v>89.86</v>
      </c>
      <c r="D465">
        <v>8.1</v>
      </c>
      <c r="E465">
        <v>0.99</v>
      </c>
      <c r="F465">
        <v>0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1.05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Y465">
        <v>1</v>
      </c>
      <c r="Z465">
        <v>0</v>
      </c>
      <c r="AA465">
        <v>0</v>
      </c>
      <c r="AB465">
        <v>0</v>
      </c>
      <c r="AC465">
        <v>1</v>
      </c>
      <c r="AD465">
        <v>960</v>
      </c>
      <c r="AE465">
        <v>1</v>
      </c>
      <c r="AF465">
        <v>0</v>
      </c>
      <c r="AG465">
        <v>1</v>
      </c>
      <c r="AH465">
        <v>0</v>
      </c>
      <c r="AI465">
        <v>1</v>
      </c>
      <c r="AJ465">
        <v>550</v>
      </c>
      <c r="AK465">
        <v>8</v>
      </c>
      <c r="AL465">
        <v>0</v>
      </c>
      <c r="AM465">
        <v>1</v>
      </c>
      <c r="AN465">
        <v>0</v>
      </c>
      <c r="AO465">
        <v>-6.3866999999999994</v>
      </c>
      <c r="AP465">
        <v>8.1</v>
      </c>
      <c r="AQ465">
        <v>877.35299999999995</v>
      </c>
      <c r="AS465">
        <v>893.5</v>
      </c>
      <c r="AT465">
        <v>919.5</v>
      </c>
      <c r="AU465">
        <v>16.5</v>
      </c>
      <c r="AX465" t="s">
        <v>108</v>
      </c>
    </row>
    <row r="466" spans="1:50" x14ac:dyDescent="0.45">
      <c r="A466">
        <v>10465</v>
      </c>
      <c r="B466">
        <v>1</v>
      </c>
      <c r="C466">
        <v>89.86</v>
      </c>
      <c r="D466">
        <v>8.1</v>
      </c>
      <c r="E466">
        <v>0.99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1.05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Y466">
        <v>1</v>
      </c>
      <c r="Z466">
        <v>0</v>
      </c>
      <c r="AA466">
        <v>0</v>
      </c>
      <c r="AB466">
        <v>0</v>
      </c>
      <c r="AC466">
        <v>1</v>
      </c>
      <c r="AD466">
        <v>960</v>
      </c>
      <c r="AE466">
        <v>1</v>
      </c>
      <c r="AF466">
        <v>0</v>
      </c>
      <c r="AG466">
        <v>1</v>
      </c>
      <c r="AH466">
        <v>0</v>
      </c>
      <c r="AI466">
        <v>1</v>
      </c>
      <c r="AJ466">
        <v>620</v>
      </c>
      <c r="AK466">
        <v>8</v>
      </c>
      <c r="AL466">
        <v>0</v>
      </c>
      <c r="AM466">
        <v>1</v>
      </c>
      <c r="AN466">
        <v>0</v>
      </c>
      <c r="AO466">
        <v>-6.3866999999999994</v>
      </c>
      <c r="AP466">
        <v>8.1</v>
      </c>
      <c r="AQ466">
        <v>877.35299999999995</v>
      </c>
      <c r="AS466">
        <v>914</v>
      </c>
      <c r="AT466">
        <v>929</v>
      </c>
      <c r="AU466">
        <v>16.3</v>
      </c>
      <c r="AX466" t="s">
        <v>108</v>
      </c>
    </row>
    <row r="467" spans="1:50" x14ac:dyDescent="0.45">
      <c r="A467">
        <v>10466</v>
      </c>
      <c r="B467">
        <v>1</v>
      </c>
      <c r="C467">
        <v>89.86</v>
      </c>
      <c r="D467">
        <v>8.1</v>
      </c>
      <c r="E467">
        <v>0.99</v>
      </c>
      <c r="F467">
        <v>0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1.05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Y467">
        <v>1</v>
      </c>
      <c r="Z467">
        <v>0</v>
      </c>
      <c r="AA467">
        <v>0</v>
      </c>
      <c r="AB467">
        <v>0</v>
      </c>
      <c r="AC467">
        <v>1</v>
      </c>
      <c r="AD467">
        <v>1010</v>
      </c>
      <c r="AE467">
        <v>1</v>
      </c>
      <c r="AF467">
        <v>1</v>
      </c>
      <c r="AG467">
        <v>0</v>
      </c>
      <c r="AH467">
        <v>0</v>
      </c>
      <c r="AI467">
        <v>1</v>
      </c>
      <c r="AJ467">
        <v>580</v>
      </c>
      <c r="AK467">
        <v>8</v>
      </c>
      <c r="AL467">
        <v>0</v>
      </c>
      <c r="AM467">
        <v>1</v>
      </c>
      <c r="AN467">
        <v>0</v>
      </c>
      <c r="AO467">
        <v>-6.3866999999999994</v>
      </c>
      <c r="AP467">
        <v>8.1</v>
      </c>
      <c r="AQ467">
        <v>877.35299999999995</v>
      </c>
      <c r="AS467">
        <v>968.5</v>
      </c>
      <c r="AT467">
        <v>1028.5</v>
      </c>
      <c r="AU467">
        <v>16.8</v>
      </c>
      <c r="AX467" t="s">
        <v>108</v>
      </c>
    </row>
    <row r="468" spans="1:50" x14ac:dyDescent="0.45">
      <c r="A468">
        <v>10467</v>
      </c>
      <c r="B468">
        <v>1</v>
      </c>
      <c r="C468">
        <v>89.86</v>
      </c>
      <c r="D468">
        <v>8.1</v>
      </c>
      <c r="E468">
        <v>0.99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1.05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Y468">
        <v>1</v>
      </c>
      <c r="Z468">
        <v>0</v>
      </c>
      <c r="AA468">
        <v>0</v>
      </c>
      <c r="AB468">
        <v>0</v>
      </c>
      <c r="AC468">
        <v>1</v>
      </c>
      <c r="AD468">
        <v>1010</v>
      </c>
      <c r="AE468">
        <v>1</v>
      </c>
      <c r="AF468">
        <v>0</v>
      </c>
      <c r="AG468">
        <v>1</v>
      </c>
      <c r="AH468">
        <v>0</v>
      </c>
      <c r="AI468">
        <v>1</v>
      </c>
      <c r="AJ468">
        <v>550</v>
      </c>
      <c r="AK468">
        <v>8</v>
      </c>
      <c r="AL468">
        <v>0</v>
      </c>
      <c r="AM468">
        <v>1</v>
      </c>
      <c r="AN468">
        <v>0</v>
      </c>
      <c r="AO468">
        <v>-6.3866999999999994</v>
      </c>
      <c r="AP468">
        <v>8.1</v>
      </c>
      <c r="AQ468">
        <v>877.35299999999995</v>
      </c>
      <c r="AS468">
        <v>879</v>
      </c>
      <c r="AT468">
        <v>919.5</v>
      </c>
      <c r="AU468">
        <v>16.3</v>
      </c>
      <c r="AX468" t="s">
        <v>108</v>
      </c>
    </row>
    <row r="469" spans="1:50" x14ac:dyDescent="0.45">
      <c r="A469">
        <v>10468</v>
      </c>
      <c r="B469">
        <v>1</v>
      </c>
      <c r="C469">
        <v>89.86</v>
      </c>
      <c r="D469">
        <v>8.1</v>
      </c>
      <c r="E469">
        <v>0.99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1.05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Y469">
        <v>1</v>
      </c>
      <c r="Z469">
        <v>0</v>
      </c>
      <c r="AA469">
        <v>0</v>
      </c>
      <c r="AB469">
        <v>0</v>
      </c>
      <c r="AC469">
        <v>1</v>
      </c>
      <c r="AD469">
        <v>1010</v>
      </c>
      <c r="AE469">
        <v>1</v>
      </c>
      <c r="AF469">
        <v>0</v>
      </c>
      <c r="AG469">
        <v>1</v>
      </c>
      <c r="AH469">
        <v>0</v>
      </c>
      <c r="AI469">
        <v>1</v>
      </c>
      <c r="AJ469">
        <v>620</v>
      </c>
      <c r="AK469">
        <v>8</v>
      </c>
      <c r="AL469">
        <v>0</v>
      </c>
      <c r="AM469">
        <v>1</v>
      </c>
      <c r="AN469">
        <v>0</v>
      </c>
      <c r="AO469">
        <v>-6.3866999999999994</v>
      </c>
      <c r="AP469">
        <v>8.1</v>
      </c>
      <c r="AQ469">
        <v>877.35299999999995</v>
      </c>
      <c r="AS469">
        <v>912</v>
      </c>
      <c r="AT469">
        <v>938.5</v>
      </c>
      <c r="AU469">
        <v>17.8</v>
      </c>
      <c r="AX469" t="s">
        <v>108</v>
      </c>
    </row>
    <row r="470" spans="1:50" x14ac:dyDescent="0.45">
      <c r="A470">
        <v>10469</v>
      </c>
      <c r="B470">
        <v>1</v>
      </c>
      <c r="C470">
        <v>89.86</v>
      </c>
      <c r="D470">
        <v>8.1</v>
      </c>
      <c r="E470">
        <v>0.99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1.05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Y470">
        <v>1</v>
      </c>
      <c r="Z470">
        <v>0</v>
      </c>
      <c r="AA470">
        <v>0</v>
      </c>
      <c r="AB470">
        <v>0</v>
      </c>
      <c r="AC470">
        <v>1</v>
      </c>
      <c r="AD470">
        <v>910</v>
      </c>
      <c r="AE470">
        <v>1</v>
      </c>
      <c r="AF470">
        <v>0</v>
      </c>
      <c r="AG470">
        <v>1</v>
      </c>
      <c r="AH470">
        <v>0</v>
      </c>
      <c r="AI470">
        <v>0</v>
      </c>
      <c r="AO470">
        <v>-6.3866999999999994</v>
      </c>
      <c r="AP470">
        <v>8.1</v>
      </c>
      <c r="AQ470">
        <v>877.35299999999995</v>
      </c>
      <c r="AS470">
        <v>827</v>
      </c>
      <c r="AT470">
        <v>936</v>
      </c>
      <c r="AU470">
        <v>16.7</v>
      </c>
      <c r="AX470" t="s">
        <v>108</v>
      </c>
    </row>
    <row r="471" spans="1:50" x14ac:dyDescent="0.45">
      <c r="A471">
        <v>10470</v>
      </c>
      <c r="B471">
        <v>1</v>
      </c>
      <c r="C471">
        <v>89.86</v>
      </c>
      <c r="D471">
        <v>8.1</v>
      </c>
      <c r="E471">
        <v>0.99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1.05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Y471">
        <v>1</v>
      </c>
      <c r="Z471">
        <v>0</v>
      </c>
      <c r="AA471">
        <v>0</v>
      </c>
      <c r="AB471">
        <v>0</v>
      </c>
      <c r="AC471">
        <v>1</v>
      </c>
      <c r="AD471">
        <v>910</v>
      </c>
      <c r="AE471">
        <v>2</v>
      </c>
      <c r="AF471">
        <v>0</v>
      </c>
      <c r="AG471">
        <v>1</v>
      </c>
      <c r="AH471">
        <v>0</v>
      </c>
      <c r="AI471">
        <v>0</v>
      </c>
      <c r="AO471">
        <v>-6.3866999999999994</v>
      </c>
      <c r="AP471">
        <v>8.1</v>
      </c>
      <c r="AQ471">
        <v>877.35299999999995</v>
      </c>
      <c r="AS471">
        <v>810</v>
      </c>
      <c r="AT471">
        <v>921</v>
      </c>
      <c r="AU471">
        <v>16.899999999999999</v>
      </c>
      <c r="AX471" t="s">
        <v>108</v>
      </c>
    </row>
    <row r="472" spans="1:50" x14ac:dyDescent="0.45">
      <c r="A472">
        <v>10471</v>
      </c>
      <c r="B472">
        <v>1</v>
      </c>
      <c r="C472">
        <v>89.86</v>
      </c>
      <c r="D472">
        <v>8.1</v>
      </c>
      <c r="E472">
        <v>0.99</v>
      </c>
      <c r="F472">
        <v>0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1.05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Y472">
        <v>1</v>
      </c>
      <c r="Z472">
        <v>0</v>
      </c>
      <c r="AA472">
        <v>0</v>
      </c>
      <c r="AB472">
        <v>0</v>
      </c>
      <c r="AC472">
        <v>1</v>
      </c>
      <c r="AD472">
        <v>910</v>
      </c>
      <c r="AE472">
        <v>3</v>
      </c>
      <c r="AF472">
        <v>0</v>
      </c>
      <c r="AG472">
        <v>1</v>
      </c>
      <c r="AH472">
        <v>0</v>
      </c>
      <c r="AI472">
        <v>0</v>
      </c>
      <c r="AO472">
        <v>-6.3866999999999994</v>
      </c>
      <c r="AP472">
        <v>8.1</v>
      </c>
      <c r="AQ472">
        <v>877.35299999999995</v>
      </c>
      <c r="AS472">
        <v>823</v>
      </c>
      <c r="AT472">
        <v>910</v>
      </c>
      <c r="AU472">
        <v>16.399999999999999</v>
      </c>
      <c r="AX472" t="s">
        <v>108</v>
      </c>
    </row>
    <row r="473" spans="1:50" x14ac:dyDescent="0.45">
      <c r="A473">
        <v>10472</v>
      </c>
      <c r="B473">
        <v>1</v>
      </c>
      <c r="C473">
        <v>89.86</v>
      </c>
      <c r="D473">
        <v>8.1</v>
      </c>
      <c r="E473">
        <v>0.99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1.05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Y473">
        <v>1</v>
      </c>
      <c r="Z473">
        <v>0</v>
      </c>
      <c r="AA473">
        <v>0</v>
      </c>
      <c r="AB473">
        <v>0</v>
      </c>
      <c r="AC473">
        <v>1</v>
      </c>
      <c r="AD473">
        <v>910</v>
      </c>
      <c r="AE473">
        <v>4</v>
      </c>
      <c r="AF473">
        <v>0</v>
      </c>
      <c r="AG473">
        <v>1</v>
      </c>
      <c r="AH473">
        <v>0</v>
      </c>
      <c r="AI473">
        <v>0</v>
      </c>
      <c r="AO473">
        <v>-6.3866999999999994</v>
      </c>
      <c r="AP473">
        <v>8.1</v>
      </c>
      <c r="AQ473">
        <v>877.35299999999995</v>
      </c>
      <c r="AS473">
        <v>826</v>
      </c>
      <c r="AT473">
        <v>913</v>
      </c>
      <c r="AU473">
        <v>19.100000000000001</v>
      </c>
      <c r="AX473" t="s">
        <v>108</v>
      </c>
    </row>
    <row r="474" spans="1:50" x14ac:dyDescent="0.45">
      <c r="A474">
        <v>10473</v>
      </c>
      <c r="B474">
        <v>1</v>
      </c>
      <c r="C474">
        <v>89.86</v>
      </c>
      <c r="D474">
        <v>8.1</v>
      </c>
      <c r="E474">
        <v>0.99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1.05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Y474">
        <v>1</v>
      </c>
      <c r="Z474">
        <v>0</v>
      </c>
      <c r="AA474">
        <v>0</v>
      </c>
      <c r="AB474">
        <v>0</v>
      </c>
      <c r="AC474">
        <v>1</v>
      </c>
      <c r="AD474">
        <v>910</v>
      </c>
      <c r="AE474">
        <v>5</v>
      </c>
      <c r="AF474">
        <v>0</v>
      </c>
      <c r="AG474">
        <v>1</v>
      </c>
      <c r="AH474">
        <v>0</v>
      </c>
      <c r="AI474">
        <v>0</v>
      </c>
      <c r="AO474">
        <v>-6.3866999999999994</v>
      </c>
      <c r="AP474">
        <v>8.1</v>
      </c>
      <c r="AQ474">
        <v>877.35299999999995</v>
      </c>
      <c r="AS474">
        <v>806</v>
      </c>
      <c r="AT474">
        <v>890</v>
      </c>
      <c r="AU474">
        <v>17.399999999999999</v>
      </c>
      <c r="AX474" t="s">
        <v>108</v>
      </c>
    </row>
    <row r="475" spans="1:50" x14ac:dyDescent="0.45">
      <c r="A475">
        <v>10474</v>
      </c>
      <c r="B475">
        <v>1</v>
      </c>
      <c r="C475">
        <v>89.86</v>
      </c>
      <c r="D475">
        <v>8.1</v>
      </c>
      <c r="E475">
        <v>0.99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1.05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Y475">
        <v>1</v>
      </c>
      <c r="Z475">
        <v>0</v>
      </c>
      <c r="AA475">
        <v>0</v>
      </c>
      <c r="AB475">
        <v>0</v>
      </c>
      <c r="AC475">
        <v>1</v>
      </c>
      <c r="AD475">
        <v>910</v>
      </c>
      <c r="AE475">
        <v>6</v>
      </c>
      <c r="AF475">
        <v>0</v>
      </c>
      <c r="AG475">
        <v>1</v>
      </c>
      <c r="AH475">
        <v>0</v>
      </c>
      <c r="AI475">
        <v>0</v>
      </c>
      <c r="AO475">
        <v>-6.3866999999999994</v>
      </c>
      <c r="AP475">
        <v>8.1</v>
      </c>
      <c r="AQ475">
        <v>877.35299999999995</v>
      </c>
      <c r="AS475">
        <v>833</v>
      </c>
      <c r="AT475">
        <v>906</v>
      </c>
      <c r="AU475">
        <v>21.1</v>
      </c>
      <c r="AX475" t="s">
        <v>108</v>
      </c>
    </row>
    <row r="476" spans="1:50" x14ac:dyDescent="0.45">
      <c r="A476">
        <v>10475</v>
      </c>
      <c r="B476">
        <v>1</v>
      </c>
      <c r="C476">
        <v>87.37</v>
      </c>
      <c r="D476">
        <v>3.3</v>
      </c>
      <c r="E476">
        <v>4.4000000000000004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4.8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Y476">
        <v>1</v>
      </c>
      <c r="Z476">
        <v>0</v>
      </c>
      <c r="AA476">
        <v>0</v>
      </c>
      <c r="AB476">
        <v>0</v>
      </c>
      <c r="AC476">
        <v>1</v>
      </c>
      <c r="AD476">
        <v>820</v>
      </c>
      <c r="AE476">
        <v>2</v>
      </c>
      <c r="AF476">
        <v>0</v>
      </c>
      <c r="AG476">
        <v>1</v>
      </c>
      <c r="AH476">
        <v>0</v>
      </c>
      <c r="AI476">
        <v>1</v>
      </c>
      <c r="AJ476">
        <v>560</v>
      </c>
      <c r="AK476">
        <v>6</v>
      </c>
      <c r="AL476">
        <v>0</v>
      </c>
      <c r="AM476">
        <v>1</v>
      </c>
      <c r="AN476">
        <v>0</v>
      </c>
      <c r="AO476">
        <v>4.4480000000000004</v>
      </c>
      <c r="AP476">
        <v>3.3</v>
      </c>
      <c r="AQ476">
        <v>791.41</v>
      </c>
      <c r="AS476">
        <v>924.68</v>
      </c>
      <c r="AT476">
        <v>961.72</v>
      </c>
      <c r="AU476">
        <v>21.72</v>
      </c>
      <c r="AX476" t="s">
        <v>108</v>
      </c>
    </row>
    <row r="477" spans="1:50" x14ac:dyDescent="0.45">
      <c r="A477">
        <v>10476</v>
      </c>
      <c r="B477">
        <v>1</v>
      </c>
      <c r="C477">
        <v>87.37</v>
      </c>
      <c r="D477">
        <v>3.3</v>
      </c>
      <c r="E477">
        <v>4.4000000000000004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4.8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Y477">
        <v>1</v>
      </c>
      <c r="Z477">
        <v>0</v>
      </c>
      <c r="AA477">
        <v>0</v>
      </c>
      <c r="AB477">
        <v>0</v>
      </c>
      <c r="AC477">
        <v>1</v>
      </c>
      <c r="AD477">
        <v>820</v>
      </c>
      <c r="AE477">
        <v>3</v>
      </c>
      <c r="AF477">
        <v>0</v>
      </c>
      <c r="AG477">
        <v>1</v>
      </c>
      <c r="AH477">
        <v>0</v>
      </c>
      <c r="AI477">
        <v>1</v>
      </c>
      <c r="AJ477">
        <v>560</v>
      </c>
      <c r="AK477">
        <v>7</v>
      </c>
      <c r="AL477">
        <v>0</v>
      </c>
      <c r="AM477">
        <v>1</v>
      </c>
      <c r="AN477">
        <v>0</v>
      </c>
      <c r="AO477">
        <v>4.4480000000000004</v>
      </c>
      <c r="AP477">
        <v>3.3</v>
      </c>
      <c r="AQ477">
        <v>791.41</v>
      </c>
      <c r="AS477">
        <v>914.02</v>
      </c>
      <c r="AT477">
        <v>961.51</v>
      </c>
      <c r="AU477">
        <v>23.11</v>
      </c>
      <c r="AW477" t="s">
        <v>348</v>
      </c>
      <c r="AX477" t="s">
        <v>108</v>
      </c>
    </row>
    <row r="478" spans="1:50" x14ac:dyDescent="0.45">
      <c r="A478">
        <v>10477</v>
      </c>
      <c r="B478">
        <v>1</v>
      </c>
      <c r="C478">
        <v>87.37</v>
      </c>
      <c r="D478">
        <v>3.3</v>
      </c>
      <c r="E478">
        <v>4.4000000000000004</v>
      </c>
      <c r="F478">
        <v>0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4.8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Y478">
        <v>1</v>
      </c>
      <c r="Z478">
        <v>0</v>
      </c>
      <c r="AA478">
        <v>0</v>
      </c>
      <c r="AB478">
        <v>0</v>
      </c>
      <c r="AC478">
        <v>1</v>
      </c>
      <c r="AD478">
        <v>820</v>
      </c>
      <c r="AE478">
        <v>4</v>
      </c>
      <c r="AF478">
        <v>0</v>
      </c>
      <c r="AG478">
        <v>1</v>
      </c>
      <c r="AH478">
        <v>0</v>
      </c>
      <c r="AI478">
        <v>1</v>
      </c>
      <c r="AJ478">
        <v>560</v>
      </c>
      <c r="AK478">
        <v>8</v>
      </c>
      <c r="AL478">
        <v>0</v>
      </c>
      <c r="AM478">
        <v>1</v>
      </c>
      <c r="AN478">
        <v>0</v>
      </c>
      <c r="AO478">
        <v>4.4480000000000004</v>
      </c>
      <c r="AP478">
        <v>3.3</v>
      </c>
      <c r="AQ478">
        <v>791.41</v>
      </c>
      <c r="AS478">
        <v>958.99</v>
      </c>
      <c r="AT478">
        <v>998.15</v>
      </c>
      <c r="AU478">
        <v>23.45</v>
      </c>
      <c r="AW478" t="s">
        <v>348</v>
      </c>
      <c r="AX478" t="s">
        <v>108</v>
      </c>
    </row>
    <row r="479" spans="1:50" x14ac:dyDescent="0.45">
      <c r="A479">
        <v>10478</v>
      </c>
      <c r="B479">
        <v>1</v>
      </c>
      <c r="C479">
        <v>87.37</v>
      </c>
      <c r="D479">
        <v>3.3</v>
      </c>
      <c r="E479">
        <v>4.4000000000000004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4.8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Y479">
        <v>1</v>
      </c>
      <c r="Z479">
        <v>0</v>
      </c>
      <c r="AA479">
        <v>0</v>
      </c>
      <c r="AB479">
        <v>0</v>
      </c>
      <c r="AC479">
        <v>1</v>
      </c>
      <c r="AD479">
        <v>820</v>
      </c>
      <c r="AE479">
        <v>5</v>
      </c>
      <c r="AF479">
        <v>0</v>
      </c>
      <c r="AG479">
        <v>1</v>
      </c>
      <c r="AH479">
        <v>0</v>
      </c>
      <c r="AI479">
        <v>1</v>
      </c>
      <c r="AJ479">
        <v>560</v>
      </c>
      <c r="AK479">
        <v>9</v>
      </c>
      <c r="AL479">
        <v>0</v>
      </c>
      <c r="AM479">
        <v>1</v>
      </c>
      <c r="AN479">
        <v>0</v>
      </c>
      <c r="AO479">
        <v>4.4480000000000004</v>
      </c>
      <c r="AP479">
        <v>3.3</v>
      </c>
      <c r="AQ479">
        <v>791.41</v>
      </c>
      <c r="AS479">
        <v>952.78</v>
      </c>
      <c r="AT479">
        <v>987.01</v>
      </c>
      <c r="AU479">
        <v>23.35</v>
      </c>
      <c r="AW479" t="s">
        <v>348</v>
      </c>
      <c r="AX479" t="s">
        <v>108</v>
      </c>
    </row>
    <row r="480" spans="1:50" x14ac:dyDescent="0.45">
      <c r="A480">
        <v>10479</v>
      </c>
      <c r="B480">
        <v>1</v>
      </c>
      <c r="C480">
        <v>87.37</v>
      </c>
      <c r="D480">
        <v>3.3</v>
      </c>
      <c r="E480">
        <v>4.4000000000000004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4.8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Y480">
        <v>1</v>
      </c>
      <c r="Z480">
        <v>0</v>
      </c>
      <c r="AA480">
        <v>0</v>
      </c>
      <c r="AB480">
        <v>0</v>
      </c>
      <c r="AC480">
        <v>1</v>
      </c>
      <c r="AD480">
        <v>820</v>
      </c>
      <c r="AE480">
        <v>6</v>
      </c>
      <c r="AF480">
        <v>0</v>
      </c>
      <c r="AG480">
        <v>1</v>
      </c>
      <c r="AH480">
        <v>0</v>
      </c>
      <c r="AI480">
        <v>1</v>
      </c>
      <c r="AJ480">
        <v>560</v>
      </c>
      <c r="AK480">
        <v>10</v>
      </c>
      <c r="AL480">
        <v>0</v>
      </c>
      <c r="AM480">
        <v>1</v>
      </c>
      <c r="AN480">
        <v>0</v>
      </c>
      <c r="AO480">
        <v>4.4480000000000004</v>
      </c>
      <c r="AP480">
        <v>3.3</v>
      </c>
      <c r="AQ480">
        <v>791.41</v>
      </c>
      <c r="AS480">
        <v>950.16</v>
      </c>
      <c r="AT480">
        <v>980.21</v>
      </c>
      <c r="AU480">
        <v>23.3</v>
      </c>
      <c r="AW480" t="s">
        <v>348</v>
      </c>
      <c r="AX480" t="s">
        <v>108</v>
      </c>
    </row>
    <row r="481" spans="1:50" x14ac:dyDescent="0.45">
      <c r="A481">
        <v>10480</v>
      </c>
      <c r="B481">
        <v>1</v>
      </c>
      <c r="C481">
        <v>87.37</v>
      </c>
      <c r="D481">
        <v>3.3</v>
      </c>
      <c r="E481">
        <v>4.4000000000000004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4.8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Y481">
        <v>1</v>
      </c>
      <c r="Z481">
        <v>0</v>
      </c>
      <c r="AA481">
        <v>0</v>
      </c>
      <c r="AB481">
        <v>0</v>
      </c>
      <c r="AC481">
        <v>1</v>
      </c>
      <c r="AD481">
        <v>820</v>
      </c>
      <c r="AE481">
        <v>7</v>
      </c>
      <c r="AF481">
        <v>0</v>
      </c>
      <c r="AG481">
        <v>1</v>
      </c>
      <c r="AH481">
        <v>0</v>
      </c>
      <c r="AI481">
        <v>1</v>
      </c>
      <c r="AJ481">
        <v>580</v>
      </c>
      <c r="AK481">
        <v>6</v>
      </c>
      <c r="AL481">
        <v>0</v>
      </c>
      <c r="AM481">
        <v>1</v>
      </c>
      <c r="AN481">
        <v>0</v>
      </c>
      <c r="AO481">
        <v>4.4480000000000004</v>
      </c>
      <c r="AP481">
        <v>3.3</v>
      </c>
      <c r="AQ481">
        <v>791.41</v>
      </c>
      <c r="AS481">
        <v>891.24</v>
      </c>
      <c r="AT481">
        <v>930.25</v>
      </c>
      <c r="AU481">
        <v>22.59</v>
      </c>
      <c r="AW481" t="s">
        <v>348</v>
      </c>
      <c r="AX481" t="s">
        <v>108</v>
      </c>
    </row>
    <row r="482" spans="1:50" x14ac:dyDescent="0.45">
      <c r="A482">
        <v>10481</v>
      </c>
      <c r="B482">
        <v>1</v>
      </c>
      <c r="C482">
        <v>87.37</v>
      </c>
      <c r="D482">
        <v>3.3</v>
      </c>
      <c r="E482">
        <v>4.4000000000000004</v>
      </c>
      <c r="F482">
        <v>0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4.8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Y482">
        <v>1</v>
      </c>
      <c r="Z482">
        <v>0</v>
      </c>
      <c r="AA482">
        <v>0</v>
      </c>
      <c r="AB482">
        <v>0</v>
      </c>
      <c r="AC482">
        <v>1</v>
      </c>
      <c r="AD482">
        <v>820</v>
      </c>
      <c r="AE482">
        <v>8</v>
      </c>
      <c r="AF482">
        <v>0</v>
      </c>
      <c r="AG482">
        <v>1</v>
      </c>
      <c r="AH482">
        <v>0</v>
      </c>
      <c r="AI482">
        <v>1</v>
      </c>
      <c r="AJ482">
        <v>580</v>
      </c>
      <c r="AK482">
        <v>7</v>
      </c>
      <c r="AL482">
        <v>0</v>
      </c>
      <c r="AM482">
        <v>1</v>
      </c>
      <c r="AN482">
        <v>0</v>
      </c>
      <c r="AO482">
        <v>4.4480000000000004</v>
      </c>
      <c r="AP482">
        <v>3.3</v>
      </c>
      <c r="AQ482">
        <v>791.41</v>
      </c>
      <c r="AS482">
        <v>889.85</v>
      </c>
      <c r="AT482">
        <v>931.47</v>
      </c>
      <c r="AU482">
        <v>22.88</v>
      </c>
      <c r="AX482" t="s">
        <v>108</v>
      </c>
    </row>
    <row r="483" spans="1:50" x14ac:dyDescent="0.45">
      <c r="A483">
        <v>10482</v>
      </c>
      <c r="B483">
        <v>1</v>
      </c>
      <c r="C483">
        <v>87.37</v>
      </c>
      <c r="D483">
        <v>3.3</v>
      </c>
      <c r="E483">
        <v>4.4000000000000004</v>
      </c>
      <c r="F483">
        <v>0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4.8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Y483">
        <v>1</v>
      </c>
      <c r="Z483">
        <v>0</v>
      </c>
      <c r="AA483">
        <v>0</v>
      </c>
      <c r="AB483">
        <v>0</v>
      </c>
      <c r="AC483">
        <v>1</v>
      </c>
      <c r="AD483">
        <v>820</v>
      </c>
      <c r="AE483">
        <v>9</v>
      </c>
      <c r="AF483">
        <v>0</v>
      </c>
      <c r="AG483">
        <v>1</v>
      </c>
      <c r="AH483">
        <v>0</v>
      </c>
      <c r="AI483">
        <v>1</v>
      </c>
      <c r="AJ483">
        <v>580</v>
      </c>
      <c r="AK483">
        <v>8</v>
      </c>
      <c r="AL483">
        <v>0</v>
      </c>
      <c r="AM483">
        <v>1</v>
      </c>
      <c r="AN483">
        <v>0</v>
      </c>
      <c r="AO483">
        <v>4.4480000000000004</v>
      </c>
      <c r="AP483">
        <v>3.3</v>
      </c>
      <c r="AQ483">
        <v>791.41</v>
      </c>
      <c r="AS483">
        <v>972.03</v>
      </c>
      <c r="AT483">
        <v>1007.3</v>
      </c>
      <c r="AU483">
        <v>24.25</v>
      </c>
      <c r="AX483" t="s">
        <v>108</v>
      </c>
    </row>
    <row r="484" spans="1:50" x14ac:dyDescent="0.45">
      <c r="A484">
        <v>10483</v>
      </c>
      <c r="B484">
        <v>1</v>
      </c>
      <c r="C484">
        <v>87.37</v>
      </c>
      <c r="D484">
        <v>3.3</v>
      </c>
      <c r="E484">
        <v>4.4000000000000004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4.8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Y484">
        <v>1</v>
      </c>
      <c r="Z484">
        <v>0</v>
      </c>
      <c r="AA484">
        <v>0</v>
      </c>
      <c r="AB484">
        <v>0</v>
      </c>
      <c r="AC484">
        <v>1</v>
      </c>
      <c r="AD484">
        <v>820</v>
      </c>
      <c r="AE484">
        <v>10</v>
      </c>
      <c r="AF484">
        <v>0</v>
      </c>
      <c r="AG484">
        <v>1</v>
      </c>
      <c r="AH484">
        <v>0</v>
      </c>
      <c r="AI484">
        <v>1</v>
      </c>
      <c r="AJ484">
        <v>580</v>
      </c>
      <c r="AK484">
        <v>9</v>
      </c>
      <c r="AL484">
        <v>0</v>
      </c>
      <c r="AM484">
        <v>1</v>
      </c>
      <c r="AN484">
        <v>0</v>
      </c>
      <c r="AO484">
        <v>4.4480000000000004</v>
      </c>
      <c r="AP484">
        <v>3.3</v>
      </c>
      <c r="AQ484">
        <v>791.41</v>
      </c>
      <c r="AS484">
        <v>944.57</v>
      </c>
      <c r="AT484">
        <v>977.95</v>
      </c>
      <c r="AU484">
        <v>24.05</v>
      </c>
      <c r="AX484" t="s">
        <v>108</v>
      </c>
    </row>
    <row r="485" spans="1:50" x14ac:dyDescent="0.45">
      <c r="A485">
        <v>10484</v>
      </c>
      <c r="B485">
        <v>1</v>
      </c>
      <c r="C485">
        <v>87.37</v>
      </c>
      <c r="D485">
        <v>3.3</v>
      </c>
      <c r="E485">
        <v>4.4000000000000004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4.8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Y485">
        <v>1</v>
      </c>
      <c r="Z485">
        <v>0</v>
      </c>
      <c r="AA485">
        <v>0</v>
      </c>
      <c r="AB485">
        <v>0</v>
      </c>
      <c r="AC485">
        <v>1</v>
      </c>
      <c r="AD485">
        <v>820</v>
      </c>
      <c r="AE485">
        <v>11</v>
      </c>
      <c r="AF485">
        <v>0</v>
      </c>
      <c r="AG485">
        <v>1</v>
      </c>
      <c r="AH485">
        <v>0</v>
      </c>
      <c r="AI485">
        <v>1</v>
      </c>
      <c r="AJ485">
        <v>580</v>
      </c>
      <c r="AK485">
        <v>10</v>
      </c>
      <c r="AL485">
        <v>0</v>
      </c>
      <c r="AM485">
        <v>1</v>
      </c>
      <c r="AN485">
        <v>0</v>
      </c>
      <c r="AO485">
        <v>4.4480000000000004</v>
      </c>
      <c r="AP485">
        <v>3.3</v>
      </c>
      <c r="AQ485">
        <v>791.41</v>
      </c>
      <c r="AS485">
        <v>943.38</v>
      </c>
      <c r="AT485">
        <v>974.97</v>
      </c>
      <c r="AU485">
        <v>24.01</v>
      </c>
      <c r="AX485" t="s">
        <v>108</v>
      </c>
    </row>
    <row r="486" spans="1:50" x14ac:dyDescent="0.45">
      <c r="A486">
        <v>10485</v>
      </c>
      <c r="B486">
        <v>1</v>
      </c>
      <c r="C486">
        <v>87.37</v>
      </c>
      <c r="D486">
        <v>3.3</v>
      </c>
      <c r="E486">
        <v>4.4000000000000004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4.8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Y486">
        <v>1</v>
      </c>
      <c r="Z486">
        <v>0</v>
      </c>
      <c r="AA486">
        <v>0</v>
      </c>
      <c r="AB486">
        <v>0</v>
      </c>
      <c r="AC486">
        <v>1</v>
      </c>
      <c r="AD486">
        <v>820</v>
      </c>
      <c r="AE486">
        <v>12</v>
      </c>
      <c r="AF486">
        <v>0</v>
      </c>
      <c r="AG486">
        <v>1</v>
      </c>
      <c r="AH486">
        <v>0</v>
      </c>
      <c r="AI486">
        <v>1</v>
      </c>
      <c r="AJ486">
        <v>600</v>
      </c>
      <c r="AK486">
        <v>6</v>
      </c>
      <c r="AL486">
        <v>0</v>
      </c>
      <c r="AM486">
        <v>1</v>
      </c>
      <c r="AN486">
        <v>0</v>
      </c>
      <c r="AO486">
        <v>4.4480000000000004</v>
      </c>
      <c r="AP486">
        <v>3.3</v>
      </c>
      <c r="AQ486">
        <v>791.41</v>
      </c>
      <c r="AS486">
        <v>873.54</v>
      </c>
      <c r="AT486">
        <v>913.02</v>
      </c>
      <c r="AU486">
        <v>25.34</v>
      </c>
      <c r="AX486" t="s">
        <v>108</v>
      </c>
    </row>
    <row r="487" spans="1:50" x14ac:dyDescent="0.45">
      <c r="A487">
        <v>10486</v>
      </c>
      <c r="B487">
        <v>1</v>
      </c>
      <c r="C487">
        <v>87.37</v>
      </c>
      <c r="D487">
        <v>3.3</v>
      </c>
      <c r="E487">
        <v>4.4000000000000004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4.8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Y487">
        <v>1</v>
      </c>
      <c r="Z487">
        <v>0</v>
      </c>
      <c r="AA487">
        <v>0</v>
      </c>
      <c r="AB487">
        <v>0</v>
      </c>
      <c r="AC487">
        <v>1</v>
      </c>
      <c r="AD487">
        <v>820</v>
      </c>
      <c r="AE487">
        <v>13</v>
      </c>
      <c r="AF487">
        <v>0</v>
      </c>
      <c r="AG487">
        <v>1</v>
      </c>
      <c r="AH487">
        <v>0</v>
      </c>
      <c r="AI487">
        <v>1</v>
      </c>
      <c r="AJ487">
        <v>600</v>
      </c>
      <c r="AK487">
        <v>7</v>
      </c>
      <c r="AL487">
        <v>0</v>
      </c>
      <c r="AM487">
        <v>1</v>
      </c>
      <c r="AN487">
        <v>0</v>
      </c>
      <c r="AO487">
        <v>4.4480000000000004</v>
      </c>
      <c r="AP487">
        <v>3.3</v>
      </c>
      <c r="AQ487">
        <v>791.41</v>
      </c>
      <c r="AS487">
        <v>882.35</v>
      </c>
      <c r="AT487">
        <v>917.65</v>
      </c>
      <c r="AU487">
        <v>25.51</v>
      </c>
      <c r="AX487" t="s">
        <v>108</v>
      </c>
    </row>
    <row r="488" spans="1:50" x14ac:dyDescent="0.45">
      <c r="A488">
        <v>10487</v>
      </c>
      <c r="B488">
        <v>1</v>
      </c>
      <c r="C488">
        <v>87.37</v>
      </c>
      <c r="D488">
        <v>3.3</v>
      </c>
      <c r="E488">
        <v>4.4000000000000004</v>
      </c>
      <c r="F488">
        <v>0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4.8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Y488">
        <v>1</v>
      </c>
      <c r="Z488">
        <v>0</v>
      </c>
      <c r="AA488">
        <v>0</v>
      </c>
      <c r="AB488">
        <v>0</v>
      </c>
      <c r="AC488">
        <v>1</v>
      </c>
      <c r="AD488">
        <v>820</v>
      </c>
      <c r="AE488">
        <v>14</v>
      </c>
      <c r="AF488">
        <v>0</v>
      </c>
      <c r="AG488">
        <v>1</v>
      </c>
      <c r="AH488">
        <v>0</v>
      </c>
      <c r="AI488">
        <v>1</v>
      </c>
      <c r="AJ488">
        <v>600</v>
      </c>
      <c r="AK488">
        <v>8</v>
      </c>
      <c r="AL488">
        <v>0</v>
      </c>
      <c r="AM488">
        <v>1</v>
      </c>
      <c r="AN488">
        <v>0</v>
      </c>
      <c r="AO488">
        <v>4.4480000000000004</v>
      </c>
      <c r="AP488">
        <v>3.3</v>
      </c>
      <c r="AQ488">
        <v>791.41</v>
      </c>
      <c r="AS488">
        <v>934.69</v>
      </c>
      <c r="AT488">
        <v>970.81</v>
      </c>
      <c r="AU488">
        <v>25</v>
      </c>
      <c r="AX488" t="s">
        <v>108</v>
      </c>
    </row>
    <row r="489" spans="1:50" x14ac:dyDescent="0.45">
      <c r="A489">
        <v>10488</v>
      </c>
      <c r="B489">
        <v>1</v>
      </c>
      <c r="C489">
        <v>87.37</v>
      </c>
      <c r="D489">
        <v>3.3</v>
      </c>
      <c r="E489">
        <v>4.4000000000000004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4.8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Y489">
        <v>1</v>
      </c>
      <c r="Z489">
        <v>0</v>
      </c>
      <c r="AA489">
        <v>0</v>
      </c>
      <c r="AB489">
        <v>0</v>
      </c>
      <c r="AC489">
        <v>1</v>
      </c>
      <c r="AD489">
        <v>820</v>
      </c>
      <c r="AE489">
        <v>15</v>
      </c>
      <c r="AF489">
        <v>0</v>
      </c>
      <c r="AG489">
        <v>1</v>
      </c>
      <c r="AH489">
        <v>0</v>
      </c>
      <c r="AI489">
        <v>1</v>
      </c>
      <c r="AJ489">
        <v>600</v>
      </c>
      <c r="AK489">
        <v>9</v>
      </c>
      <c r="AL489">
        <v>0</v>
      </c>
      <c r="AM489">
        <v>1</v>
      </c>
      <c r="AN489">
        <v>0</v>
      </c>
      <c r="AO489">
        <v>4.4480000000000004</v>
      </c>
      <c r="AP489">
        <v>3.3</v>
      </c>
      <c r="AQ489">
        <v>791.41</v>
      </c>
      <c r="AS489">
        <v>928.66</v>
      </c>
      <c r="AT489">
        <v>958.4</v>
      </c>
      <c r="AU489">
        <v>24.95</v>
      </c>
      <c r="AX489" t="s">
        <v>108</v>
      </c>
    </row>
    <row r="490" spans="1:50" x14ac:dyDescent="0.45">
      <c r="A490">
        <v>10489</v>
      </c>
      <c r="B490">
        <v>1</v>
      </c>
      <c r="C490">
        <v>87.37</v>
      </c>
      <c r="D490">
        <v>3.3</v>
      </c>
      <c r="E490">
        <v>4.4000000000000004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4.8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Y490">
        <v>1</v>
      </c>
      <c r="Z490">
        <v>0</v>
      </c>
      <c r="AA490">
        <v>0</v>
      </c>
      <c r="AB490">
        <v>0</v>
      </c>
      <c r="AC490">
        <v>1</v>
      </c>
      <c r="AD490">
        <v>820</v>
      </c>
      <c r="AE490">
        <v>16</v>
      </c>
      <c r="AF490">
        <v>0</v>
      </c>
      <c r="AG490">
        <v>1</v>
      </c>
      <c r="AH490">
        <v>0</v>
      </c>
      <c r="AI490">
        <v>1</v>
      </c>
      <c r="AJ490">
        <v>600</v>
      </c>
      <c r="AK490">
        <v>10</v>
      </c>
      <c r="AL490">
        <v>0</v>
      </c>
      <c r="AM490">
        <v>1</v>
      </c>
      <c r="AN490">
        <v>0</v>
      </c>
      <c r="AO490">
        <v>4.4480000000000004</v>
      </c>
      <c r="AP490">
        <v>3.3</v>
      </c>
      <c r="AQ490">
        <v>791.41</v>
      </c>
      <c r="AS490">
        <v>923.96</v>
      </c>
      <c r="AT490">
        <v>951</v>
      </c>
      <c r="AU490">
        <v>24.7</v>
      </c>
      <c r="AX490" t="s">
        <v>108</v>
      </c>
    </row>
    <row r="491" spans="1:50" x14ac:dyDescent="0.45">
      <c r="A491">
        <v>10490</v>
      </c>
      <c r="B491">
        <v>1</v>
      </c>
      <c r="C491">
        <v>87.37</v>
      </c>
      <c r="D491">
        <v>3.3</v>
      </c>
      <c r="E491">
        <v>4.4000000000000004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4.8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Y491">
        <v>1</v>
      </c>
      <c r="Z491">
        <v>0</v>
      </c>
      <c r="AA491">
        <v>0</v>
      </c>
      <c r="AB491">
        <v>0</v>
      </c>
      <c r="AC491">
        <v>0</v>
      </c>
      <c r="AI491">
        <v>0</v>
      </c>
      <c r="AO491">
        <v>4.4480000000000004</v>
      </c>
      <c r="AP491">
        <v>3.3</v>
      </c>
      <c r="AQ491">
        <v>791.41</v>
      </c>
      <c r="AS491">
        <v>860.43</v>
      </c>
      <c r="AT491">
        <v>886.97</v>
      </c>
      <c r="AU491">
        <v>18.760000000000002</v>
      </c>
      <c r="AX491" t="s">
        <v>108</v>
      </c>
    </row>
    <row r="492" spans="1:50" x14ac:dyDescent="0.45">
      <c r="A492">
        <v>10491</v>
      </c>
      <c r="B492">
        <v>1</v>
      </c>
      <c r="C492">
        <v>87.37</v>
      </c>
      <c r="D492">
        <v>3.3</v>
      </c>
      <c r="E492">
        <v>4.4000000000000004</v>
      </c>
      <c r="F492">
        <v>0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4.8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Y492">
        <v>1</v>
      </c>
      <c r="Z492">
        <v>0</v>
      </c>
      <c r="AA492">
        <v>0</v>
      </c>
      <c r="AB492">
        <v>0</v>
      </c>
      <c r="AC492">
        <v>1</v>
      </c>
      <c r="AD492">
        <v>780</v>
      </c>
      <c r="AE492">
        <v>3</v>
      </c>
      <c r="AF492">
        <v>0</v>
      </c>
      <c r="AG492">
        <v>0</v>
      </c>
      <c r="AH492">
        <v>1</v>
      </c>
      <c r="AI492">
        <v>0</v>
      </c>
      <c r="AO492">
        <v>4.4480000000000004</v>
      </c>
      <c r="AP492">
        <v>3.3</v>
      </c>
      <c r="AQ492">
        <v>791.41</v>
      </c>
      <c r="AS492">
        <v>837.43</v>
      </c>
      <c r="AT492">
        <v>847.12</v>
      </c>
      <c r="AU492">
        <v>26.2</v>
      </c>
      <c r="AX492" t="s">
        <v>108</v>
      </c>
    </row>
    <row r="493" spans="1:50" x14ac:dyDescent="0.45">
      <c r="A493">
        <v>10492</v>
      </c>
      <c r="B493">
        <v>1</v>
      </c>
      <c r="C493">
        <v>87.37</v>
      </c>
      <c r="D493">
        <v>3.3</v>
      </c>
      <c r="E493">
        <v>4.4000000000000004</v>
      </c>
      <c r="F493">
        <v>0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4.8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Y493">
        <v>1</v>
      </c>
      <c r="Z493">
        <v>0</v>
      </c>
      <c r="AA493">
        <v>0</v>
      </c>
      <c r="AB493">
        <v>0</v>
      </c>
      <c r="AC493">
        <v>1</v>
      </c>
      <c r="AD493">
        <v>800</v>
      </c>
      <c r="AE493">
        <v>3</v>
      </c>
      <c r="AF493">
        <v>0</v>
      </c>
      <c r="AG493">
        <v>0</v>
      </c>
      <c r="AH493">
        <v>1</v>
      </c>
      <c r="AI493">
        <v>0</v>
      </c>
      <c r="AO493">
        <v>4.4480000000000004</v>
      </c>
      <c r="AP493">
        <v>3.3</v>
      </c>
      <c r="AQ493">
        <v>791.41</v>
      </c>
      <c r="AS493">
        <v>831.94</v>
      </c>
      <c r="AT493">
        <v>842.85</v>
      </c>
      <c r="AU493">
        <v>25.04</v>
      </c>
      <c r="AX493" t="s">
        <v>108</v>
      </c>
    </row>
    <row r="494" spans="1:50" x14ac:dyDescent="0.45">
      <c r="A494">
        <v>10493</v>
      </c>
      <c r="B494">
        <v>1</v>
      </c>
      <c r="C494">
        <v>87.37</v>
      </c>
      <c r="D494">
        <v>3.3</v>
      </c>
      <c r="E494">
        <v>4.4000000000000004</v>
      </c>
      <c r="F494">
        <v>0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4.8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Y494">
        <v>1</v>
      </c>
      <c r="Z494">
        <v>0</v>
      </c>
      <c r="AA494">
        <v>0</v>
      </c>
      <c r="AB494">
        <v>0</v>
      </c>
      <c r="AC494">
        <v>1</v>
      </c>
      <c r="AD494">
        <v>820</v>
      </c>
      <c r="AE494">
        <v>3</v>
      </c>
      <c r="AF494">
        <v>0</v>
      </c>
      <c r="AG494">
        <v>0</v>
      </c>
      <c r="AH494">
        <v>1</v>
      </c>
      <c r="AI494">
        <v>0</v>
      </c>
      <c r="AO494">
        <v>4.4480000000000004</v>
      </c>
      <c r="AP494">
        <v>3.3</v>
      </c>
      <c r="AQ494">
        <v>791.41</v>
      </c>
      <c r="AS494">
        <v>827.81</v>
      </c>
      <c r="AT494">
        <v>844.02</v>
      </c>
      <c r="AU494">
        <v>23.74</v>
      </c>
      <c r="AX494" t="s">
        <v>108</v>
      </c>
    </row>
    <row r="495" spans="1:50" x14ac:dyDescent="0.45">
      <c r="A495">
        <v>10494</v>
      </c>
      <c r="B495">
        <v>1</v>
      </c>
      <c r="C495">
        <v>87.37</v>
      </c>
      <c r="D495">
        <v>3.3</v>
      </c>
      <c r="E495">
        <v>4.4000000000000004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4.8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Y495">
        <v>1</v>
      </c>
      <c r="Z495">
        <v>0</v>
      </c>
      <c r="AA495">
        <v>0</v>
      </c>
      <c r="AB495">
        <v>0</v>
      </c>
      <c r="AC495">
        <v>1</v>
      </c>
      <c r="AD495">
        <v>840</v>
      </c>
      <c r="AE495">
        <v>3</v>
      </c>
      <c r="AF495">
        <v>0</v>
      </c>
      <c r="AG495">
        <v>0</v>
      </c>
      <c r="AH495">
        <v>1</v>
      </c>
      <c r="AI495">
        <v>0</v>
      </c>
      <c r="AO495">
        <v>4.4480000000000004</v>
      </c>
      <c r="AP495">
        <v>3.3</v>
      </c>
      <c r="AQ495">
        <v>791.41</v>
      </c>
      <c r="AS495">
        <v>823.06</v>
      </c>
      <c r="AT495">
        <v>857.7</v>
      </c>
      <c r="AU495">
        <v>23.6</v>
      </c>
      <c r="AX495" t="s">
        <v>108</v>
      </c>
    </row>
    <row r="496" spans="1:50" x14ac:dyDescent="0.45">
      <c r="A496">
        <v>10495</v>
      </c>
      <c r="B496">
        <v>1</v>
      </c>
      <c r="C496">
        <v>87.37</v>
      </c>
      <c r="D496">
        <v>3.3</v>
      </c>
      <c r="E496">
        <v>4.4000000000000004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4.8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Y496">
        <v>1</v>
      </c>
      <c r="Z496">
        <v>0</v>
      </c>
      <c r="AA496">
        <v>0</v>
      </c>
      <c r="AB496">
        <v>0</v>
      </c>
      <c r="AC496">
        <v>1</v>
      </c>
      <c r="AD496">
        <v>860</v>
      </c>
      <c r="AE496">
        <v>3</v>
      </c>
      <c r="AF496">
        <v>0</v>
      </c>
      <c r="AG496">
        <v>0</v>
      </c>
      <c r="AH496">
        <v>1</v>
      </c>
      <c r="AI496">
        <v>0</v>
      </c>
      <c r="AO496">
        <v>4.4480000000000004</v>
      </c>
      <c r="AP496">
        <v>3.3</v>
      </c>
      <c r="AQ496">
        <v>791.41</v>
      </c>
      <c r="AS496">
        <v>819.11</v>
      </c>
      <c r="AT496">
        <v>880.98</v>
      </c>
      <c r="AU496">
        <v>22.54</v>
      </c>
      <c r="AX496" t="s">
        <v>108</v>
      </c>
    </row>
    <row r="497" spans="1:50" x14ac:dyDescent="0.45">
      <c r="A497">
        <v>10496</v>
      </c>
      <c r="B497">
        <v>1</v>
      </c>
      <c r="C497">
        <v>87.37</v>
      </c>
      <c r="D497">
        <v>3.3</v>
      </c>
      <c r="E497">
        <v>4.4000000000000004</v>
      </c>
      <c r="F497">
        <v>0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4.8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Y497">
        <v>1</v>
      </c>
      <c r="Z497">
        <v>0</v>
      </c>
      <c r="AA497">
        <v>0</v>
      </c>
      <c r="AB497">
        <v>0</v>
      </c>
      <c r="AC497">
        <v>1</v>
      </c>
      <c r="AD497">
        <v>880</v>
      </c>
      <c r="AE497">
        <v>3</v>
      </c>
      <c r="AF497">
        <v>0</v>
      </c>
      <c r="AG497">
        <v>0</v>
      </c>
      <c r="AH497">
        <v>1</v>
      </c>
      <c r="AI497">
        <v>0</v>
      </c>
      <c r="AO497">
        <v>4.4480000000000004</v>
      </c>
      <c r="AP497">
        <v>3.3</v>
      </c>
      <c r="AQ497">
        <v>791.41</v>
      </c>
      <c r="AS497">
        <v>791.11</v>
      </c>
      <c r="AT497">
        <v>878.6</v>
      </c>
      <c r="AU497">
        <v>18.920000000000002</v>
      </c>
      <c r="AX497" t="s">
        <v>108</v>
      </c>
    </row>
    <row r="498" spans="1:50" x14ac:dyDescent="0.45">
      <c r="A498">
        <v>10497</v>
      </c>
      <c r="B498">
        <v>1</v>
      </c>
      <c r="C498">
        <v>85</v>
      </c>
      <c r="D498">
        <v>3</v>
      </c>
      <c r="E498">
        <v>10</v>
      </c>
      <c r="F498">
        <v>0</v>
      </c>
      <c r="G498">
        <v>0</v>
      </c>
      <c r="H498">
        <v>2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Y498">
        <v>1</v>
      </c>
      <c r="Z498">
        <v>0</v>
      </c>
      <c r="AA498">
        <v>0</v>
      </c>
      <c r="AB498">
        <v>0</v>
      </c>
      <c r="AC498">
        <v>1</v>
      </c>
      <c r="AD498">
        <v>760</v>
      </c>
      <c r="AE498">
        <v>2</v>
      </c>
      <c r="AF498">
        <v>1</v>
      </c>
      <c r="AG498">
        <v>0</v>
      </c>
      <c r="AH498">
        <v>0</v>
      </c>
      <c r="AI498">
        <v>1</v>
      </c>
      <c r="AJ498">
        <v>520</v>
      </c>
      <c r="AK498">
        <v>8.5</v>
      </c>
      <c r="AL498">
        <v>0</v>
      </c>
      <c r="AM498">
        <v>1</v>
      </c>
      <c r="AN498">
        <v>0</v>
      </c>
      <c r="AO498">
        <v>9.5</v>
      </c>
      <c r="AP498">
        <v>3</v>
      </c>
      <c r="AQ498">
        <v>739.5</v>
      </c>
      <c r="AT498">
        <v>1265</v>
      </c>
      <c r="AU498">
        <v>12.18</v>
      </c>
      <c r="AX498" t="s">
        <v>125</v>
      </c>
    </row>
    <row r="499" spans="1:50" x14ac:dyDescent="0.45">
      <c r="A499">
        <v>10498</v>
      </c>
      <c r="B499">
        <v>1</v>
      </c>
      <c r="C499">
        <v>85</v>
      </c>
      <c r="D499">
        <v>3</v>
      </c>
      <c r="E499">
        <v>10</v>
      </c>
      <c r="F499">
        <v>0</v>
      </c>
      <c r="G499">
        <v>0</v>
      </c>
      <c r="H499">
        <v>2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Y499">
        <v>1</v>
      </c>
      <c r="Z499">
        <v>0</v>
      </c>
      <c r="AA499">
        <v>0</v>
      </c>
      <c r="AB499">
        <v>0</v>
      </c>
      <c r="AC499">
        <v>1</v>
      </c>
      <c r="AD499">
        <v>760</v>
      </c>
      <c r="AE499">
        <v>2</v>
      </c>
      <c r="AF499">
        <v>1</v>
      </c>
      <c r="AG499">
        <v>0</v>
      </c>
      <c r="AH499">
        <v>0</v>
      </c>
      <c r="AI499">
        <v>1</v>
      </c>
      <c r="AJ499">
        <v>530</v>
      </c>
      <c r="AK499">
        <v>8.5</v>
      </c>
      <c r="AL499">
        <v>0</v>
      </c>
      <c r="AM499">
        <v>1</v>
      </c>
      <c r="AN499">
        <v>0</v>
      </c>
      <c r="AO499">
        <v>9.5</v>
      </c>
      <c r="AP499">
        <v>3</v>
      </c>
      <c r="AQ499">
        <v>739.5</v>
      </c>
      <c r="AT499">
        <v>1186</v>
      </c>
      <c r="AU499">
        <v>13.18</v>
      </c>
      <c r="AX499" t="s">
        <v>125</v>
      </c>
    </row>
    <row r="500" spans="1:50" x14ac:dyDescent="0.45">
      <c r="A500">
        <v>10499</v>
      </c>
      <c r="B500">
        <v>1</v>
      </c>
      <c r="C500">
        <v>85</v>
      </c>
      <c r="D500">
        <v>3</v>
      </c>
      <c r="E500">
        <v>10</v>
      </c>
      <c r="F500">
        <v>0</v>
      </c>
      <c r="G500">
        <v>0</v>
      </c>
      <c r="H500">
        <v>2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Y500">
        <v>1</v>
      </c>
      <c r="Z500">
        <v>0</v>
      </c>
      <c r="AA500">
        <v>0</v>
      </c>
      <c r="AB500">
        <v>0</v>
      </c>
      <c r="AC500">
        <v>1</v>
      </c>
      <c r="AD500">
        <v>760</v>
      </c>
      <c r="AE500">
        <v>2</v>
      </c>
      <c r="AF500">
        <v>1</v>
      </c>
      <c r="AG500">
        <v>0</v>
      </c>
      <c r="AH500">
        <v>0</v>
      </c>
      <c r="AI500">
        <v>1</v>
      </c>
      <c r="AJ500">
        <v>540</v>
      </c>
      <c r="AK500">
        <v>8.5</v>
      </c>
      <c r="AL500">
        <v>0</v>
      </c>
      <c r="AM500">
        <v>1</v>
      </c>
      <c r="AN500">
        <v>0</v>
      </c>
      <c r="AO500">
        <v>9.5</v>
      </c>
      <c r="AP500">
        <v>3</v>
      </c>
      <c r="AQ500">
        <v>739.5</v>
      </c>
      <c r="AT500">
        <v>1172</v>
      </c>
      <c r="AU500">
        <v>14.19</v>
      </c>
      <c r="AX500" t="s">
        <v>125</v>
      </c>
    </row>
    <row r="501" spans="1:50" x14ac:dyDescent="0.45">
      <c r="A501">
        <v>10500</v>
      </c>
      <c r="B501">
        <v>1</v>
      </c>
      <c r="C501">
        <v>85</v>
      </c>
      <c r="D501">
        <v>3</v>
      </c>
      <c r="E501">
        <v>10</v>
      </c>
      <c r="F501">
        <v>0</v>
      </c>
      <c r="G501">
        <v>0</v>
      </c>
      <c r="H501">
        <v>2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Y501">
        <v>1</v>
      </c>
      <c r="Z501">
        <v>0</v>
      </c>
      <c r="AA501">
        <v>0</v>
      </c>
      <c r="AB501">
        <v>0</v>
      </c>
      <c r="AC501">
        <v>1</v>
      </c>
      <c r="AD501">
        <v>775</v>
      </c>
      <c r="AE501">
        <v>2</v>
      </c>
      <c r="AF501">
        <v>1</v>
      </c>
      <c r="AG501">
        <v>0</v>
      </c>
      <c r="AH501">
        <v>0</v>
      </c>
      <c r="AI501">
        <v>1</v>
      </c>
      <c r="AJ501">
        <v>530</v>
      </c>
      <c r="AK501">
        <v>8.5</v>
      </c>
      <c r="AL501">
        <v>0</v>
      </c>
      <c r="AM501">
        <v>1</v>
      </c>
      <c r="AN501">
        <v>0</v>
      </c>
      <c r="AO501">
        <v>9.5</v>
      </c>
      <c r="AP501">
        <v>3</v>
      </c>
      <c r="AQ501">
        <v>739.5</v>
      </c>
      <c r="AT501">
        <v>1204</v>
      </c>
      <c r="AU501">
        <v>13.18</v>
      </c>
      <c r="AX501" t="s">
        <v>125</v>
      </c>
    </row>
    <row r="502" spans="1:50" x14ac:dyDescent="0.45">
      <c r="A502">
        <v>10501</v>
      </c>
      <c r="B502">
        <v>1</v>
      </c>
      <c r="C502">
        <v>86.36</v>
      </c>
      <c r="D502">
        <v>5.25</v>
      </c>
      <c r="E502">
        <v>7.5</v>
      </c>
      <c r="F502">
        <v>0</v>
      </c>
      <c r="G502">
        <v>0</v>
      </c>
      <c r="H502">
        <v>0.25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1</v>
      </c>
      <c r="Y502">
        <v>0</v>
      </c>
      <c r="Z502">
        <v>1</v>
      </c>
      <c r="AA502">
        <v>0</v>
      </c>
      <c r="AB502">
        <v>0</v>
      </c>
      <c r="AC502">
        <v>1</v>
      </c>
      <c r="AD502">
        <v>850</v>
      </c>
      <c r="AE502">
        <v>1</v>
      </c>
      <c r="AI502">
        <v>1</v>
      </c>
      <c r="AJ502">
        <v>500</v>
      </c>
      <c r="AK502">
        <v>8</v>
      </c>
      <c r="AL502">
        <v>0</v>
      </c>
      <c r="AM502">
        <v>1</v>
      </c>
      <c r="AN502">
        <v>0</v>
      </c>
      <c r="AO502">
        <v>0.5</v>
      </c>
      <c r="AP502">
        <v>5.25</v>
      </c>
      <c r="AQ502">
        <v>800.67499999999995</v>
      </c>
      <c r="AS502">
        <v>1131</v>
      </c>
      <c r="AT502">
        <v>1189</v>
      </c>
      <c r="AU502">
        <v>15.5</v>
      </c>
      <c r="AW502" t="s">
        <v>349</v>
      </c>
      <c r="AX502" t="s">
        <v>128</v>
      </c>
    </row>
    <row r="503" spans="1:50" x14ac:dyDescent="0.45">
      <c r="A503">
        <v>10502</v>
      </c>
      <c r="B503">
        <v>1</v>
      </c>
      <c r="C503">
        <v>86.36</v>
      </c>
      <c r="D503">
        <v>5.25</v>
      </c>
      <c r="E503">
        <v>7.5</v>
      </c>
      <c r="F503">
        <v>0</v>
      </c>
      <c r="G503">
        <v>0</v>
      </c>
      <c r="H503">
        <v>0.25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1</v>
      </c>
      <c r="Y503">
        <v>0</v>
      </c>
      <c r="Z503">
        <v>1</v>
      </c>
      <c r="AA503">
        <v>0</v>
      </c>
      <c r="AB503">
        <v>0</v>
      </c>
      <c r="AC503">
        <v>1</v>
      </c>
      <c r="AD503">
        <v>940</v>
      </c>
      <c r="AE503">
        <v>1</v>
      </c>
      <c r="AF503">
        <v>0</v>
      </c>
      <c r="AG503">
        <v>0</v>
      </c>
      <c r="AH503">
        <v>1</v>
      </c>
      <c r="AI503">
        <v>0</v>
      </c>
      <c r="AO503">
        <v>0.5</v>
      </c>
      <c r="AP503">
        <v>5.25</v>
      </c>
      <c r="AQ503">
        <v>800.67499999999995</v>
      </c>
      <c r="AS503">
        <v>912</v>
      </c>
      <c r="AT503">
        <v>970</v>
      </c>
      <c r="AU503">
        <v>13.2</v>
      </c>
      <c r="AW503" t="s">
        <v>349</v>
      </c>
      <c r="AX503" t="s">
        <v>128</v>
      </c>
    </row>
    <row r="504" spans="1:50" x14ac:dyDescent="0.45">
      <c r="A504">
        <v>10503</v>
      </c>
      <c r="B504">
        <v>1</v>
      </c>
      <c r="C504">
        <v>89.658000000000001</v>
      </c>
      <c r="D504">
        <v>6.05</v>
      </c>
      <c r="E504">
        <v>4.04</v>
      </c>
      <c r="F504">
        <v>0</v>
      </c>
      <c r="G504">
        <v>0</v>
      </c>
      <c r="H504">
        <v>0.05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Y504">
        <v>1</v>
      </c>
      <c r="Z504">
        <v>0</v>
      </c>
      <c r="AA504">
        <v>0</v>
      </c>
      <c r="AB504">
        <v>0</v>
      </c>
      <c r="AC504">
        <v>0</v>
      </c>
      <c r="AI504">
        <v>0</v>
      </c>
      <c r="AO504">
        <v>-3.1981999999999995</v>
      </c>
      <c r="AP504">
        <v>6.05</v>
      </c>
      <c r="AQ504">
        <v>846.26300000000003</v>
      </c>
      <c r="AS504">
        <v>851</v>
      </c>
      <c r="AT504">
        <v>932</v>
      </c>
      <c r="AU504">
        <v>16.2</v>
      </c>
      <c r="AX504" t="s">
        <v>129</v>
      </c>
    </row>
    <row r="505" spans="1:50" x14ac:dyDescent="0.45">
      <c r="A505">
        <v>10504</v>
      </c>
      <c r="B505">
        <v>1</v>
      </c>
      <c r="C505">
        <v>89.658000000000001</v>
      </c>
      <c r="D505">
        <v>6.05</v>
      </c>
      <c r="E505">
        <v>4.04</v>
      </c>
      <c r="F505">
        <v>0</v>
      </c>
      <c r="G505">
        <v>0</v>
      </c>
      <c r="H505">
        <v>0.05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Y505">
        <v>1</v>
      </c>
      <c r="Z505">
        <v>0</v>
      </c>
      <c r="AA505">
        <v>0</v>
      </c>
      <c r="AB505">
        <v>0</v>
      </c>
      <c r="AC505">
        <v>1</v>
      </c>
      <c r="AD505">
        <v>930</v>
      </c>
      <c r="AE505">
        <v>1</v>
      </c>
      <c r="AF505">
        <v>0</v>
      </c>
      <c r="AG505">
        <v>1</v>
      </c>
      <c r="AH505">
        <v>0</v>
      </c>
      <c r="AI505">
        <v>0</v>
      </c>
      <c r="AO505">
        <v>-3.1981999999999995</v>
      </c>
      <c r="AP505">
        <v>6.05</v>
      </c>
      <c r="AQ505">
        <v>846.26300000000003</v>
      </c>
      <c r="AS505">
        <v>903</v>
      </c>
      <c r="AT505">
        <v>978</v>
      </c>
      <c r="AU505">
        <v>15.5</v>
      </c>
      <c r="AX505" t="s">
        <v>129</v>
      </c>
    </row>
    <row r="506" spans="1:50" x14ac:dyDescent="0.45">
      <c r="A506">
        <v>10505</v>
      </c>
      <c r="B506">
        <v>1</v>
      </c>
      <c r="C506">
        <v>86</v>
      </c>
      <c r="D506">
        <v>1</v>
      </c>
      <c r="E506">
        <v>8</v>
      </c>
      <c r="F506">
        <v>0</v>
      </c>
      <c r="G506">
        <v>0</v>
      </c>
      <c r="H506">
        <v>5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Y506">
        <v>1</v>
      </c>
      <c r="Z506">
        <v>0</v>
      </c>
      <c r="AA506">
        <v>0</v>
      </c>
      <c r="AB506">
        <v>0</v>
      </c>
      <c r="AC506">
        <v>1</v>
      </c>
      <c r="AD506">
        <v>700</v>
      </c>
      <c r="AE506">
        <v>6</v>
      </c>
      <c r="AF506">
        <v>0</v>
      </c>
      <c r="AG506">
        <v>0</v>
      </c>
      <c r="AH506">
        <v>1</v>
      </c>
      <c r="AI506">
        <v>0</v>
      </c>
      <c r="AO506">
        <v>18.86</v>
      </c>
      <c r="AP506">
        <v>1</v>
      </c>
      <c r="AQ506">
        <v>712.7</v>
      </c>
      <c r="AS506">
        <v>946</v>
      </c>
      <c r="AT506">
        <v>1000</v>
      </c>
      <c r="AU506">
        <v>13.4</v>
      </c>
      <c r="AX506" t="s">
        <v>108</v>
      </c>
    </row>
    <row r="507" spans="1:50" x14ac:dyDescent="0.45">
      <c r="A507">
        <v>10506</v>
      </c>
      <c r="B507">
        <v>1</v>
      </c>
      <c r="C507">
        <v>86</v>
      </c>
      <c r="D507">
        <v>1</v>
      </c>
      <c r="E507">
        <v>8</v>
      </c>
      <c r="F507">
        <v>0</v>
      </c>
      <c r="G507">
        <v>0</v>
      </c>
      <c r="H507">
        <v>5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Y507">
        <v>1</v>
      </c>
      <c r="Z507">
        <v>0</v>
      </c>
      <c r="AA507">
        <v>0</v>
      </c>
      <c r="AB507">
        <v>0</v>
      </c>
      <c r="AC507">
        <v>1</v>
      </c>
      <c r="AD507">
        <v>780</v>
      </c>
      <c r="AE507">
        <v>1</v>
      </c>
      <c r="AF507">
        <v>1</v>
      </c>
      <c r="AG507">
        <v>0</v>
      </c>
      <c r="AH507">
        <v>0</v>
      </c>
      <c r="AI507">
        <v>0</v>
      </c>
      <c r="AO507">
        <v>18.86</v>
      </c>
      <c r="AP507">
        <v>1</v>
      </c>
      <c r="AQ507">
        <v>712.7</v>
      </c>
      <c r="AS507">
        <v>1262</v>
      </c>
      <c r="AT507">
        <v>1287</v>
      </c>
      <c r="AU507">
        <v>3.9</v>
      </c>
      <c r="AX507" t="s">
        <v>108</v>
      </c>
    </row>
    <row r="508" spans="1:50" x14ac:dyDescent="0.45">
      <c r="A508">
        <v>10507</v>
      </c>
      <c r="B508">
        <v>1</v>
      </c>
      <c r="C508">
        <v>90.57</v>
      </c>
      <c r="D508">
        <v>5.58</v>
      </c>
      <c r="E508">
        <v>3.55</v>
      </c>
      <c r="F508">
        <v>0</v>
      </c>
      <c r="G508">
        <v>0</v>
      </c>
      <c r="H508">
        <v>0.3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Y508">
        <v>1</v>
      </c>
      <c r="Z508">
        <v>0</v>
      </c>
      <c r="AA508">
        <v>0</v>
      </c>
      <c r="AB508">
        <v>0</v>
      </c>
      <c r="AC508">
        <v>0</v>
      </c>
      <c r="AI508">
        <v>0</v>
      </c>
      <c r="AO508">
        <v>-2.3315000000000001</v>
      </c>
      <c r="AP508">
        <v>5.58</v>
      </c>
      <c r="AQ508">
        <v>847.20799999999997</v>
      </c>
      <c r="AS508">
        <v>952.7</v>
      </c>
      <c r="AT508">
        <v>1009</v>
      </c>
      <c r="AU508">
        <v>9.3000000000000007</v>
      </c>
      <c r="AX508" t="s">
        <v>130</v>
      </c>
    </row>
    <row r="509" spans="1:50" x14ac:dyDescent="0.45">
      <c r="A509">
        <v>10508</v>
      </c>
      <c r="B509">
        <v>1</v>
      </c>
      <c r="C509">
        <v>90.57</v>
      </c>
      <c r="D509">
        <v>5.58</v>
      </c>
      <c r="E509">
        <v>3.55</v>
      </c>
      <c r="F509">
        <v>0</v>
      </c>
      <c r="G509">
        <v>0</v>
      </c>
      <c r="H509">
        <v>0.3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Y509">
        <v>1</v>
      </c>
      <c r="Z509">
        <v>0</v>
      </c>
      <c r="AA509">
        <v>0</v>
      </c>
      <c r="AB509">
        <v>0</v>
      </c>
      <c r="AC509">
        <v>1</v>
      </c>
      <c r="AD509">
        <v>850</v>
      </c>
      <c r="AE509">
        <v>2</v>
      </c>
      <c r="AF509">
        <v>0</v>
      </c>
      <c r="AG509">
        <v>0</v>
      </c>
      <c r="AH509">
        <v>1</v>
      </c>
      <c r="AI509">
        <v>0</v>
      </c>
      <c r="AO509">
        <v>-2.3315000000000001</v>
      </c>
      <c r="AP509">
        <v>5.58</v>
      </c>
      <c r="AQ509">
        <v>847.20799999999997</v>
      </c>
      <c r="AS509">
        <v>966</v>
      </c>
      <c r="AT509">
        <v>988.3</v>
      </c>
      <c r="AU509">
        <v>14.8</v>
      </c>
      <c r="AX509" t="s">
        <v>130</v>
      </c>
    </row>
    <row r="510" spans="1:50" x14ac:dyDescent="0.45">
      <c r="A510">
        <v>10509</v>
      </c>
      <c r="B510">
        <v>1</v>
      </c>
      <c r="C510">
        <v>90.57</v>
      </c>
      <c r="D510">
        <v>5.58</v>
      </c>
      <c r="E510">
        <v>3.55</v>
      </c>
      <c r="F510">
        <v>0</v>
      </c>
      <c r="G510">
        <v>0</v>
      </c>
      <c r="H510">
        <v>0.3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Y510">
        <v>1</v>
      </c>
      <c r="Z510">
        <v>0</v>
      </c>
      <c r="AA510">
        <v>0</v>
      </c>
      <c r="AB510">
        <v>0</v>
      </c>
      <c r="AC510">
        <v>1</v>
      </c>
      <c r="AD510">
        <v>980</v>
      </c>
      <c r="AE510">
        <v>0.16666666666666699</v>
      </c>
      <c r="AF510">
        <v>0</v>
      </c>
      <c r="AG510">
        <v>0</v>
      </c>
      <c r="AH510">
        <v>1</v>
      </c>
      <c r="AI510">
        <v>0</v>
      </c>
      <c r="AO510">
        <v>-2.3315000000000001</v>
      </c>
      <c r="AP510">
        <v>5.58</v>
      </c>
      <c r="AQ510">
        <v>847.20799999999997</v>
      </c>
      <c r="AS510">
        <v>490.7</v>
      </c>
      <c r="AT510">
        <v>586</v>
      </c>
      <c r="AU510">
        <v>1.6</v>
      </c>
      <c r="AX510" t="s">
        <v>130</v>
      </c>
    </row>
    <row r="511" spans="1:50" x14ac:dyDescent="0.45">
      <c r="A511">
        <v>10510</v>
      </c>
      <c r="B511">
        <v>1</v>
      </c>
      <c r="C511">
        <v>89</v>
      </c>
      <c r="D511">
        <v>0</v>
      </c>
      <c r="E511">
        <v>0</v>
      </c>
      <c r="F511">
        <v>3</v>
      </c>
      <c r="G511">
        <v>0</v>
      </c>
      <c r="H511">
        <v>1</v>
      </c>
      <c r="I511">
        <v>0</v>
      </c>
      <c r="J511">
        <v>0</v>
      </c>
      <c r="K511">
        <v>0</v>
      </c>
      <c r="L511">
        <v>7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1</v>
      </c>
      <c r="W511">
        <v>20</v>
      </c>
      <c r="X511">
        <v>60</v>
      </c>
      <c r="Y511">
        <v>0</v>
      </c>
      <c r="Z511">
        <v>1</v>
      </c>
      <c r="AA511">
        <v>0</v>
      </c>
      <c r="AB511">
        <v>0</v>
      </c>
      <c r="AC511">
        <v>1</v>
      </c>
      <c r="AD511">
        <v>850</v>
      </c>
      <c r="AE511">
        <v>0.33</v>
      </c>
      <c r="AF511">
        <v>0</v>
      </c>
      <c r="AG511">
        <v>1</v>
      </c>
      <c r="AH511">
        <v>0</v>
      </c>
      <c r="AI511">
        <v>0</v>
      </c>
      <c r="AO511">
        <v>14.700000000000001</v>
      </c>
      <c r="AP511">
        <v>0</v>
      </c>
      <c r="AQ511">
        <v>763.80000000000007</v>
      </c>
      <c r="AT511">
        <v>1246</v>
      </c>
      <c r="AU511">
        <v>14.54</v>
      </c>
      <c r="AX511" t="s">
        <v>93</v>
      </c>
    </row>
    <row r="512" spans="1:50" x14ac:dyDescent="0.45">
      <c r="A512">
        <v>10511</v>
      </c>
      <c r="B512">
        <v>1</v>
      </c>
      <c r="C512">
        <v>89</v>
      </c>
      <c r="D512">
        <v>0</v>
      </c>
      <c r="E512">
        <v>0</v>
      </c>
      <c r="F512">
        <v>3</v>
      </c>
      <c r="G512">
        <v>0</v>
      </c>
      <c r="H512">
        <v>1</v>
      </c>
      <c r="I512">
        <v>0</v>
      </c>
      <c r="J512">
        <v>0</v>
      </c>
      <c r="K512">
        <v>0</v>
      </c>
      <c r="L512">
        <v>7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1</v>
      </c>
      <c r="W512">
        <v>20</v>
      </c>
      <c r="X512">
        <v>60</v>
      </c>
      <c r="Y512">
        <v>0</v>
      </c>
      <c r="Z512">
        <v>1</v>
      </c>
      <c r="AA512">
        <v>0</v>
      </c>
      <c r="AB512">
        <v>0</v>
      </c>
      <c r="AC512">
        <v>1</v>
      </c>
      <c r="AD512">
        <v>850</v>
      </c>
      <c r="AE512">
        <v>0.33</v>
      </c>
      <c r="AF512">
        <v>1</v>
      </c>
      <c r="AG512">
        <v>0</v>
      </c>
      <c r="AH512">
        <v>0</v>
      </c>
      <c r="AI512">
        <v>0</v>
      </c>
      <c r="AO512">
        <v>14.700000000000001</v>
      </c>
      <c r="AP512">
        <v>0</v>
      </c>
      <c r="AQ512">
        <v>763.80000000000007</v>
      </c>
      <c r="AT512">
        <v>929.6</v>
      </c>
      <c r="AU512">
        <v>24.79</v>
      </c>
      <c r="AX512" t="s">
        <v>93</v>
      </c>
    </row>
    <row r="513" spans="1:50" x14ac:dyDescent="0.45">
      <c r="A513">
        <v>10512</v>
      </c>
      <c r="B513">
        <v>1</v>
      </c>
      <c r="C513">
        <v>58</v>
      </c>
      <c r="D513">
        <v>0</v>
      </c>
      <c r="E513">
        <v>0</v>
      </c>
      <c r="F513">
        <v>0</v>
      </c>
      <c r="G513">
        <v>0</v>
      </c>
      <c r="H513">
        <v>0</v>
      </c>
      <c r="I513">
        <v>0</v>
      </c>
      <c r="J513">
        <v>6.8</v>
      </c>
      <c r="K513">
        <v>32.5</v>
      </c>
      <c r="L513">
        <v>0</v>
      </c>
      <c r="M513">
        <v>2.7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Y513">
        <v>1</v>
      </c>
      <c r="Z513">
        <v>0</v>
      </c>
      <c r="AA513">
        <v>0</v>
      </c>
      <c r="AB513">
        <v>0</v>
      </c>
      <c r="AC513">
        <v>1</v>
      </c>
      <c r="AD513">
        <v>1000</v>
      </c>
      <c r="AE513">
        <v>1</v>
      </c>
      <c r="AF513">
        <v>1</v>
      </c>
      <c r="AG513">
        <v>0</v>
      </c>
      <c r="AH513">
        <v>0</v>
      </c>
      <c r="AI513">
        <v>0</v>
      </c>
      <c r="AO513">
        <v>9.1000000000000014</v>
      </c>
      <c r="AP513">
        <v>2.0333333333333332</v>
      </c>
      <c r="AQ513">
        <v>846.42000000000007</v>
      </c>
      <c r="AT513">
        <v>562</v>
      </c>
      <c r="AU513">
        <v>20.100000000000001</v>
      </c>
      <c r="AX513" t="s">
        <v>131</v>
      </c>
    </row>
    <row r="514" spans="1:50" x14ac:dyDescent="0.45">
      <c r="A514">
        <v>10513</v>
      </c>
      <c r="B514">
        <v>1</v>
      </c>
      <c r="C514">
        <v>58</v>
      </c>
      <c r="D514">
        <v>0</v>
      </c>
      <c r="E514">
        <v>0</v>
      </c>
      <c r="F514">
        <v>0</v>
      </c>
      <c r="G514">
        <v>0</v>
      </c>
      <c r="H514">
        <v>0</v>
      </c>
      <c r="I514">
        <v>0</v>
      </c>
      <c r="J514">
        <v>6.8</v>
      </c>
      <c r="K514">
        <v>32.5</v>
      </c>
      <c r="L514">
        <v>0</v>
      </c>
      <c r="M514">
        <v>2.7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1</v>
      </c>
      <c r="W514">
        <v>20</v>
      </c>
      <c r="X514">
        <v>50</v>
      </c>
      <c r="Y514">
        <v>0</v>
      </c>
      <c r="Z514">
        <v>1</v>
      </c>
      <c r="AA514">
        <v>0</v>
      </c>
      <c r="AB514">
        <v>0</v>
      </c>
      <c r="AC514">
        <v>1</v>
      </c>
      <c r="AD514">
        <v>1000</v>
      </c>
      <c r="AE514">
        <v>1</v>
      </c>
      <c r="AF514">
        <v>1</v>
      </c>
      <c r="AG514">
        <v>0</v>
      </c>
      <c r="AH514">
        <v>0</v>
      </c>
      <c r="AI514">
        <v>0</v>
      </c>
      <c r="AO514">
        <v>9.1000000000000014</v>
      </c>
      <c r="AP514">
        <v>2.0333333333333332</v>
      </c>
      <c r="AQ514">
        <v>846.42000000000007</v>
      </c>
      <c r="AT514">
        <v>719</v>
      </c>
      <c r="AU514">
        <v>16.8</v>
      </c>
      <c r="AX514" t="s">
        <v>131</v>
      </c>
    </row>
    <row r="515" spans="1:50" x14ac:dyDescent="0.45">
      <c r="A515">
        <v>10514</v>
      </c>
      <c r="B515">
        <v>1</v>
      </c>
      <c r="C515">
        <v>58</v>
      </c>
      <c r="D515">
        <v>0</v>
      </c>
      <c r="E515">
        <v>0</v>
      </c>
      <c r="F515">
        <v>0</v>
      </c>
      <c r="G515">
        <v>0</v>
      </c>
      <c r="H515">
        <v>0</v>
      </c>
      <c r="I515">
        <v>0</v>
      </c>
      <c r="J515">
        <v>6.8</v>
      </c>
      <c r="K515">
        <v>32.5</v>
      </c>
      <c r="L515">
        <v>0</v>
      </c>
      <c r="M515">
        <v>2.7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1</v>
      </c>
      <c r="W515">
        <v>20</v>
      </c>
      <c r="X515">
        <v>90</v>
      </c>
      <c r="Y515">
        <v>0</v>
      </c>
      <c r="Z515">
        <v>1</v>
      </c>
      <c r="AA515">
        <v>0</v>
      </c>
      <c r="AB515">
        <v>0</v>
      </c>
      <c r="AC515">
        <v>1</v>
      </c>
      <c r="AD515">
        <v>1000</v>
      </c>
      <c r="AE515">
        <v>1</v>
      </c>
      <c r="AF515">
        <v>1</v>
      </c>
      <c r="AG515">
        <v>0</v>
      </c>
      <c r="AH515">
        <v>0</v>
      </c>
      <c r="AI515">
        <v>0</v>
      </c>
      <c r="AO515">
        <v>9.1000000000000014</v>
      </c>
      <c r="AP515">
        <v>2.0333333333333332</v>
      </c>
      <c r="AQ515">
        <v>846.42000000000007</v>
      </c>
      <c r="AT515">
        <v>883</v>
      </c>
      <c r="AU515">
        <v>14.9</v>
      </c>
      <c r="AX515" t="s">
        <v>131</v>
      </c>
    </row>
    <row r="516" spans="1:50" x14ac:dyDescent="0.45">
      <c r="A516">
        <v>10515</v>
      </c>
      <c r="B516">
        <v>1</v>
      </c>
      <c r="C516">
        <v>72</v>
      </c>
      <c r="D516">
        <v>0</v>
      </c>
      <c r="E516">
        <v>0</v>
      </c>
      <c r="F516">
        <v>0</v>
      </c>
      <c r="G516">
        <v>0</v>
      </c>
      <c r="H516">
        <v>0</v>
      </c>
      <c r="I516">
        <v>0</v>
      </c>
      <c r="J516">
        <v>4</v>
      </c>
      <c r="K516">
        <v>16</v>
      </c>
      <c r="L516">
        <v>0</v>
      </c>
      <c r="M516">
        <v>8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1</v>
      </c>
      <c r="W516">
        <v>850</v>
      </c>
      <c r="X516">
        <v>90</v>
      </c>
      <c r="Y516">
        <v>0</v>
      </c>
      <c r="Z516">
        <v>1</v>
      </c>
      <c r="AA516">
        <v>0</v>
      </c>
      <c r="AB516">
        <v>0</v>
      </c>
      <c r="AC516">
        <v>1</v>
      </c>
      <c r="AD516">
        <v>850</v>
      </c>
      <c r="AE516">
        <v>1.5</v>
      </c>
      <c r="AF516">
        <v>1</v>
      </c>
      <c r="AG516">
        <v>0</v>
      </c>
      <c r="AH516">
        <v>0</v>
      </c>
      <c r="AI516">
        <v>0</v>
      </c>
      <c r="AO516">
        <v>4.4800000000000004</v>
      </c>
      <c r="AP516">
        <v>3.333333333333333</v>
      </c>
      <c r="AQ516">
        <v>888</v>
      </c>
      <c r="AR516">
        <v>68</v>
      </c>
      <c r="AS516">
        <v>500</v>
      </c>
      <c r="AT516">
        <v>752</v>
      </c>
      <c r="AU516">
        <v>19.600000000000001</v>
      </c>
      <c r="AX516" t="s">
        <v>133</v>
      </c>
    </row>
    <row r="517" spans="1:50" x14ac:dyDescent="0.45">
      <c r="A517">
        <v>10516</v>
      </c>
      <c r="B517">
        <v>1</v>
      </c>
      <c r="C517">
        <v>68</v>
      </c>
      <c r="D517">
        <v>0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4</v>
      </c>
      <c r="K517">
        <v>20</v>
      </c>
      <c r="L517">
        <v>0</v>
      </c>
      <c r="M517">
        <v>8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1</v>
      </c>
      <c r="W517">
        <v>850</v>
      </c>
      <c r="X517">
        <v>90</v>
      </c>
      <c r="Y517">
        <v>0</v>
      </c>
      <c r="Z517">
        <v>1</v>
      </c>
      <c r="AA517">
        <v>0</v>
      </c>
      <c r="AB517">
        <v>0</v>
      </c>
      <c r="AC517">
        <v>1</v>
      </c>
      <c r="AD517">
        <v>850</v>
      </c>
      <c r="AE517">
        <v>1.5</v>
      </c>
      <c r="AF517">
        <v>1</v>
      </c>
      <c r="AG517">
        <v>0</v>
      </c>
      <c r="AH517">
        <v>0</v>
      </c>
      <c r="AI517">
        <v>0</v>
      </c>
      <c r="AO517">
        <v>5.6000000000000005</v>
      </c>
      <c r="AP517">
        <v>3.333333333333333</v>
      </c>
      <c r="AQ517">
        <v>888</v>
      </c>
      <c r="AR517">
        <v>63</v>
      </c>
      <c r="AS517">
        <v>410</v>
      </c>
      <c r="AT517">
        <v>735</v>
      </c>
      <c r="AU517">
        <v>13.6</v>
      </c>
      <c r="AX517" t="s">
        <v>134</v>
      </c>
    </row>
    <row r="518" spans="1:50" x14ac:dyDescent="0.45">
      <c r="A518">
        <v>10517</v>
      </c>
      <c r="B518">
        <v>1</v>
      </c>
      <c r="C518">
        <v>64</v>
      </c>
      <c r="D518">
        <v>0</v>
      </c>
      <c r="E518">
        <v>0</v>
      </c>
      <c r="F518">
        <v>0</v>
      </c>
      <c r="G518">
        <v>0</v>
      </c>
      <c r="H518">
        <v>0</v>
      </c>
      <c r="I518">
        <v>0</v>
      </c>
      <c r="J518">
        <v>4</v>
      </c>
      <c r="K518">
        <v>24</v>
      </c>
      <c r="L518">
        <v>0</v>
      </c>
      <c r="M518">
        <v>8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1</v>
      </c>
      <c r="W518">
        <v>850</v>
      </c>
      <c r="X518">
        <v>90</v>
      </c>
      <c r="Y518">
        <v>0</v>
      </c>
      <c r="Z518">
        <v>1</v>
      </c>
      <c r="AA518">
        <v>0</v>
      </c>
      <c r="AB518">
        <v>0</v>
      </c>
      <c r="AC518">
        <v>1</v>
      </c>
      <c r="AD518">
        <v>850</v>
      </c>
      <c r="AE518">
        <v>1.5</v>
      </c>
      <c r="AF518">
        <v>1</v>
      </c>
      <c r="AG518">
        <v>0</v>
      </c>
      <c r="AH518">
        <v>0</v>
      </c>
      <c r="AI518">
        <v>0</v>
      </c>
      <c r="AO518">
        <v>6.7200000000000006</v>
      </c>
      <c r="AP518">
        <v>3.333333333333333</v>
      </c>
      <c r="AQ518">
        <v>888</v>
      </c>
      <c r="AR518">
        <v>45</v>
      </c>
      <c r="AS518">
        <v>200</v>
      </c>
      <c r="AT518">
        <v>674</v>
      </c>
      <c r="AU518">
        <v>12.9</v>
      </c>
      <c r="AX518" t="s">
        <v>135</v>
      </c>
    </row>
    <row r="519" spans="1:50" x14ac:dyDescent="0.45">
      <c r="A519">
        <v>10518</v>
      </c>
      <c r="B519">
        <v>1</v>
      </c>
      <c r="C519">
        <v>60</v>
      </c>
      <c r="D519">
        <v>0</v>
      </c>
      <c r="E519">
        <v>0</v>
      </c>
      <c r="F519">
        <v>0</v>
      </c>
      <c r="G519">
        <v>0</v>
      </c>
      <c r="H519">
        <v>0</v>
      </c>
      <c r="I519">
        <v>0</v>
      </c>
      <c r="J519">
        <v>4</v>
      </c>
      <c r="K519">
        <v>28</v>
      </c>
      <c r="L519">
        <v>0</v>
      </c>
      <c r="M519">
        <v>8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1</v>
      </c>
      <c r="W519">
        <v>850</v>
      </c>
      <c r="X519">
        <v>90</v>
      </c>
      <c r="Y519">
        <v>0</v>
      </c>
      <c r="Z519">
        <v>1</v>
      </c>
      <c r="AA519">
        <v>0</v>
      </c>
      <c r="AB519">
        <v>0</v>
      </c>
      <c r="AC519">
        <v>1</v>
      </c>
      <c r="AD519">
        <v>850</v>
      </c>
      <c r="AE519">
        <v>1.5</v>
      </c>
      <c r="AF519">
        <v>1</v>
      </c>
      <c r="AG519">
        <v>0</v>
      </c>
      <c r="AH519">
        <v>0</v>
      </c>
      <c r="AI519">
        <v>0</v>
      </c>
      <c r="AO519">
        <v>7.8400000000000007</v>
      </c>
      <c r="AP519">
        <v>3.333333333333333</v>
      </c>
      <c r="AQ519">
        <v>888</v>
      </c>
      <c r="AR519">
        <v>60</v>
      </c>
      <c r="AS519">
        <v>570</v>
      </c>
      <c r="AT519">
        <v>570</v>
      </c>
      <c r="AU519">
        <v>22.3</v>
      </c>
      <c r="AX519" t="s">
        <v>136</v>
      </c>
    </row>
    <row r="520" spans="1:50" x14ac:dyDescent="0.45">
      <c r="A520">
        <v>10519</v>
      </c>
      <c r="B520">
        <v>1</v>
      </c>
      <c r="C520">
        <v>52</v>
      </c>
      <c r="D520">
        <v>0</v>
      </c>
      <c r="E520">
        <v>0</v>
      </c>
      <c r="F520">
        <v>0</v>
      </c>
      <c r="G520">
        <v>0</v>
      </c>
      <c r="H520">
        <v>0</v>
      </c>
      <c r="I520">
        <v>0</v>
      </c>
      <c r="J520">
        <v>4</v>
      </c>
      <c r="K520">
        <v>36</v>
      </c>
      <c r="L520">
        <v>0</v>
      </c>
      <c r="M520">
        <v>8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1</v>
      </c>
      <c r="W520">
        <v>850</v>
      </c>
      <c r="X520">
        <v>90</v>
      </c>
      <c r="Y520">
        <v>0</v>
      </c>
      <c r="Z520">
        <v>1</v>
      </c>
      <c r="AA520">
        <v>0</v>
      </c>
      <c r="AB520">
        <v>0</v>
      </c>
      <c r="AC520">
        <v>1</v>
      </c>
      <c r="AD520">
        <v>850</v>
      </c>
      <c r="AE520">
        <v>1.5</v>
      </c>
      <c r="AF520">
        <v>1</v>
      </c>
      <c r="AG520">
        <v>0</v>
      </c>
      <c r="AH520">
        <v>0</v>
      </c>
      <c r="AI520">
        <v>0</v>
      </c>
      <c r="AO520">
        <v>10.080000000000002</v>
      </c>
      <c r="AP520">
        <v>3.333333333333333</v>
      </c>
      <c r="AQ520">
        <v>888</v>
      </c>
      <c r="AR520">
        <v>69</v>
      </c>
      <c r="AS520">
        <v>557</v>
      </c>
      <c r="AT520">
        <v>557</v>
      </c>
      <c r="AU520">
        <v>21.3</v>
      </c>
      <c r="AX520" t="s">
        <v>137</v>
      </c>
    </row>
    <row r="521" spans="1:50" x14ac:dyDescent="0.45">
      <c r="A521">
        <v>10520</v>
      </c>
      <c r="B521">
        <v>1</v>
      </c>
      <c r="C521">
        <v>55.5</v>
      </c>
      <c r="D521">
        <v>0</v>
      </c>
      <c r="E521">
        <v>0</v>
      </c>
      <c r="F521">
        <v>0</v>
      </c>
      <c r="G521">
        <v>0</v>
      </c>
      <c r="H521">
        <v>0</v>
      </c>
      <c r="I521">
        <v>0</v>
      </c>
      <c r="J521">
        <v>6.8</v>
      </c>
      <c r="K521">
        <v>35</v>
      </c>
      <c r="L521">
        <v>0</v>
      </c>
      <c r="M521">
        <v>2.7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1</v>
      </c>
      <c r="W521">
        <v>20</v>
      </c>
      <c r="Y521">
        <v>0</v>
      </c>
      <c r="Z521">
        <v>1</v>
      </c>
      <c r="AA521">
        <v>0</v>
      </c>
      <c r="AB521">
        <v>0</v>
      </c>
      <c r="AC521">
        <v>1</v>
      </c>
      <c r="AD521">
        <v>1000</v>
      </c>
      <c r="AE521">
        <v>1</v>
      </c>
      <c r="AF521">
        <v>1</v>
      </c>
      <c r="AG521">
        <v>0</v>
      </c>
      <c r="AH521">
        <v>0</v>
      </c>
      <c r="AI521">
        <v>0</v>
      </c>
      <c r="AO521">
        <v>9.8000000000000007</v>
      </c>
      <c r="AP521">
        <v>2.0333333333333332</v>
      </c>
      <c r="AQ521">
        <v>846.42000000000007</v>
      </c>
      <c r="AT521">
        <v>54.2</v>
      </c>
      <c r="AU521">
        <v>1.04</v>
      </c>
      <c r="AV521">
        <v>20.100000000000001</v>
      </c>
      <c r="AX521" t="s">
        <v>131</v>
      </c>
    </row>
    <row r="522" spans="1:50" x14ac:dyDescent="0.45">
      <c r="A522">
        <v>10521</v>
      </c>
      <c r="B522">
        <v>1</v>
      </c>
      <c r="C522">
        <v>55.5</v>
      </c>
      <c r="D522">
        <v>0</v>
      </c>
      <c r="E522">
        <v>0</v>
      </c>
      <c r="F522">
        <v>0</v>
      </c>
      <c r="G522">
        <v>0</v>
      </c>
      <c r="H522">
        <v>0</v>
      </c>
      <c r="I522">
        <v>0</v>
      </c>
      <c r="J522">
        <v>6.8</v>
      </c>
      <c r="K522">
        <v>35</v>
      </c>
      <c r="L522">
        <v>0</v>
      </c>
      <c r="M522">
        <v>2.7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1</v>
      </c>
      <c r="W522">
        <v>20</v>
      </c>
      <c r="X522">
        <v>50</v>
      </c>
      <c r="Y522">
        <v>0</v>
      </c>
      <c r="Z522">
        <v>1</v>
      </c>
      <c r="AA522">
        <v>0</v>
      </c>
      <c r="AB522">
        <v>0</v>
      </c>
      <c r="AC522">
        <v>1</v>
      </c>
      <c r="AD522">
        <v>1000</v>
      </c>
      <c r="AE522">
        <v>1</v>
      </c>
      <c r="AF522">
        <v>1</v>
      </c>
      <c r="AG522">
        <v>0</v>
      </c>
      <c r="AH522">
        <v>0</v>
      </c>
      <c r="AI522">
        <v>0</v>
      </c>
      <c r="AO522">
        <v>9.8000000000000007</v>
      </c>
      <c r="AP522">
        <v>2.0333333333333332</v>
      </c>
      <c r="AQ522">
        <v>846.42000000000007</v>
      </c>
      <c r="AT522">
        <v>719</v>
      </c>
      <c r="AU522">
        <v>16.8</v>
      </c>
      <c r="AV522">
        <v>51.3</v>
      </c>
      <c r="AX522" t="s">
        <v>138</v>
      </c>
    </row>
    <row r="523" spans="1:50" x14ac:dyDescent="0.45">
      <c r="A523">
        <v>10522</v>
      </c>
      <c r="B523">
        <v>1</v>
      </c>
      <c r="C523">
        <v>55.5</v>
      </c>
      <c r="D523">
        <v>0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6.8</v>
      </c>
      <c r="K523">
        <v>35</v>
      </c>
      <c r="L523">
        <v>0</v>
      </c>
      <c r="M523">
        <v>2.7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1</v>
      </c>
      <c r="W523">
        <v>20</v>
      </c>
      <c r="X523">
        <v>90</v>
      </c>
      <c r="Y523">
        <v>0</v>
      </c>
      <c r="Z523">
        <v>1</v>
      </c>
      <c r="AA523">
        <v>0</v>
      </c>
      <c r="AB523">
        <v>0</v>
      </c>
      <c r="AC523">
        <v>1</v>
      </c>
      <c r="AD523">
        <v>1000</v>
      </c>
      <c r="AE523">
        <v>1</v>
      </c>
      <c r="AF523">
        <v>1</v>
      </c>
      <c r="AG523">
        <v>0</v>
      </c>
      <c r="AH523">
        <v>0</v>
      </c>
      <c r="AI523">
        <v>0</v>
      </c>
      <c r="AO523">
        <v>9.8000000000000007</v>
      </c>
      <c r="AP523">
        <v>2.0333333333333332</v>
      </c>
      <c r="AQ523">
        <v>846.42000000000007</v>
      </c>
      <c r="AT523">
        <v>883</v>
      </c>
      <c r="AU523">
        <v>14.9</v>
      </c>
      <c r="AV523">
        <v>47.1</v>
      </c>
      <c r="AX523" t="s">
        <v>139</v>
      </c>
    </row>
    <row r="524" spans="1:50" x14ac:dyDescent="0.45">
      <c r="A524">
        <v>10523</v>
      </c>
      <c r="B524">
        <v>1</v>
      </c>
      <c r="C524">
        <v>63.96</v>
      </c>
      <c r="D524">
        <v>0</v>
      </c>
      <c r="E524">
        <v>0</v>
      </c>
      <c r="F524">
        <v>0</v>
      </c>
      <c r="G524">
        <v>0</v>
      </c>
      <c r="H524">
        <v>0</v>
      </c>
      <c r="I524">
        <v>0</v>
      </c>
      <c r="J524">
        <v>3.76</v>
      </c>
      <c r="K524">
        <v>24.2</v>
      </c>
      <c r="L524">
        <v>0</v>
      </c>
      <c r="M524">
        <v>8.08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Y524">
        <v>1</v>
      </c>
      <c r="Z524">
        <v>0</v>
      </c>
      <c r="AA524">
        <v>0</v>
      </c>
      <c r="AB524">
        <v>0</v>
      </c>
      <c r="AC524">
        <v>0</v>
      </c>
      <c r="AI524">
        <v>1</v>
      </c>
      <c r="AJ524">
        <v>450</v>
      </c>
      <c r="AK524">
        <v>0.5</v>
      </c>
      <c r="AL524">
        <v>0</v>
      </c>
      <c r="AM524">
        <v>1</v>
      </c>
      <c r="AN524">
        <v>0</v>
      </c>
      <c r="AO524">
        <v>6.7760000000000007</v>
      </c>
      <c r="AP524">
        <v>3.32</v>
      </c>
      <c r="AQ524">
        <v>889.99200000000008</v>
      </c>
      <c r="AS524">
        <v>1033</v>
      </c>
      <c r="AT524">
        <v>1091</v>
      </c>
      <c r="AU524">
        <v>12.4</v>
      </c>
      <c r="AX524" t="s">
        <v>108</v>
      </c>
    </row>
    <row r="525" spans="1:50" x14ac:dyDescent="0.45">
      <c r="A525">
        <v>10524</v>
      </c>
      <c r="B525">
        <v>1</v>
      </c>
      <c r="C525">
        <v>63.96</v>
      </c>
      <c r="D525">
        <v>0</v>
      </c>
      <c r="E525">
        <v>0</v>
      </c>
      <c r="F525">
        <v>0</v>
      </c>
      <c r="G525">
        <v>0</v>
      </c>
      <c r="H525">
        <v>0</v>
      </c>
      <c r="I525">
        <v>0</v>
      </c>
      <c r="J525">
        <v>3.76</v>
      </c>
      <c r="K525">
        <v>24.2</v>
      </c>
      <c r="L525">
        <v>0</v>
      </c>
      <c r="M525">
        <v>8.08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Y525">
        <v>1</v>
      </c>
      <c r="Z525">
        <v>0</v>
      </c>
      <c r="AA525">
        <v>0</v>
      </c>
      <c r="AB525">
        <v>0</v>
      </c>
      <c r="AC525">
        <v>0</v>
      </c>
      <c r="AI525">
        <v>1</v>
      </c>
      <c r="AJ525">
        <v>450</v>
      </c>
      <c r="AK525">
        <v>1</v>
      </c>
      <c r="AL525">
        <v>0</v>
      </c>
      <c r="AM525">
        <v>1</v>
      </c>
      <c r="AN525">
        <v>0</v>
      </c>
      <c r="AO525">
        <v>6.7760000000000007</v>
      </c>
      <c r="AP525">
        <v>3.32</v>
      </c>
      <c r="AQ525">
        <v>889.99200000000008</v>
      </c>
      <c r="AS525">
        <v>1120</v>
      </c>
      <c r="AT525">
        <v>1175</v>
      </c>
      <c r="AU525">
        <v>12.2</v>
      </c>
      <c r="AX525" t="s">
        <v>108</v>
      </c>
    </row>
    <row r="526" spans="1:50" x14ac:dyDescent="0.45">
      <c r="A526">
        <v>10525</v>
      </c>
      <c r="B526">
        <v>1</v>
      </c>
      <c r="C526">
        <v>63.96</v>
      </c>
      <c r="D526">
        <v>0</v>
      </c>
      <c r="E526">
        <v>0</v>
      </c>
      <c r="F526">
        <v>0</v>
      </c>
      <c r="G526">
        <v>0</v>
      </c>
      <c r="H526">
        <v>0</v>
      </c>
      <c r="I526">
        <v>0</v>
      </c>
      <c r="J526">
        <v>3.76</v>
      </c>
      <c r="K526">
        <v>24.2</v>
      </c>
      <c r="L526">
        <v>0</v>
      </c>
      <c r="M526">
        <v>8.08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Y526">
        <v>1</v>
      </c>
      <c r="Z526">
        <v>0</v>
      </c>
      <c r="AA526">
        <v>0</v>
      </c>
      <c r="AB526">
        <v>0</v>
      </c>
      <c r="AC526">
        <v>0</v>
      </c>
      <c r="AI526">
        <v>1</v>
      </c>
      <c r="AJ526">
        <v>450</v>
      </c>
      <c r="AK526">
        <v>2</v>
      </c>
      <c r="AL526">
        <v>0</v>
      </c>
      <c r="AM526">
        <v>1</v>
      </c>
      <c r="AN526">
        <v>0</v>
      </c>
      <c r="AO526">
        <v>6.7760000000000007</v>
      </c>
      <c r="AP526">
        <v>3.32</v>
      </c>
      <c r="AQ526">
        <v>889.99200000000008</v>
      </c>
      <c r="AS526">
        <v>1180</v>
      </c>
      <c r="AT526">
        <v>1213</v>
      </c>
      <c r="AU526">
        <v>12.4</v>
      </c>
      <c r="AX526" t="s">
        <v>108</v>
      </c>
    </row>
    <row r="527" spans="1:50" x14ac:dyDescent="0.45">
      <c r="A527">
        <v>10526</v>
      </c>
      <c r="B527">
        <v>1</v>
      </c>
      <c r="C527">
        <v>63.96</v>
      </c>
      <c r="D527">
        <v>0</v>
      </c>
      <c r="E527">
        <v>0</v>
      </c>
      <c r="F527">
        <v>0</v>
      </c>
      <c r="G527">
        <v>0</v>
      </c>
      <c r="H527">
        <v>0</v>
      </c>
      <c r="I527">
        <v>0</v>
      </c>
      <c r="J527">
        <v>3.76</v>
      </c>
      <c r="K527">
        <v>24.2</v>
      </c>
      <c r="L527">
        <v>0</v>
      </c>
      <c r="M527">
        <v>8.08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Y527">
        <v>1</v>
      </c>
      <c r="Z527">
        <v>0</v>
      </c>
      <c r="AA527">
        <v>0</v>
      </c>
      <c r="AB527">
        <v>0</v>
      </c>
      <c r="AC527">
        <v>0</v>
      </c>
      <c r="AI527">
        <v>1</v>
      </c>
      <c r="AJ527">
        <v>450</v>
      </c>
      <c r="AK527">
        <v>4</v>
      </c>
      <c r="AL527">
        <v>0</v>
      </c>
      <c r="AM527">
        <v>1</v>
      </c>
      <c r="AN527">
        <v>0</v>
      </c>
      <c r="AO527">
        <v>6.7760000000000007</v>
      </c>
      <c r="AP527">
        <v>3.32</v>
      </c>
      <c r="AQ527">
        <v>889.99200000000008</v>
      </c>
      <c r="AS527">
        <v>1192</v>
      </c>
      <c r="AT527">
        <v>1243</v>
      </c>
      <c r="AU527">
        <v>12.8</v>
      </c>
      <c r="AX527" t="s">
        <v>108</v>
      </c>
    </row>
    <row r="528" spans="1:50" x14ac:dyDescent="0.45">
      <c r="A528">
        <v>10527</v>
      </c>
      <c r="B528">
        <v>1</v>
      </c>
      <c r="C528">
        <v>63.96</v>
      </c>
      <c r="D528">
        <v>0</v>
      </c>
      <c r="E528">
        <v>0</v>
      </c>
      <c r="F528">
        <v>0</v>
      </c>
      <c r="G528">
        <v>0</v>
      </c>
      <c r="H528">
        <v>0</v>
      </c>
      <c r="I528">
        <v>0</v>
      </c>
      <c r="J528">
        <v>3.76</v>
      </c>
      <c r="K528">
        <v>24.2</v>
      </c>
      <c r="L528">
        <v>0</v>
      </c>
      <c r="M528">
        <v>8.08</v>
      </c>
      <c r="N528">
        <v>0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Y528">
        <v>1</v>
      </c>
      <c r="Z528">
        <v>0</v>
      </c>
      <c r="AA528">
        <v>0</v>
      </c>
      <c r="AB528">
        <v>0</v>
      </c>
      <c r="AC528">
        <v>0</v>
      </c>
      <c r="AI528">
        <v>1</v>
      </c>
      <c r="AJ528">
        <v>475</v>
      </c>
      <c r="AK528">
        <v>0.5</v>
      </c>
      <c r="AL528">
        <v>0</v>
      </c>
      <c r="AM528">
        <v>1</v>
      </c>
      <c r="AN528">
        <v>0</v>
      </c>
      <c r="AO528">
        <v>6.7760000000000007</v>
      </c>
      <c r="AP528">
        <v>3.32</v>
      </c>
      <c r="AQ528">
        <v>889.99200000000008</v>
      </c>
      <c r="AS528">
        <v>1028</v>
      </c>
      <c r="AT528">
        <v>1123</v>
      </c>
      <c r="AU528">
        <v>16.100000000000001</v>
      </c>
      <c r="AX528" t="s">
        <v>108</v>
      </c>
    </row>
    <row r="529" spans="1:50" x14ac:dyDescent="0.45">
      <c r="A529">
        <v>10528</v>
      </c>
      <c r="B529">
        <v>1</v>
      </c>
      <c r="C529">
        <v>63.96</v>
      </c>
      <c r="D529">
        <v>0</v>
      </c>
      <c r="E529">
        <v>0</v>
      </c>
      <c r="F529">
        <v>0</v>
      </c>
      <c r="G529">
        <v>0</v>
      </c>
      <c r="H529">
        <v>0</v>
      </c>
      <c r="I529">
        <v>0</v>
      </c>
      <c r="J529">
        <v>3.76</v>
      </c>
      <c r="K529">
        <v>24.2</v>
      </c>
      <c r="L529">
        <v>0</v>
      </c>
      <c r="M529">
        <v>8.08</v>
      </c>
      <c r="N529">
        <v>0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Y529">
        <v>1</v>
      </c>
      <c r="Z529">
        <v>0</v>
      </c>
      <c r="AA529">
        <v>0</v>
      </c>
      <c r="AB529">
        <v>0</v>
      </c>
      <c r="AC529">
        <v>0</v>
      </c>
      <c r="AI529">
        <v>1</v>
      </c>
      <c r="AJ529">
        <v>475</v>
      </c>
      <c r="AK529">
        <v>1</v>
      </c>
      <c r="AL529">
        <v>0</v>
      </c>
      <c r="AM529">
        <v>1</v>
      </c>
      <c r="AN529">
        <v>0</v>
      </c>
      <c r="AO529">
        <v>6.7760000000000007</v>
      </c>
      <c r="AP529">
        <v>3.32</v>
      </c>
      <c r="AQ529">
        <v>889.99200000000008</v>
      </c>
      <c r="AS529">
        <v>1108</v>
      </c>
      <c r="AT529">
        <v>1144</v>
      </c>
      <c r="AU529">
        <v>12.3</v>
      </c>
      <c r="AX529" t="s">
        <v>108</v>
      </c>
    </row>
    <row r="530" spans="1:50" x14ac:dyDescent="0.45">
      <c r="A530">
        <v>10529</v>
      </c>
      <c r="B530">
        <v>1</v>
      </c>
      <c r="C530">
        <v>63.96</v>
      </c>
      <c r="D530">
        <v>0</v>
      </c>
      <c r="E530">
        <v>0</v>
      </c>
      <c r="F530">
        <v>0</v>
      </c>
      <c r="G530">
        <v>0</v>
      </c>
      <c r="H530">
        <v>0</v>
      </c>
      <c r="I530">
        <v>0</v>
      </c>
      <c r="J530">
        <v>3.76</v>
      </c>
      <c r="K530">
        <v>24.2</v>
      </c>
      <c r="L530">
        <v>0</v>
      </c>
      <c r="M530">
        <v>8.08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Y530">
        <v>1</v>
      </c>
      <c r="Z530">
        <v>0</v>
      </c>
      <c r="AA530">
        <v>0</v>
      </c>
      <c r="AB530">
        <v>0</v>
      </c>
      <c r="AC530">
        <v>0</v>
      </c>
      <c r="AI530">
        <v>1</v>
      </c>
      <c r="AJ530">
        <v>475</v>
      </c>
      <c r="AK530">
        <v>2</v>
      </c>
      <c r="AL530">
        <v>0</v>
      </c>
      <c r="AM530">
        <v>1</v>
      </c>
      <c r="AN530">
        <v>0</v>
      </c>
      <c r="AO530">
        <v>6.7760000000000007</v>
      </c>
      <c r="AP530">
        <v>3.32</v>
      </c>
      <c r="AQ530">
        <v>889.99200000000008</v>
      </c>
      <c r="AS530">
        <v>1174</v>
      </c>
      <c r="AT530">
        <v>1212</v>
      </c>
      <c r="AU530">
        <v>10.5</v>
      </c>
      <c r="AX530" t="s">
        <v>108</v>
      </c>
    </row>
    <row r="531" spans="1:50" x14ac:dyDescent="0.45">
      <c r="A531">
        <v>10530</v>
      </c>
      <c r="B531">
        <v>1</v>
      </c>
      <c r="C531">
        <v>63.96</v>
      </c>
      <c r="D531">
        <v>0</v>
      </c>
      <c r="E531">
        <v>0</v>
      </c>
      <c r="F531">
        <v>0</v>
      </c>
      <c r="G531">
        <v>0</v>
      </c>
      <c r="H531">
        <v>0</v>
      </c>
      <c r="I531">
        <v>0</v>
      </c>
      <c r="J531">
        <v>3.76</v>
      </c>
      <c r="K531">
        <v>24.2</v>
      </c>
      <c r="L531">
        <v>0</v>
      </c>
      <c r="M531">
        <v>8.08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Y531">
        <v>1</v>
      </c>
      <c r="Z531">
        <v>0</v>
      </c>
      <c r="AA531">
        <v>0</v>
      </c>
      <c r="AB531">
        <v>0</v>
      </c>
      <c r="AC531">
        <v>0</v>
      </c>
      <c r="AI531">
        <v>1</v>
      </c>
      <c r="AJ531">
        <v>475</v>
      </c>
      <c r="AK531">
        <v>4</v>
      </c>
      <c r="AL531">
        <v>0</v>
      </c>
      <c r="AM531">
        <v>1</v>
      </c>
      <c r="AN531">
        <v>0</v>
      </c>
      <c r="AO531">
        <v>6.7760000000000007</v>
      </c>
      <c r="AP531">
        <v>3.32</v>
      </c>
      <c r="AQ531">
        <v>889.99200000000008</v>
      </c>
      <c r="AS531">
        <v>1109</v>
      </c>
      <c r="AT531">
        <v>1169</v>
      </c>
      <c r="AU531">
        <v>14.1</v>
      </c>
      <c r="AX531" t="s">
        <v>108</v>
      </c>
    </row>
    <row r="532" spans="1:50" x14ac:dyDescent="0.45">
      <c r="A532">
        <v>10531</v>
      </c>
      <c r="B532">
        <v>1</v>
      </c>
      <c r="C532">
        <v>63.96</v>
      </c>
      <c r="D532">
        <v>0</v>
      </c>
      <c r="E532">
        <v>0</v>
      </c>
      <c r="F532">
        <v>0</v>
      </c>
      <c r="G532">
        <v>0</v>
      </c>
      <c r="H532">
        <v>0</v>
      </c>
      <c r="I532">
        <v>0</v>
      </c>
      <c r="J532">
        <v>3.76</v>
      </c>
      <c r="K532">
        <v>24.2</v>
      </c>
      <c r="L532">
        <v>0</v>
      </c>
      <c r="M532">
        <v>8.08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Y532">
        <v>1</v>
      </c>
      <c r="Z532">
        <v>0</v>
      </c>
      <c r="AA532">
        <v>0</v>
      </c>
      <c r="AB532">
        <v>0</v>
      </c>
      <c r="AC532">
        <v>0</v>
      </c>
      <c r="AI532">
        <v>1</v>
      </c>
      <c r="AJ532">
        <v>500</v>
      </c>
      <c r="AK532">
        <v>0.5</v>
      </c>
      <c r="AL532">
        <v>0</v>
      </c>
      <c r="AM532">
        <v>1</v>
      </c>
      <c r="AN532">
        <v>0</v>
      </c>
      <c r="AO532">
        <v>6.7760000000000007</v>
      </c>
      <c r="AP532">
        <v>3.32</v>
      </c>
      <c r="AQ532">
        <v>889.99200000000008</v>
      </c>
      <c r="AS532">
        <v>1048</v>
      </c>
      <c r="AT532">
        <v>1105</v>
      </c>
      <c r="AU532">
        <v>13.4</v>
      </c>
      <c r="AX532" t="s">
        <v>108</v>
      </c>
    </row>
    <row r="533" spans="1:50" x14ac:dyDescent="0.45">
      <c r="A533">
        <v>10532</v>
      </c>
      <c r="B533">
        <v>1</v>
      </c>
      <c r="C533">
        <v>63.96</v>
      </c>
      <c r="D533">
        <v>0</v>
      </c>
      <c r="E533">
        <v>0</v>
      </c>
      <c r="F533">
        <v>0</v>
      </c>
      <c r="G533">
        <v>0</v>
      </c>
      <c r="H533">
        <v>0</v>
      </c>
      <c r="I533">
        <v>0</v>
      </c>
      <c r="J533">
        <v>3.76</v>
      </c>
      <c r="K533">
        <v>24.2</v>
      </c>
      <c r="L533">
        <v>0</v>
      </c>
      <c r="M533">
        <v>8.08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Y533">
        <v>1</v>
      </c>
      <c r="Z533">
        <v>0</v>
      </c>
      <c r="AA533">
        <v>0</v>
      </c>
      <c r="AB533">
        <v>0</v>
      </c>
      <c r="AC533">
        <v>0</v>
      </c>
      <c r="AI533">
        <v>1</v>
      </c>
      <c r="AJ533">
        <v>500</v>
      </c>
      <c r="AK533">
        <v>1</v>
      </c>
      <c r="AL533">
        <v>0</v>
      </c>
      <c r="AM533">
        <v>1</v>
      </c>
      <c r="AN533">
        <v>0</v>
      </c>
      <c r="AO533">
        <v>6.7760000000000007</v>
      </c>
      <c r="AP533">
        <v>3.32</v>
      </c>
      <c r="AQ533">
        <v>889.99200000000008</v>
      </c>
      <c r="AS533">
        <v>1039</v>
      </c>
      <c r="AT533">
        <v>1085</v>
      </c>
      <c r="AU533">
        <v>15.1</v>
      </c>
      <c r="AW533" t="s">
        <v>250</v>
      </c>
      <c r="AX533" t="s">
        <v>108</v>
      </c>
    </row>
    <row r="534" spans="1:50" x14ac:dyDescent="0.45">
      <c r="A534">
        <v>10533</v>
      </c>
      <c r="B534">
        <v>1</v>
      </c>
      <c r="C534">
        <v>63.96</v>
      </c>
      <c r="D534">
        <v>0</v>
      </c>
      <c r="E534">
        <v>0</v>
      </c>
      <c r="F534">
        <v>0</v>
      </c>
      <c r="G534">
        <v>0</v>
      </c>
      <c r="H534">
        <v>0</v>
      </c>
      <c r="I534">
        <v>0</v>
      </c>
      <c r="J534">
        <v>3.76</v>
      </c>
      <c r="K534">
        <v>24.2</v>
      </c>
      <c r="L534">
        <v>0</v>
      </c>
      <c r="M534">
        <v>8.08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Y534">
        <v>1</v>
      </c>
      <c r="Z534">
        <v>0</v>
      </c>
      <c r="AA534">
        <v>0</v>
      </c>
      <c r="AB534">
        <v>0</v>
      </c>
      <c r="AC534">
        <v>0</v>
      </c>
      <c r="AI534">
        <v>1</v>
      </c>
      <c r="AJ534">
        <v>500</v>
      </c>
      <c r="AK534">
        <v>2</v>
      </c>
      <c r="AL534">
        <v>0</v>
      </c>
      <c r="AM534">
        <v>1</v>
      </c>
      <c r="AN534">
        <v>0</v>
      </c>
      <c r="AO534">
        <v>6.7760000000000007</v>
      </c>
      <c r="AP534">
        <v>3.32</v>
      </c>
      <c r="AQ534">
        <v>889.99200000000008</v>
      </c>
      <c r="AS534">
        <v>1069</v>
      </c>
      <c r="AT534">
        <v>1104</v>
      </c>
      <c r="AU534">
        <v>14.7</v>
      </c>
      <c r="AW534" t="s">
        <v>250</v>
      </c>
      <c r="AX534" t="s">
        <v>108</v>
      </c>
    </row>
    <row r="535" spans="1:50" x14ac:dyDescent="0.45">
      <c r="A535">
        <v>10534</v>
      </c>
      <c r="B535">
        <v>1</v>
      </c>
      <c r="C535">
        <v>63.96</v>
      </c>
      <c r="D535">
        <v>0</v>
      </c>
      <c r="E535">
        <v>0</v>
      </c>
      <c r="F535">
        <v>0</v>
      </c>
      <c r="G535">
        <v>0</v>
      </c>
      <c r="H535">
        <v>0</v>
      </c>
      <c r="I535">
        <v>0</v>
      </c>
      <c r="J535">
        <v>3.76</v>
      </c>
      <c r="K535">
        <v>24.2</v>
      </c>
      <c r="L535">
        <v>0</v>
      </c>
      <c r="M535">
        <v>8.08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Y535">
        <v>1</v>
      </c>
      <c r="Z535">
        <v>0</v>
      </c>
      <c r="AA535">
        <v>0</v>
      </c>
      <c r="AB535">
        <v>0</v>
      </c>
      <c r="AC535">
        <v>0</v>
      </c>
      <c r="AI535">
        <v>1</v>
      </c>
      <c r="AJ535">
        <v>500</v>
      </c>
      <c r="AK535">
        <v>4</v>
      </c>
      <c r="AL535">
        <v>0</v>
      </c>
      <c r="AM535">
        <v>1</v>
      </c>
      <c r="AN535">
        <v>0</v>
      </c>
      <c r="AO535">
        <v>6.7760000000000007</v>
      </c>
      <c r="AP535">
        <v>3.32</v>
      </c>
      <c r="AQ535">
        <v>889.99200000000008</v>
      </c>
      <c r="AS535">
        <v>1111</v>
      </c>
      <c r="AT535">
        <v>1148</v>
      </c>
      <c r="AU535">
        <v>15.5</v>
      </c>
      <c r="AW535" t="s">
        <v>282</v>
      </c>
      <c r="AX535" t="s">
        <v>108</v>
      </c>
    </row>
    <row r="536" spans="1:50" x14ac:dyDescent="0.45">
      <c r="A536">
        <v>10535</v>
      </c>
      <c r="B536">
        <v>1</v>
      </c>
      <c r="C536">
        <v>63.96</v>
      </c>
      <c r="D536">
        <v>0</v>
      </c>
      <c r="E536">
        <v>0</v>
      </c>
      <c r="F536">
        <v>0</v>
      </c>
      <c r="G536">
        <v>0</v>
      </c>
      <c r="H536">
        <v>0</v>
      </c>
      <c r="I536">
        <v>0</v>
      </c>
      <c r="J536">
        <v>3.76</v>
      </c>
      <c r="K536">
        <v>24.2</v>
      </c>
      <c r="L536">
        <v>0</v>
      </c>
      <c r="M536">
        <v>8.08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Y536">
        <v>1</v>
      </c>
      <c r="Z536">
        <v>0</v>
      </c>
      <c r="AA536">
        <v>0</v>
      </c>
      <c r="AB536">
        <v>0</v>
      </c>
      <c r="AC536">
        <v>0</v>
      </c>
      <c r="AI536">
        <v>1</v>
      </c>
      <c r="AJ536">
        <v>525</v>
      </c>
      <c r="AK536">
        <v>0.5</v>
      </c>
      <c r="AL536">
        <v>0</v>
      </c>
      <c r="AM536">
        <v>1</v>
      </c>
      <c r="AN536">
        <v>0</v>
      </c>
      <c r="AO536">
        <v>6.7760000000000007</v>
      </c>
      <c r="AP536">
        <v>3.32</v>
      </c>
      <c r="AQ536">
        <v>889.99200000000008</v>
      </c>
      <c r="AS536">
        <v>996</v>
      </c>
      <c r="AT536">
        <v>1043</v>
      </c>
      <c r="AU536">
        <v>15.4</v>
      </c>
      <c r="AW536" t="s">
        <v>282</v>
      </c>
      <c r="AX536" t="s">
        <v>108</v>
      </c>
    </row>
    <row r="537" spans="1:50" x14ac:dyDescent="0.45">
      <c r="A537">
        <v>10536</v>
      </c>
      <c r="B537">
        <v>1</v>
      </c>
      <c r="C537">
        <v>63.96</v>
      </c>
      <c r="D537">
        <v>0</v>
      </c>
      <c r="E537">
        <v>0</v>
      </c>
      <c r="F537">
        <v>0</v>
      </c>
      <c r="G537">
        <v>0</v>
      </c>
      <c r="H537">
        <v>0</v>
      </c>
      <c r="I537">
        <v>0</v>
      </c>
      <c r="J537">
        <v>3.76</v>
      </c>
      <c r="K537">
        <v>24.2</v>
      </c>
      <c r="L537">
        <v>0</v>
      </c>
      <c r="M537">
        <v>8.08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Y537">
        <v>1</v>
      </c>
      <c r="Z537">
        <v>0</v>
      </c>
      <c r="AA537">
        <v>0</v>
      </c>
      <c r="AB537">
        <v>0</v>
      </c>
      <c r="AC537">
        <v>0</v>
      </c>
      <c r="AI537">
        <v>1</v>
      </c>
      <c r="AJ537">
        <v>525</v>
      </c>
      <c r="AK537">
        <v>1</v>
      </c>
      <c r="AL537">
        <v>0</v>
      </c>
      <c r="AM537">
        <v>1</v>
      </c>
      <c r="AN537">
        <v>0</v>
      </c>
      <c r="AO537">
        <v>6.7760000000000007</v>
      </c>
      <c r="AP537">
        <v>3.32</v>
      </c>
      <c r="AQ537">
        <v>889.99200000000008</v>
      </c>
      <c r="AS537">
        <v>969</v>
      </c>
      <c r="AT537">
        <v>1017</v>
      </c>
      <c r="AU537">
        <v>15.6</v>
      </c>
      <c r="AW537" t="s">
        <v>282</v>
      </c>
      <c r="AX537" t="s">
        <v>108</v>
      </c>
    </row>
    <row r="538" spans="1:50" x14ac:dyDescent="0.45">
      <c r="A538">
        <v>10537</v>
      </c>
      <c r="B538">
        <v>1</v>
      </c>
      <c r="C538">
        <v>63.96</v>
      </c>
      <c r="D538">
        <v>0</v>
      </c>
      <c r="E538">
        <v>0</v>
      </c>
      <c r="F538">
        <v>0</v>
      </c>
      <c r="G538">
        <v>0</v>
      </c>
      <c r="H538">
        <v>0</v>
      </c>
      <c r="I538">
        <v>0</v>
      </c>
      <c r="J538">
        <v>3.76</v>
      </c>
      <c r="K538">
        <v>24.2</v>
      </c>
      <c r="L538">
        <v>0</v>
      </c>
      <c r="M538">
        <v>8.08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Y538">
        <v>1</v>
      </c>
      <c r="Z538">
        <v>0</v>
      </c>
      <c r="AA538">
        <v>0</v>
      </c>
      <c r="AB538">
        <v>0</v>
      </c>
      <c r="AC538">
        <v>0</v>
      </c>
      <c r="AI538">
        <v>1</v>
      </c>
      <c r="AJ538">
        <v>525</v>
      </c>
      <c r="AK538">
        <v>2</v>
      </c>
      <c r="AL538">
        <v>0</v>
      </c>
      <c r="AM538">
        <v>1</v>
      </c>
      <c r="AN538">
        <v>0</v>
      </c>
      <c r="AO538">
        <v>6.7760000000000007</v>
      </c>
      <c r="AP538">
        <v>3.32</v>
      </c>
      <c r="AQ538">
        <v>889.99200000000008</v>
      </c>
      <c r="AS538">
        <v>976</v>
      </c>
      <c r="AT538">
        <v>1024</v>
      </c>
      <c r="AU538">
        <v>16.399999999999999</v>
      </c>
      <c r="AW538" t="s">
        <v>350</v>
      </c>
      <c r="AX538" t="s">
        <v>108</v>
      </c>
    </row>
    <row r="539" spans="1:50" x14ac:dyDescent="0.45">
      <c r="A539">
        <v>10538</v>
      </c>
      <c r="B539">
        <v>1</v>
      </c>
      <c r="C539">
        <v>63.96</v>
      </c>
      <c r="D539">
        <v>0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3.76</v>
      </c>
      <c r="K539">
        <v>24.2</v>
      </c>
      <c r="L539">
        <v>0</v>
      </c>
      <c r="M539">
        <v>8.08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Y539">
        <v>1</v>
      </c>
      <c r="Z539">
        <v>0</v>
      </c>
      <c r="AA539">
        <v>0</v>
      </c>
      <c r="AB539">
        <v>0</v>
      </c>
      <c r="AC539">
        <v>0</v>
      </c>
      <c r="AI539">
        <v>1</v>
      </c>
      <c r="AJ539">
        <v>525</v>
      </c>
      <c r="AK539">
        <v>4</v>
      </c>
      <c r="AL539">
        <v>0</v>
      </c>
      <c r="AM539">
        <v>1</v>
      </c>
      <c r="AN539">
        <v>0</v>
      </c>
      <c r="AO539">
        <v>6.7760000000000007</v>
      </c>
      <c r="AP539">
        <v>3.32</v>
      </c>
      <c r="AQ539">
        <v>889.99200000000008</v>
      </c>
      <c r="AS539">
        <v>1026</v>
      </c>
      <c r="AT539">
        <v>1059</v>
      </c>
      <c r="AU539">
        <v>15.9</v>
      </c>
      <c r="AW539" t="s">
        <v>350</v>
      </c>
      <c r="AX539" t="s">
        <v>108</v>
      </c>
    </row>
    <row r="540" spans="1:50" x14ac:dyDescent="0.45">
      <c r="A540">
        <v>10539</v>
      </c>
      <c r="B540">
        <v>1</v>
      </c>
      <c r="C540">
        <v>73.05</v>
      </c>
      <c r="D540">
        <v>0</v>
      </c>
      <c r="E540">
        <v>0</v>
      </c>
      <c r="F540">
        <v>0</v>
      </c>
      <c r="G540">
        <v>0</v>
      </c>
      <c r="H540">
        <v>0</v>
      </c>
      <c r="I540">
        <v>0</v>
      </c>
      <c r="J540">
        <v>4.49</v>
      </c>
      <c r="K540">
        <v>21.09</v>
      </c>
      <c r="L540">
        <v>0</v>
      </c>
      <c r="M540">
        <v>1.37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1</v>
      </c>
      <c r="Y540">
        <v>0</v>
      </c>
      <c r="Z540">
        <v>1</v>
      </c>
      <c r="AA540">
        <v>0</v>
      </c>
      <c r="AB540">
        <v>0</v>
      </c>
      <c r="AC540">
        <v>1</v>
      </c>
      <c r="AD540">
        <f t="shared" ref="AD540:AD547" si="5">AQ540</f>
        <v>856.77300000000002</v>
      </c>
      <c r="AF540">
        <v>1</v>
      </c>
      <c r="AG540">
        <v>0</v>
      </c>
      <c r="AH540">
        <v>0</v>
      </c>
      <c r="AI540">
        <v>0</v>
      </c>
      <c r="AO540">
        <v>5.9052000000000007</v>
      </c>
      <c r="AP540">
        <v>1.2050000000000001</v>
      </c>
      <c r="AQ540">
        <v>856.77300000000002</v>
      </c>
      <c r="AR540">
        <v>66.900000000000006</v>
      </c>
      <c r="AS540">
        <v>806</v>
      </c>
      <c r="AW540" t="s">
        <v>277</v>
      </c>
      <c r="AX540" t="s">
        <v>60</v>
      </c>
    </row>
    <row r="541" spans="1:50" x14ac:dyDescent="0.45">
      <c r="A541">
        <v>10540</v>
      </c>
      <c r="B541">
        <v>1</v>
      </c>
      <c r="C541">
        <v>73.05</v>
      </c>
      <c r="D541">
        <v>0</v>
      </c>
      <c r="E541">
        <v>0</v>
      </c>
      <c r="F541">
        <v>0</v>
      </c>
      <c r="G541">
        <v>0</v>
      </c>
      <c r="H541">
        <v>0</v>
      </c>
      <c r="I541">
        <v>0</v>
      </c>
      <c r="J541">
        <v>4.49</v>
      </c>
      <c r="K541">
        <v>21.09</v>
      </c>
      <c r="L541">
        <v>0</v>
      </c>
      <c r="M541">
        <v>1.37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1</v>
      </c>
      <c r="Y541">
        <v>0</v>
      </c>
      <c r="Z541">
        <v>1</v>
      </c>
      <c r="AA541">
        <v>0</v>
      </c>
      <c r="AB541">
        <v>0</v>
      </c>
      <c r="AC541">
        <v>1</v>
      </c>
      <c r="AD541">
        <f t="shared" si="5"/>
        <v>856.77300000000002</v>
      </c>
      <c r="AF541">
        <v>1</v>
      </c>
      <c r="AG541">
        <v>0</v>
      </c>
      <c r="AH541">
        <v>0</v>
      </c>
      <c r="AI541">
        <v>0</v>
      </c>
      <c r="AO541">
        <v>5.9052000000000007</v>
      </c>
      <c r="AP541">
        <v>1.2050000000000001</v>
      </c>
      <c r="AQ541">
        <v>856.77300000000002</v>
      </c>
      <c r="AR541">
        <v>54.2</v>
      </c>
      <c r="AS541">
        <v>380</v>
      </c>
      <c r="AW541" t="s">
        <v>278</v>
      </c>
      <c r="AX541" t="s">
        <v>60</v>
      </c>
    </row>
    <row r="542" spans="1:50" x14ac:dyDescent="0.45">
      <c r="A542">
        <v>10541</v>
      </c>
      <c r="B542">
        <v>1</v>
      </c>
      <c r="C542">
        <v>78.430000000000007</v>
      </c>
      <c r="D542">
        <v>0</v>
      </c>
      <c r="E542">
        <v>0</v>
      </c>
      <c r="F542">
        <v>0</v>
      </c>
      <c r="G542">
        <v>0</v>
      </c>
      <c r="H542">
        <v>0</v>
      </c>
      <c r="I542">
        <v>0</v>
      </c>
      <c r="J542">
        <v>2.52</v>
      </c>
      <c r="K542">
        <v>15.190000000000001</v>
      </c>
      <c r="L542">
        <v>0</v>
      </c>
      <c r="M542">
        <v>3.8699999999999997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1</v>
      </c>
      <c r="Y542">
        <v>0</v>
      </c>
      <c r="Z542">
        <v>1</v>
      </c>
      <c r="AA542">
        <v>0</v>
      </c>
      <c r="AB542">
        <v>0</v>
      </c>
      <c r="AC542">
        <v>1</v>
      </c>
      <c r="AD542">
        <f t="shared" si="5"/>
        <v>880.86599999999999</v>
      </c>
      <c r="AF542">
        <v>0</v>
      </c>
      <c r="AG542">
        <v>1</v>
      </c>
      <c r="AH542">
        <v>0</v>
      </c>
      <c r="AI542">
        <v>0</v>
      </c>
      <c r="AO542">
        <v>4.2532000000000005</v>
      </c>
      <c r="AP542">
        <v>1.7099999999999997</v>
      </c>
      <c r="AQ542">
        <v>880.86599999999999</v>
      </c>
      <c r="AR542">
        <v>50</v>
      </c>
      <c r="AS542">
        <v>350</v>
      </c>
      <c r="AW542" t="s">
        <v>279</v>
      </c>
      <c r="AX542" t="s">
        <v>60</v>
      </c>
    </row>
    <row r="543" spans="1:50" x14ac:dyDescent="0.45">
      <c r="A543">
        <v>10542</v>
      </c>
      <c r="B543">
        <v>1</v>
      </c>
      <c r="C543">
        <v>78.83</v>
      </c>
      <c r="D543">
        <v>0</v>
      </c>
      <c r="E543">
        <v>0</v>
      </c>
      <c r="F543">
        <v>0</v>
      </c>
      <c r="G543">
        <v>0</v>
      </c>
      <c r="H543">
        <v>0</v>
      </c>
      <c r="I543">
        <v>0</v>
      </c>
      <c r="J543">
        <v>2.4299999999999997</v>
      </c>
      <c r="K543">
        <v>15</v>
      </c>
      <c r="L543">
        <v>0</v>
      </c>
      <c r="M543">
        <v>3.74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1</v>
      </c>
      <c r="Y543">
        <v>0</v>
      </c>
      <c r="Z543">
        <v>1</v>
      </c>
      <c r="AA543">
        <v>0</v>
      </c>
      <c r="AB543">
        <v>0</v>
      </c>
      <c r="AC543">
        <v>1</v>
      </c>
      <c r="AD543">
        <f t="shared" si="5"/>
        <v>880.94099999999992</v>
      </c>
      <c r="AF543">
        <v>0</v>
      </c>
      <c r="AG543">
        <v>1</v>
      </c>
      <c r="AH543">
        <v>0</v>
      </c>
      <c r="AI543">
        <v>0</v>
      </c>
      <c r="AO543">
        <v>4.2</v>
      </c>
      <c r="AP543">
        <v>1.6516666666666668</v>
      </c>
      <c r="AQ543">
        <v>880.94099999999992</v>
      </c>
      <c r="AR543">
        <v>59.2</v>
      </c>
      <c r="AS543">
        <v>282</v>
      </c>
      <c r="AW543" t="s">
        <v>280</v>
      </c>
      <c r="AX543" t="s">
        <v>60</v>
      </c>
    </row>
    <row r="544" spans="1:50" x14ac:dyDescent="0.45">
      <c r="A544">
        <v>10543</v>
      </c>
      <c r="B544">
        <v>1</v>
      </c>
      <c r="C544">
        <v>78.23</v>
      </c>
      <c r="D544">
        <v>0</v>
      </c>
      <c r="E544">
        <v>0</v>
      </c>
      <c r="F544">
        <v>0</v>
      </c>
      <c r="G544">
        <v>0</v>
      </c>
      <c r="H544">
        <v>0</v>
      </c>
      <c r="I544">
        <v>0</v>
      </c>
      <c r="J544">
        <v>2.5700000000000003</v>
      </c>
      <c r="K544">
        <v>15.22</v>
      </c>
      <c r="L544">
        <v>0</v>
      </c>
      <c r="M544">
        <v>3.9800000000000004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1</v>
      </c>
      <c r="Y544">
        <v>0</v>
      </c>
      <c r="Z544">
        <v>1</v>
      </c>
      <c r="AA544">
        <v>0</v>
      </c>
      <c r="AB544">
        <v>0</v>
      </c>
      <c r="AC544">
        <v>1</v>
      </c>
      <c r="AD544">
        <f t="shared" si="5"/>
        <v>880.98299999999995</v>
      </c>
      <c r="AF544">
        <v>0</v>
      </c>
      <c r="AG544">
        <v>1</v>
      </c>
      <c r="AH544">
        <v>0</v>
      </c>
      <c r="AI544">
        <v>0</v>
      </c>
      <c r="AO544">
        <v>4.2616000000000005</v>
      </c>
      <c r="AP544">
        <v>1.7550000000000003</v>
      </c>
      <c r="AQ544">
        <v>880.98299999999995</v>
      </c>
      <c r="AR544">
        <v>61.6</v>
      </c>
      <c r="AS544">
        <v>380</v>
      </c>
      <c r="AW544" t="s">
        <v>281</v>
      </c>
      <c r="AX544" t="s">
        <v>60</v>
      </c>
    </row>
    <row r="545" spans="1:50" x14ac:dyDescent="0.45">
      <c r="A545">
        <v>10544</v>
      </c>
      <c r="B545">
        <v>1</v>
      </c>
      <c r="C545">
        <v>78.180000000000007</v>
      </c>
      <c r="D545">
        <v>0</v>
      </c>
      <c r="E545">
        <v>0</v>
      </c>
      <c r="F545">
        <v>0</v>
      </c>
      <c r="G545">
        <v>0</v>
      </c>
      <c r="H545">
        <v>0</v>
      </c>
      <c r="I545">
        <v>0</v>
      </c>
      <c r="J545">
        <v>2.59</v>
      </c>
      <c r="K545">
        <v>15.28</v>
      </c>
      <c r="L545">
        <v>0</v>
      </c>
      <c r="M545">
        <v>3.94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1</v>
      </c>
      <c r="Y545">
        <v>0</v>
      </c>
      <c r="Z545">
        <v>1</v>
      </c>
      <c r="AA545">
        <v>0</v>
      </c>
      <c r="AB545">
        <v>0</v>
      </c>
      <c r="AC545">
        <v>1</v>
      </c>
      <c r="AD545">
        <f t="shared" si="5"/>
        <v>880.67700000000002</v>
      </c>
      <c r="AF545">
        <v>0</v>
      </c>
      <c r="AG545">
        <v>1</v>
      </c>
      <c r="AH545">
        <v>0</v>
      </c>
      <c r="AI545">
        <v>0</v>
      </c>
      <c r="AO545">
        <v>4.2784000000000004</v>
      </c>
      <c r="AP545">
        <v>1.7449999999999999</v>
      </c>
      <c r="AQ545">
        <v>880.67700000000002</v>
      </c>
      <c r="AR545">
        <v>47.8</v>
      </c>
      <c r="AS545">
        <v>515</v>
      </c>
      <c r="AW545" t="s">
        <v>282</v>
      </c>
      <c r="AX545" t="s">
        <v>60</v>
      </c>
    </row>
    <row r="546" spans="1:50" x14ac:dyDescent="0.45">
      <c r="A546">
        <v>10545</v>
      </c>
      <c r="B546">
        <v>1</v>
      </c>
      <c r="C546">
        <v>78.61</v>
      </c>
      <c r="D546">
        <v>0</v>
      </c>
      <c r="E546">
        <v>0</v>
      </c>
      <c r="F546">
        <v>0</v>
      </c>
      <c r="G546">
        <v>0</v>
      </c>
      <c r="H546">
        <v>0</v>
      </c>
      <c r="I546">
        <v>0</v>
      </c>
      <c r="J546">
        <v>2.4</v>
      </c>
      <c r="K546">
        <v>15.040000000000001</v>
      </c>
      <c r="L546">
        <v>0</v>
      </c>
      <c r="M546">
        <v>3.95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1</v>
      </c>
      <c r="Y546">
        <v>0</v>
      </c>
      <c r="Z546">
        <v>1</v>
      </c>
      <c r="AA546">
        <v>0</v>
      </c>
      <c r="AB546">
        <v>0</v>
      </c>
      <c r="AC546">
        <v>1</v>
      </c>
      <c r="AD546">
        <f t="shared" si="5"/>
        <v>882.03000000000009</v>
      </c>
      <c r="AF546">
        <v>0</v>
      </c>
      <c r="AG546">
        <v>1</v>
      </c>
      <c r="AH546">
        <v>0</v>
      </c>
      <c r="AI546">
        <v>0</v>
      </c>
      <c r="AO546">
        <v>4.2112000000000007</v>
      </c>
      <c r="AP546">
        <v>1.7166666666666666</v>
      </c>
      <c r="AQ546">
        <v>882.03000000000009</v>
      </c>
      <c r="AR546">
        <v>53.2</v>
      </c>
      <c r="AS546">
        <v>649</v>
      </c>
      <c r="AW546" t="s">
        <v>283</v>
      </c>
      <c r="AX546" t="s">
        <v>60</v>
      </c>
    </row>
    <row r="547" spans="1:50" x14ac:dyDescent="0.45">
      <c r="A547">
        <v>10546</v>
      </c>
      <c r="B547">
        <v>1</v>
      </c>
      <c r="C547">
        <v>83.84</v>
      </c>
      <c r="D547">
        <v>0</v>
      </c>
      <c r="E547">
        <v>0</v>
      </c>
      <c r="F547">
        <v>0</v>
      </c>
      <c r="G547">
        <v>0</v>
      </c>
      <c r="H547">
        <v>0</v>
      </c>
      <c r="I547">
        <v>0</v>
      </c>
      <c r="J547">
        <v>1.51</v>
      </c>
      <c r="K547">
        <v>14.04</v>
      </c>
      <c r="L547">
        <v>0</v>
      </c>
      <c r="M547">
        <v>0.61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1</v>
      </c>
      <c r="Y547">
        <v>0</v>
      </c>
      <c r="Z547">
        <v>1</v>
      </c>
      <c r="AA547">
        <v>0</v>
      </c>
      <c r="AB547">
        <v>0</v>
      </c>
      <c r="AC547">
        <v>1</v>
      </c>
      <c r="AD547">
        <f t="shared" si="5"/>
        <v>874.14300000000003</v>
      </c>
      <c r="AF547">
        <v>1</v>
      </c>
      <c r="AG547">
        <v>0</v>
      </c>
      <c r="AH547">
        <v>0</v>
      </c>
      <c r="AI547">
        <v>0</v>
      </c>
      <c r="AO547">
        <v>3.9312</v>
      </c>
      <c r="AP547">
        <v>0.45499999999999996</v>
      </c>
      <c r="AQ547">
        <v>874.14300000000003</v>
      </c>
      <c r="AR547">
        <v>75</v>
      </c>
      <c r="AS547">
        <v>499</v>
      </c>
      <c r="AW547" t="s">
        <v>284</v>
      </c>
      <c r="AX547" t="s">
        <v>60</v>
      </c>
    </row>
    <row r="548" spans="1:50" x14ac:dyDescent="0.45">
      <c r="A548">
        <v>10547</v>
      </c>
      <c r="B548">
        <v>1</v>
      </c>
      <c r="C548">
        <v>61</v>
      </c>
      <c r="D548">
        <v>0</v>
      </c>
      <c r="E548">
        <v>0</v>
      </c>
      <c r="F548">
        <v>0</v>
      </c>
      <c r="G548">
        <v>0</v>
      </c>
      <c r="H548">
        <v>0</v>
      </c>
      <c r="I548">
        <v>0</v>
      </c>
      <c r="J548">
        <v>9</v>
      </c>
      <c r="K548">
        <v>18.3</v>
      </c>
      <c r="L548">
        <v>0</v>
      </c>
      <c r="M548">
        <v>11.7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Y548">
        <v>1</v>
      </c>
      <c r="Z548">
        <v>0</v>
      </c>
      <c r="AA548">
        <v>0</v>
      </c>
      <c r="AB548">
        <v>0</v>
      </c>
      <c r="AC548">
        <v>0</v>
      </c>
      <c r="AI548">
        <v>0</v>
      </c>
      <c r="AO548">
        <v>5.1240000000000006</v>
      </c>
      <c r="AP548">
        <v>5.4</v>
      </c>
      <c r="AQ548">
        <v>869.04</v>
      </c>
      <c r="AR548">
        <v>56</v>
      </c>
    </row>
    <row r="549" spans="1:50" x14ac:dyDescent="0.45">
      <c r="A549">
        <v>10548</v>
      </c>
      <c r="B549">
        <v>1</v>
      </c>
      <c r="C549">
        <v>54</v>
      </c>
      <c r="D549">
        <v>0</v>
      </c>
      <c r="E549">
        <v>0</v>
      </c>
      <c r="F549">
        <v>0</v>
      </c>
      <c r="G549">
        <v>0</v>
      </c>
      <c r="H549">
        <v>0</v>
      </c>
      <c r="I549">
        <v>0</v>
      </c>
      <c r="J549">
        <v>17.2</v>
      </c>
      <c r="K549">
        <v>17.600000000000001</v>
      </c>
      <c r="L549">
        <v>0</v>
      </c>
      <c r="M549">
        <v>11.2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Y549">
        <v>1</v>
      </c>
      <c r="Z549">
        <v>0</v>
      </c>
      <c r="AA549">
        <v>0</v>
      </c>
      <c r="AB549">
        <v>0</v>
      </c>
      <c r="AC549">
        <v>0</v>
      </c>
      <c r="AI549">
        <v>0</v>
      </c>
      <c r="AO549">
        <v>4.9280000000000008</v>
      </c>
      <c r="AP549">
        <v>6.6</v>
      </c>
      <c r="AQ549">
        <v>810.3599999999999</v>
      </c>
      <c r="AR549">
        <v>63</v>
      </c>
    </row>
    <row r="550" spans="1:50" x14ac:dyDescent="0.45">
      <c r="A550">
        <v>10549</v>
      </c>
      <c r="B550">
        <v>1</v>
      </c>
      <c r="C550">
        <v>56.1</v>
      </c>
      <c r="D550">
        <v>0</v>
      </c>
      <c r="E550">
        <v>0</v>
      </c>
      <c r="F550">
        <v>0</v>
      </c>
      <c r="G550">
        <v>0</v>
      </c>
      <c r="H550">
        <v>0</v>
      </c>
      <c r="I550">
        <v>0</v>
      </c>
      <c r="J550">
        <v>8.1</v>
      </c>
      <c r="K550">
        <v>25.2</v>
      </c>
      <c r="L550">
        <v>0</v>
      </c>
      <c r="M550">
        <v>10.6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Y550">
        <v>1</v>
      </c>
      <c r="Z550">
        <v>0</v>
      </c>
      <c r="AA550">
        <v>0</v>
      </c>
      <c r="AB550">
        <v>0</v>
      </c>
      <c r="AC550">
        <v>0</v>
      </c>
      <c r="AI550">
        <v>0</v>
      </c>
      <c r="AO550">
        <v>7.056</v>
      </c>
      <c r="AP550">
        <v>4.8833333333333329</v>
      </c>
      <c r="AQ550">
        <v>870.63</v>
      </c>
      <c r="AR550">
        <v>59</v>
      </c>
    </row>
    <row r="551" spans="1:50" x14ac:dyDescent="0.45">
      <c r="A551">
        <v>10550</v>
      </c>
      <c r="B551">
        <v>1</v>
      </c>
      <c r="C551">
        <v>49.8</v>
      </c>
      <c r="D551">
        <v>0</v>
      </c>
      <c r="E551">
        <v>0</v>
      </c>
      <c r="F551">
        <v>0</v>
      </c>
      <c r="G551">
        <v>0</v>
      </c>
      <c r="H551">
        <v>0</v>
      </c>
      <c r="I551">
        <v>0</v>
      </c>
      <c r="J551">
        <v>15.8</v>
      </c>
      <c r="K551">
        <v>24.2</v>
      </c>
      <c r="L551">
        <v>0</v>
      </c>
      <c r="M551">
        <v>10.199999999999999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Y551">
        <v>1</v>
      </c>
      <c r="Z551">
        <v>0</v>
      </c>
      <c r="AA551">
        <v>0</v>
      </c>
      <c r="AB551">
        <v>0</v>
      </c>
      <c r="AC551">
        <v>0</v>
      </c>
      <c r="AI551">
        <v>0</v>
      </c>
      <c r="AO551">
        <v>6.7760000000000007</v>
      </c>
      <c r="AP551">
        <v>6.0333333333333332</v>
      </c>
      <c r="AQ551">
        <v>815.82</v>
      </c>
      <c r="AR551">
        <v>64</v>
      </c>
    </row>
    <row r="552" spans="1:50" x14ac:dyDescent="0.45">
      <c r="A552">
        <v>10551</v>
      </c>
      <c r="B552">
        <v>1</v>
      </c>
      <c r="C552">
        <v>78.16</v>
      </c>
      <c r="D552">
        <v>0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15.38</v>
      </c>
      <c r="K552">
        <v>2.52</v>
      </c>
      <c r="L552">
        <v>0</v>
      </c>
      <c r="M552">
        <v>3.94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Y552">
        <v>1</v>
      </c>
      <c r="Z552">
        <v>0</v>
      </c>
      <c r="AA552">
        <v>0</v>
      </c>
      <c r="AB552">
        <v>0</v>
      </c>
      <c r="AC552">
        <v>0</v>
      </c>
      <c r="AI552">
        <v>0</v>
      </c>
      <c r="AO552">
        <v>0.70560000000000012</v>
      </c>
      <c r="AP552">
        <v>3.8766666666666669</v>
      </c>
      <c r="AQ552">
        <v>792.42599999999993</v>
      </c>
      <c r="AR552">
        <v>53</v>
      </c>
    </row>
    <row r="553" spans="1:50" x14ac:dyDescent="0.45">
      <c r="A553">
        <v>10552</v>
      </c>
      <c r="B553">
        <v>1</v>
      </c>
      <c r="C553">
        <v>73.05</v>
      </c>
      <c r="D553">
        <v>0</v>
      </c>
      <c r="E553">
        <v>0</v>
      </c>
      <c r="F553">
        <v>0</v>
      </c>
      <c r="G553">
        <v>0</v>
      </c>
      <c r="H553">
        <v>0</v>
      </c>
      <c r="I553">
        <v>0</v>
      </c>
      <c r="J553">
        <v>4.49</v>
      </c>
      <c r="K553">
        <v>21.09</v>
      </c>
      <c r="L553">
        <v>0</v>
      </c>
      <c r="M553">
        <v>1.37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Y553">
        <v>1</v>
      </c>
      <c r="Z553">
        <v>0</v>
      </c>
      <c r="AA553">
        <v>0</v>
      </c>
      <c r="AB553">
        <v>0</v>
      </c>
      <c r="AC553">
        <v>0</v>
      </c>
      <c r="AI553">
        <v>0</v>
      </c>
      <c r="AO553">
        <v>5.9052000000000007</v>
      </c>
      <c r="AP553">
        <v>1.2050000000000001</v>
      </c>
      <c r="AQ553">
        <v>856.77300000000002</v>
      </c>
      <c r="AR553">
        <v>54.2</v>
      </c>
    </row>
    <row r="554" spans="1:50" x14ac:dyDescent="0.45">
      <c r="A554">
        <v>10553</v>
      </c>
      <c r="B554">
        <v>1</v>
      </c>
      <c r="C554">
        <v>76.47</v>
      </c>
      <c r="D554">
        <v>0</v>
      </c>
      <c r="E554">
        <v>0</v>
      </c>
      <c r="F554">
        <v>0</v>
      </c>
      <c r="G554">
        <v>0</v>
      </c>
      <c r="H554">
        <v>0</v>
      </c>
      <c r="I554">
        <v>0</v>
      </c>
      <c r="J554">
        <v>5.88</v>
      </c>
      <c r="K554">
        <v>11.78</v>
      </c>
      <c r="L554">
        <v>0</v>
      </c>
      <c r="M554">
        <v>5.87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Y554">
        <v>1</v>
      </c>
      <c r="Z554">
        <v>0</v>
      </c>
      <c r="AA554">
        <v>0</v>
      </c>
      <c r="AB554">
        <v>0</v>
      </c>
      <c r="AC554">
        <v>0</v>
      </c>
      <c r="AI554">
        <v>0</v>
      </c>
      <c r="AO554">
        <v>3.2984</v>
      </c>
      <c r="AP554">
        <v>2.9366666666666665</v>
      </c>
      <c r="AQ554">
        <v>866.08199999999999</v>
      </c>
      <c r="AR554">
        <v>56</v>
      </c>
    </row>
    <row r="555" spans="1:50" x14ac:dyDescent="0.45">
      <c r="A555">
        <v>10554</v>
      </c>
      <c r="B555">
        <v>1</v>
      </c>
      <c r="C555">
        <v>72.22</v>
      </c>
      <c r="D555">
        <v>0</v>
      </c>
      <c r="E555">
        <v>0</v>
      </c>
      <c r="F555">
        <v>0</v>
      </c>
      <c r="G555">
        <v>0</v>
      </c>
      <c r="H555">
        <v>0</v>
      </c>
      <c r="I555">
        <v>0</v>
      </c>
      <c r="J555">
        <v>5.56</v>
      </c>
      <c r="K555">
        <v>16.66</v>
      </c>
      <c r="L555">
        <v>0</v>
      </c>
      <c r="M555">
        <v>5.56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Y555">
        <v>1</v>
      </c>
      <c r="Z555">
        <v>0</v>
      </c>
      <c r="AA555">
        <v>0</v>
      </c>
      <c r="AB555">
        <v>0</v>
      </c>
      <c r="AC555">
        <v>0</v>
      </c>
      <c r="AI555">
        <v>0</v>
      </c>
      <c r="AO555">
        <v>4.6648000000000005</v>
      </c>
      <c r="AP555">
        <v>2.78</v>
      </c>
      <c r="AQ555">
        <v>866.98799999999994</v>
      </c>
      <c r="AR555">
        <v>59</v>
      </c>
    </row>
    <row r="556" spans="1:50" x14ac:dyDescent="0.45">
      <c r="A556">
        <v>10555</v>
      </c>
      <c r="B556">
        <v>1</v>
      </c>
      <c r="C556">
        <v>66.67</v>
      </c>
      <c r="D556">
        <v>0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11.11</v>
      </c>
      <c r="K556">
        <v>16.66</v>
      </c>
      <c r="L556">
        <v>0</v>
      </c>
      <c r="M556">
        <v>5.56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Y556">
        <v>1</v>
      </c>
      <c r="Z556">
        <v>0</v>
      </c>
      <c r="AA556">
        <v>0</v>
      </c>
      <c r="AB556">
        <v>0</v>
      </c>
      <c r="AC556">
        <v>0</v>
      </c>
      <c r="AI556">
        <v>0</v>
      </c>
      <c r="AO556">
        <v>4.6648000000000005</v>
      </c>
      <c r="AP556">
        <v>3.7050000000000001</v>
      </c>
      <c r="AQ556">
        <v>828.69299999999998</v>
      </c>
      <c r="AR556">
        <v>64</v>
      </c>
    </row>
    <row r="557" spans="1:50" x14ac:dyDescent="0.45">
      <c r="A557">
        <v>10556</v>
      </c>
      <c r="B557">
        <v>1</v>
      </c>
      <c r="C557">
        <v>72.22</v>
      </c>
      <c r="D557">
        <v>0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5.56</v>
      </c>
      <c r="K557">
        <v>16.66</v>
      </c>
      <c r="L557">
        <v>0</v>
      </c>
      <c r="M557">
        <v>5.56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Y557">
        <v>1</v>
      </c>
      <c r="Z557">
        <v>0</v>
      </c>
      <c r="AA557">
        <v>0</v>
      </c>
      <c r="AB557">
        <v>0</v>
      </c>
      <c r="AC557">
        <v>0</v>
      </c>
      <c r="AI557">
        <v>0</v>
      </c>
      <c r="AO557">
        <v>4.6648000000000005</v>
      </c>
      <c r="AP557">
        <v>2.78</v>
      </c>
      <c r="AQ557">
        <v>866.98799999999994</v>
      </c>
      <c r="AR557">
        <v>59</v>
      </c>
    </row>
    <row r="558" spans="1:50" x14ac:dyDescent="0.45">
      <c r="A558">
        <v>10557</v>
      </c>
      <c r="B558">
        <v>1</v>
      </c>
      <c r="C558">
        <v>66.67</v>
      </c>
      <c r="D558">
        <v>0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11.11</v>
      </c>
      <c r="K558">
        <v>16.66</v>
      </c>
      <c r="L558">
        <v>0</v>
      </c>
      <c r="M558">
        <v>5.56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Y558">
        <v>1</v>
      </c>
      <c r="Z558">
        <v>0</v>
      </c>
      <c r="AA558">
        <v>0</v>
      </c>
      <c r="AB558">
        <v>0</v>
      </c>
      <c r="AC558">
        <v>0</v>
      </c>
      <c r="AI558">
        <v>0</v>
      </c>
      <c r="AO558">
        <v>4.6648000000000005</v>
      </c>
      <c r="AP558">
        <v>3.7050000000000001</v>
      </c>
      <c r="AQ558">
        <v>828.69299999999998</v>
      </c>
      <c r="AR558">
        <v>64</v>
      </c>
    </row>
    <row r="559" spans="1:50" x14ac:dyDescent="0.45">
      <c r="A559">
        <v>10558</v>
      </c>
      <c r="B559">
        <v>1</v>
      </c>
      <c r="C559">
        <v>72.22</v>
      </c>
      <c r="D559">
        <v>0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5.56</v>
      </c>
      <c r="K559">
        <v>16.66</v>
      </c>
      <c r="L559">
        <v>0</v>
      </c>
      <c r="M559">
        <v>5.56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Y559">
        <v>1</v>
      </c>
      <c r="Z559">
        <v>0</v>
      </c>
      <c r="AA559">
        <v>0</v>
      </c>
      <c r="AB559">
        <v>0</v>
      </c>
      <c r="AC559">
        <v>0</v>
      </c>
      <c r="AI559">
        <v>0</v>
      </c>
      <c r="AO559">
        <v>4.6648000000000005</v>
      </c>
      <c r="AP559">
        <v>2.78</v>
      </c>
      <c r="AQ559">
        <v>866.98799999999994</v>
      </c>
      <c r="AR559">
        <v>59</v>
      </c>
    </row>
    <row r="560" spans="1:50" x14ac:dyDescent="0.45">
      <c r="A560">
        <v>10559</v>
      </c>
      <c r="B560">
        <v>1</v>
      </c>
      <c r="C560">
        <v>66.67</v>
      </c>
      <c r="D560">
        <v>0</v>
      </c>
      <c r="E560">
        <v>0</v>
      </c>
      <c r="F560">
        <v>0</v>
      </c>
      <c r="G560">
        <v>0</v>
      </c>
      <c r="H560">
        <v>0</v>
      </c>
      <c r="I560">
        <v>0</v>
      </c>
      <c r="J560">
        <v>11.11</v>
      </c>
      <c r="K560">
        <v>16.66</v>
      </c>
      <c r="L560">
        <v>0</v>
      </c>
      <c r="M560">
        <v>5.56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Y560">
        <v>1</v>
      </c>
      <c r="Z560">
        <v>0</v>
      </c>
      <c r="AA560">
        <v>0</v>
      </c>
      <c r="AB560">
        <v>0</v>
      </c>
      <c r="AC560">
        <v>0</v>
      </c>
      <c r="AI560">
        <v>0</v>
      </c>
      <c r="AO560">
        <v>4.6648000000000005</v>
      </c>
      <c r="AP560">
        <v>3.7050000000000001</v>
      </c>
      <c r="AQ560">
        <v>828.69299999999998</v>
      </c>
      <c r="AR560">
        <v>64</v>
      </c>
    </row>
    <row r="561" spans="1:50" x14ac:dyDescent="0.45">
      <c r="A561">
        <v>10560</v>
      </c>
      <c r="B561">
        <v>1</v>
      </c>
      <c r="C561">
        <v>76</v>
      </c>
      <c r="D561">
        <v>0</v>
      </c>
      <c r="E561">
        <v>0</v>
      </c>
      <c r="F561">
        <v>0</v>
      </c>
      <c r="G561">
        <v>0</v>
      </c>
      <c r="H561">
        <v>0</v>
      </c>
      <c r="I561">
        <v>0</v>
      </c>
      <c r="J561">
        <v>2.64</v>
      </c>
      <c r="K561">
        <v>15.53</v>
      </c>
      <c r="L561">
        <v>0</v>
      </c>
      <c r="M561">
        <v>5.83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Y561">
        <v>1</v>
      </c>
      <c r="Z561">
        <v>0</v>
      </c>
      <c r="AA561">
        <v>0</v>
      </c>
      <c r="AB561">
        <v>0</v>
      </c>
      <c r="AC561">
        <v>0</v>
      </c>
      <c r="AI561">
        <v>0</v>
      </c>
      <c r="AO561">
        <v>4.3483999999999998</v>
      </c>
      <c r="AP561">
        <v>2.3833333333333333</v>
      </c>
      <c r="AQ561">
        <v>888.27</v>
      </c>
      <c r="AR561">
        <v>88</v>
      </c>
    </row>
    <row r="562" spans="1:50" x14ac:dyDescent="0.45">
      <c r="A562">
        <v>10561</v>
      </c>
      <c r="B562">
        <v>1</v>
      </c>
      <c r="C562">
        <v>75.540000000000006</v>
      </c>
      <c r="D562">
        <v>0</v>
      </c>
      <c r="E562">
        <v>0</v>
      </c>
      <c r="F562">
        <v>0</v>
      </c>
      <c r="G562">
        <v>0</v>
      </c>
      <c r="H562">
        <v>0</v>
      </c>
      <c r="I562">
        <v>0</v>
      </c>
      <c r="J562">
        <v>5.24</v>
      </c>
      <c r="K562">
        <v>15.44</v>
      </c>
      <c r="L562">
        <v>0</v>
      </c>
      <c r="M562">
        <v>3.78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Y562">
        <v>1</v>
      </c>
      <c r="Z562">
        <v>0</v>
      </c>
      <c r="AA562">
        <v>0</v>
      </c>
      <c r="AB562">
        <v>0</v>
      </c>
      <c r="AC562">
        <v>0</v>
      </c>
      <c r="AI562">
        <v>0</v>
      </c>
      <c r="AO562">
        <v>4.3231999999999999</v>
      </c>
      <c r="AP562">
        <v>2.1333333333333333</v>
      </c>
      <c r="AQ562">
        <v>861.72</v>
      </c>
      <c r="AR562">
        <v>79</v>
      </c>
    </row>
    <row r="563" spans="1:50" x14ac:dyDescent="0.45">
      <c r="A563">
        <v>10562</v>
      </c>
      <c r="B563">
        <v>1</v>
      </c>
      <c r="C563">
        <v>77.14</v>
      </c>
      <c r="D563">
        <v>0</v>
      </c>
      <c r="E563">
        <v>0</v>
      </c>
      <c r="F563">
        <v>0</v>
      </c>
      <c r="G563">
        <v>0</v>
      </c>
      <c r="H563">
        <v>0</v>
      </c>
      <c r="I563">
        <v>0</v>
      </c>
      <c r="J563">
        <v>2.59</v>
      </c>
      <c r="K563">
        <v>16.53</v>
      </c>
      <c r="L563">
        <v>0</v>
      </c>
      <c r="M563">
        <v>3.74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Y563">
        <v>1</v>
      </c>
      <c r="Z563">
        <v>0</v>
      </c>
      <c r="AA563">
        <v>0</v>
      </c>
      <c r="AB563">
        <v>0</v>
      </c>
      <c r="AC563">
        <v>0</v>
      </c>
      <c r="AI563">
        <v>0</v>
      </c>
      <c r="AO563">
        <v>4.628400000000001</v>
      </c>
      <c r="AP563">
        <v>1.6783333333333335</v>
      </c>
      <c r="AQ563">
        <v>879.83699999999999</v>
      </c>
      <c r="AR563">
        <v>61</v>
      </c>
    </row>
    <row r="564" spans="1:50" x14ac:dyDescent="0.45">
      <c r="A564">
        <v>10563</v>
      </c>
      <c r="B564">
        <v>1</v>
      </c>
      <c r="C564">
        <v>74.400000000000006</v>
      </c>
      <c r="D564">
        <v>0</v>
      </c>
      <c r="E564">
        <v>0</v>
      </c>
      <c r="F564">
        <v>0</v>
      </c>
      <c r="G564">
        <v>0</v>
      </c>
      <c r="H564">
        <v>0</v>
      </c>
      <c r="I564">
        <v>0</v>
      </c>
      <c r="J564">
        <v>2.66</v>
      </c>
      <c r="K564">
        <v>17.04</v>
      </c>
      <c r="L564">
        <v>0</v>
      </c>
      <c r="M564">
        <v>5.9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Y564">
        <v>1</v>
      </c>
      <c r="Z564">
        <v>0</v>
      </c>
      <c r="AA564">
        <v>0</v>
      </c>
      <c r="AB564">
        <v>0</v>
      </c>
      <c r="AC564">
        <v>0</v>
      </c>
      <c r="AI564">
        <v>0</v>
      </c>
      <c r="AO564">
        <v>4.7712000000000003</v>
      </c>
      <c r="AP564">
        <v>2.41</v>
      </c>
      <c r="AQ564">
        <v>888.42599999999993</v>
      </c>
      <c r="AR564">
        <v>54</v>
      </c>
    </row>
    <row r="565" spans="1:50" x14ac:dyDescent="0.45">
      <c r="A565">
        <v>10564</v>
      </c>
      <c r="B565">
        <v>1</v>
      </c>
      <c r="C565">
        <v>79.099999999999994</v>
      </c>
      <c r="D565">
        <v>0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2.57</v>
      </c>
      <c r="K565">
        <v>12.64</v>
      </c>
      <c r="L565">
        <v>0</v>
      </c>
      <c r="M565">
        <v>5.69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Y565">
        <v>1</v>
      </c>
      <c r="Z565">
        <v>0</v>
      </c>
      <c r="AA565">
        <v>0</v>
      </c>
      <c r="AB565">
        <v>0</v>
      </c>
      <c r="AC565">
        <v>0</v>
      </c>
      <c r="AI565">
        <v>0</v>
      </c>
      <c r="AO565">
        <v>3.5392000000000006</v>
      </c>
      <c r="AP565">
        <v>2.3250000000000002</v>
      </c>
      <c r="AQ565">
        <v>888.16500000000008</v>
      </c>
      <c r="AR565">
        <v>77</v>
      </c>
    </row>
    <row r="566" spans="1:50" x14ac:dyDescent="0.45">
      <c r="A566">
        <v>10565</v>
      </c>
      <c r="B566">
        <v>1</v>
      </c>
      <c r="C566">
        <v>80.16</v>
      </c>
      <c r="D566">
        <v>0</v>
      </c>
      <c r="E566">
        <v>0</v>
      </c>
      <c r="F566">
        <v>0</v>
      </c>
      <c r="G566">
        <v>0</v>
      </c>
      <c r="H566">
        <v>0</v>
      </c>
      <c r="I566">
        <v>0</v>
      </c>
      <c r="J566">
        <v>2.5299999999999998</v>
      </c>
      <c r="K566">
        <v>13.66</v>
      </c>
      <c r="L566">
        <v>0</v>
      </c>
      <c r="M566">
        <v>3.65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Y566">
        <v>1</v>
      </c>
      <c r="Z566">
        <v>0</v>
      </c>
      <c r="AA566">
        <v>0</v>
      </c>
      <c r="AB566">
        <v>0</v>
      </c>
      <c r="AC566">
        <v>0</v>
      </c>
      <c r="AI566">
        <v>0</v>
      </c>
      <c r="AO566">
        <v>3.8248000000000002</v>
      </c>
      <c r="AP566">
        <v>1.6383333333333332</v>
      </c>
      <c r="AQ566">
        <v>879.87300000000005</v>
      </c>
      <c r="AR566">
        <v>61</v>
      </c>
    </row>
    <row r="567" spans="1:50" x14ac:dyDescent="0.45">
      <c r="A567">
        <v>10566</v>
      </c>
      <c r="B567">
        <v>1</v>
      </c>
      <c r="C567">
        <v>79.73</v>
      </c>
      <c r="D567">
        <v>0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2.52</v>
      </c>
      <c r="K567">
        <v>16.059999999999999</v>
      </c>
      <c r="L567">
        <v>0</v>
      </c>
      <c r="M567">
        <v>1.69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Y567">
        <v>1</v>
      </c>
      <c r="Z567">
        <v>0</v>
      </c>
      <c r="AA567">
        <v>0</v>
      </c>
      <c r="AB567">
        <v>0</v>
      </c>
      <c r="AC567">
        <v>0</v>
      </c>
      <c r="AI567">
        <v>0</v>
      </c>
      <c r="AO567">
        <v>4.4968000000000004</v>
      </c>
      <c r="AP567">
        <v>0.98333333333333339</v>
      </c>
      <c r="AQ567">
        <v>871.70999999999992</v>
      </c>
      <c r="AR567">
        <v>69</v>
      </c>
    </row>
    <row r="568" spans="1:50" x14ac:dyDescent="0.45">
      <c r="A568">
        <v>10567</v>
      </c>
      <c r="B568">
        <v>1</v>
      </c>
      <c r="C568">
        <v>81.62</v>
      </c>
      <c r="D568">
        <v>0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2.5</v>
      </c>
      <c r="K568">
        <v>12.28</v>
      </c>
      <c r="L568">
        <v>0</v>
      </c>
      <c r="M568">
        <v>3.6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Y568">
        <v>1</v>
      </c>
      <c r="Z568">
        <v>0</v>
      </c>
      <c r="AA568">
        <v>0</v>
      </c>
      <c r="AB568">
        <v>0</v>
      </c>
      <c r="AC568">
        <v>0</v>
      </c>
      <c r="AI568">
        <v>0</v>
      </c>
      <c r="AO568">
        <v>3.4384000000000001</v>
      </c>
      <c r="AP568">
        <v>1.6166666666666667</v>
      </c>
      <c r="AQ568">
        <v>879.87</v>
      </c>
      <c r="AR568">
        <v>73</v>
      </c>
    </row>
    <row r="569" spans="1:50" x14ac:dyDescent="0.45">
      <c r="A569">
        <v>10568</v>
      </c>
      <c r="B569">
        <v>1</v>
      </c>
      <c r="C569">
        <v>58</v>
      </c>
      <c r="D569">
        <v>0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6</v>
      </c>
      <c r="K569">
        <v>31</v>
      </c>
      <c r="L569">
        <v>5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1</v>
      </c>
      <c r="W569">
        <v>600</v>
      </c>
      <c r="X569">
        <v>75</v>
      </c>
      <c r="Y569">
        <v>0</v>
      </c>
      <c r="Z569">
        <v>1</v>
      </c>
      <c r="AA569">
        <v>0</v>
      </c>
      <c r="AB569">
        <v>0</v>
      </c>
      <c r="AC569">
        <v>0</v>
      </c>
      <c r="AI569">
        <v>0</v>
      </c>
      <c r="AO569">
        <v>13.680000000000001</v>
      </c>
      <c r="AP569">
        <v>1</v>
      </c>
      <c r="AQ569">
        <v>793.1</v>
      </c>
      <c r="AT569">
        <v>672</v>
      </c>
      <c r="AU569">
        <v>26.7</v>
      </c>
      <c r="AX569" t="s">
        <v>140</v>
      </c>
    </row>
    <row r="570" spans="1:50" x14ac:dyDescent="0.45">
      <c r="A570">
        <v>10569</v>
      </c>
      <c r="B570">
        <v>1</v>
      </c>
      <c r="C570">
        <v>58</v>
      </c>
      <c r="D570">
        <v>0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6</v>
      </c>
      <c r="K570">
        <v>31</v>
      </c>
      <c r="L570">
        <v>5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1</v>
      </c>
      <c r="W570">
        <v>600</v>
      </c>
      <c r="X570">
        <v>75</v>
      </c>
      <c r="Y570">
        <v>0</v>
      </c>
      <c r="Z570">
        <v>1</v>
      </c>
      <c r="AA570">
        <v>0</v>
      </c>
      <c r="AB570">
        <v>0</v>
      </c>
      <c r="AC570">
        <v>1</v>
      </c>
      <c r="AD570">
        <v>800</v>
      </c>
      <c r="AE570">
        <v>0.5</v>
      </c>
      <c r="AF570">
        <v>1</v>
      </c>
      <c r="AG570">
        <v>0</v>
      </c>
      <c r="AH570">
        <v>0</v>
      </c>
      <c r="AI570">
        <v>1</v>
      </c>
      <c r="AJ570">
        <v>300</v>
      </c>
      <c r="AK570">
        <v>2</v>
      </c>
      <c r="AL570">
        <v>1</v>
      </c>
      <c r="AM570">
        <v>0</v>
      </c>
      <c r="AN570">
        <v>0</v>
      </c>
      <c r="AO570">
        <v>13.680000000000001</v>
      </c>
      <c r="AP570">
        <v>1</v>
      </c>
      <c r="AQ570">
        <v>793.1</v>
      </c>
      <c r="AT570">
        <v>747</v>
      </c>
      <c r="AU570">
        <v>20.6</v>
      </c>
      <c r="AX570" t="s">
        <v>140</v>
      </c>
    </row>
    <row r="571" spans="1:50" x14ac:dyDescent="0.45">
      <c r="A571">
        <v>10570</v>
      </c>
      <c r="B571">
        <v>1</v>
      </c>
      <c r="C571">
        <v>60</v>
      </c>
      <c r="D571">
        <v>0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4</v>
      </c>
      <c r="K571">
        <v>31</v>
      </c>
      <c r="L571">
        <v>5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1</v>
      </c>
      <c r="W571">
        <v>600</v>
      </c>
      <c r="X571">
        <v>75</v>
      </c>
      <c r="Y571">
        <v>0</v>
      </c>
      <c r="Z571">
        <v>1</v>
      </c>
      <c r="AA571">
        <v>0</v>
      </c>
      <c r="AB571">
        <v>0</v>
      </c>
      <c r="AC571">
        <v>0</v>
      </c>
      <c r="AI571">
        <v>0</v>
      </c>
      <c r="AO571">
        <v>13.680000000000001</v>
      </c>
      <c r="AP571">
        <v>0.66666666666666663</v>
      </c>
      <c r="AQ571">
        <v>806.9</v>
      </c>
      <c r="AT571">
        <v>672</v>
      </c>
      <c r="AU571">
        <v>26.7</v>
      </c>
      <c r="AX571" t="s">
        <v>141</v>
      </c>
    </row>
    <row r="572" spans="1:50" x14ac:dyDescent="0.45">
      <c r="A572">
        <v>10571</v>
      </c>
      <c r="B572">
        <v>1</v>
      </c>
      <c r="C572">
        <v>60</v>
      </c>
      <c r="D572">
        <v>0</v>
      </c>
      <c r="E572">
        <v>0</v>
      </c>
      <c r="F572">
        <v>0</v>
      </c>
      <c r="G572">
        <v>0</v>
      </c>
      <c r="H572">
        <v>0</v>
      </c>
      <c r="I572">
        <v>0</v>
      </c>
      <c r="J572">
        <v>4</v>
      </c>
      <c r="K572">
        <v>31</v>
      </c>
      <c r="L572">
        <v>5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1</v>
      </c>
      <c r="W572">
        <v>600</v>
      </c>
      <c r="X572">
        <v>75</v>
      </c>
      <c r="Y572">
        <v>0</v>
      </c>
      <c r="Z572">
        <v>1</v>
      </c>
      <c r="AA572">
        <v>0</v>
      </c>
      <c r="AB572">
        <v>0</v>
      </c>
      <c r="AC572">
        <v>1</v>
      </c>
      <c r="AD572">
        <v>800</v>
      </c>
      <c r="AE572">
        <v>0.5</v>
      </c>
      <c r="AF572">
        <v>1</v>
      </c>
      <c r="AG572">
        <v>0</v>
      </c>
      <c r="AH572">
        <v>0</v>
      </c>
      <c r="AI572">
        <v>1</v>
      </c>
      <c r="AJ572">
        <v>300</v>
      </c>
      <c r="AK572">
        <v>2</v>
      </c>
      <c r="AL572">
        <v>0</v>
      </c>
      <c r="AM572">
        <v>1</v>
      </c>
      <c r="AN572">
        <v>0</v>
      </c>
      <c r="AO572">
        <v>13.680000000000001</v>
      </c>
      <c r="AP572">
        <v>0.66666666666666663</v>
      </c>
      <c r="AQ572">
        <v>806.9</v>
      </c>
      <c r="AT572">
        <v>747</v>
      </c>
      <c r="AU572">
        <v>20.6</v>
      </c>
      <c r="AX572" t="s">
        <v>142</v>
      </c>
    </row>
    <row r="573" spans="1:50" x14ac:dyDescent="0.45">
      <c r="A573">
        <v>10572</v>
      </c>
      <c r="B573">
        <v>1</v>
      </c>
      <c r="C573">
        <v>69.510000000000005</v>
      </c>
      <c r="D573">
        <v>0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8.1100000000000012</v>
      </c>
      <c r="K573">
        <v>17.239999999999998</v>
      </c>
      <c r="L573">
        <v>5.1400000000000006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1</v>
      </c>
      <c r="Y573">
        <v>0</v>
      </c>
      <c r="Z573">
        <v>1</v>
      </c>
      <c r="AA573">
        <v>0</v>
      </c>
      <c r="AB573">
        <v>0</v>
      </c>
      <c r="AC573">
        <v>1</v>
      </c>
      <c r="AD573">
        <f>AQ573</f>
        <v>777.2109999999999</v>
      </c>
      <c r="AF573">
        <v>1</v>
      </c>
      <c r="AG573">
        <v>0</v>
      </c>
      <c r="AH573">
        <v>0</v>
      </c>
      <c r="AI573">
        <v>0</v>
      </c>
      <c r="AO573">
        <v>9.9672000000000018</v>
      </c>
      <c r="AP573">
        <v>1.3516666666666668</v>
      </c>
      <c r="AQ573">
        <v>777.2109999999999</v>
      </c>
      <c r="AR573">
        <v>66.599999999999994</v>
      </c>
      <c r="AS573">
        <v>754.7</v>
      </c>
      <c r="AX573" t="s">
        <v>60</v>
      </c>
    </row>
    <row r="574" spans="1:50" x14ac:dyDescent="0.45">
      <c r="A574">
        <v>10573</v>
      </c>
      <c r="B574">
        <v>1</v>
      </c>
      <c r="C574">
        <v>51.71</v>
      </c>
      <c r="D574">
        <v>0</v>
      </c>
      <c r="E574">
        <v>0</v>
      </c>
      <c r="F574">
        <v>0</v>
      </c>
      <c r="G574">
        <v>0</v>
      </c>
      <c r="H574">
        <v>0</v>
      </c>
      <c r="I574">
        <v>0</v>
      </c>
      <c r="J574">
        <v>29.080000000000002</v>
      </c>
      <c r="K574">
        <v>17.760000000000002</v>
      </c>
      <c r="L574">
        <v>1.46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1</v>
      </c>
      <c r="Y574">
        <v>0</v>
      </c>
      <c r="Z574">
        <v>1</v>
      </c>
      <c r="AA574">
        <v>0</v>
      </c>
      <c r="AB574">
        <v>0</v>
      </c>
      <c r="AC574">
        <v>1</v>
      </c>
      <c r="AD574">
        <f>AQ574</f>
        <v>667.47799999999995</v>
      </c>
      <c r="AF574">
        <v>1</v>
      </c>
      <c r="AG574">
        <v>0</v>
      </c>
      <c r="AH574">
        <v>0</v>
      </c>
      <c r="AI574">
        <v>0</v>
      </c>
      <c r="AO574">
        <v>6.4328000000000012</v>
      </c>
      <c r="AP574">
        <v>4.8466666666666667</v>
      </c>
      <c r="AQ574">
        <v>667.47799999999995</v>
      </c>
      <c r="AR574">
        <v>64.2</v>
      </c>
      <c r="AS574">
        <v>714</v>
      </c>
      <c r="AX574" t="s">
        <v>60</v>
      </c>
    </row>
    <row r="575" spans="1:50" x14ac:dyDescent="0.45">
      <c r="A575">
        <v>10574</v>
      </c>
      <c r="B575">
        <v>1</v>
      </c>
      <c r="C575">
        <v>82.13000000000001</v>
      </c>
      <c r="D575">
        <v>0</v>
      </c>
      <c r="E575">
        <v>0</v>
      </c>
      <c r="F575">
        <v>0</v>
      </c>
      <c r="G575">
        <v>0</v>
      </c>
      <c r="H575">
        <v>0</v>
      </c>
      <c r="I575">
        <v>0</v>
      </c>
      <c r="J575">
        <v>3.9600000000000004</v>
      </c>
      <c r="K575">
        <v>5.93</v>
      </c>
      <c r="L575">
        <v>7.9799999999999995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1</v>
      </c>
      <c r="Y575">
        <v>0</v>
      </c>
      <c r="Z575">
        <v>1</v>
      </c>
      <c r="AA575">
        <v>0</v>
      </c>
      <c r="AB575">
        <v>0</v>
      </c>
      <c r="AC575">
        <v>1</v>
      </c>
      <c r="AD575">
        <f>AQ575</f>
        <v>778.8660000000001</v>
      </c>
      <c r="AF575">
        <v>1</v>
      </c>
      <c r="AG575">
        <v>0</v>
      </c>
      <c r="AH575">
        <v>0</v>
      </c>
      <c r="AI575">
        <v>0</v>
      </c>
      <c r="AO575">
        <v>9.6403999999999996</v>
      </c>
      <c r="AP575">
        <v>0.66</v>
      </c>
      <c r="AQ575">
        <v>778.8660000000001</v>
      </c>
      <c r="AR575">
        <v>72</v>
      </c>
      <c r="AS575">
        <v>899</v>
      </c>
      <c r="AX575" t="s">
        <v>60</v>
      </c>
    </row>
    <row r="576" spans="1:50" x14ac:dyDescent="0.45">
      <c r="A576">
        <v>10575</v>
      </c>
      <c r="B576">
        <v>1</v>
      </c>
      <c r="C576">
        <v>84.11</v>
      </c>
      <c r="D576">
        <v>0</v>
      </c>
      <c r="E576">
        <v>0</v>
      </c>
      <c r="F576">
        <v>0</v>
      </c>
      <c r="G576">
        <v>0</v>
      </c>
      <c r="H576">
        <v>0</v>
      </c>
      <c r="I576">
        <v>0</v>
      </c>
      <c r="J576">
        <v>2.97</v>
      </c>
      <c r="K576">
        <v>4.9399999999999995</v>
      </c>
      <c r="L576">
        <v>7.9799999999999995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1</v>
      </c>
      <c r="Y576">
        <v>0</v>
      </c>
      <c r="Z576">
        <v>1</v>
      </c>
      <c r="AA576">
        <v>0</v>
      </c>
      <c r="AB576">
        <v>0</v>
      </c>
      <c r="AC576">
        <v>1</v>
      </c>
      <c r="AD576">
        <f>AQ576</f>
        <v>785.697</v>
      </c>
      <c r="AF576">
        <v>1</v>
      </c>
      <c r="AG576">
        <v>0</v>
      </c>
      <c r="AH576">
        <v>0</v>
      </c>
      <c r="AI576">
        <v>0</v>
      </c>
      <c r="AO576">
        <v>9.3631999999999991</v>
      </c>
      <c r="AP576">
        <v>0.49500000000000005</v>
      </c>
      <c r="AQ576">
        <v>785.697</v>
      </c>
      <c r="AR576">
        <v>69</v>
      </c>
      <c r="AS576">
        <v>947</v>
      </c>
      <c r="AX576" t="s">
        <v>60</v>
      </c>
    </row>
    <row r="577" spans="1:50" x14ac:dyDescent="0.45">
      <c r="A577">
        <v>10576</v>
      </c>
      <c r="B577">
        <v>1</v>
      </c>
      <c r="C577">
        <v>84.04</v>
      </c>
      <c r="D577">
        <v>0</v>
      </c>
      <c r="E577">
        <v>0</v>
      </c>
      <c r="F577">
        <v>0</v>
      </c>
      <c r="G577">
        <v>0</v>
      </c>
      <c r="H577">
        <v>0</v>
      </c>
      <c r="I577">
        <v>0</v>
      </c>
      <c r="J577">
        <v>5.0200000000000005</v>
      </c>
      <c r="K577">
        <v>2.96</v>
      </c>
      <c r="L577">
        <v>7.9799999999999995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1</v>
      </c>
      <c r="Y577">
        <v>0</v>
      </c>
      <c r="Z577">
        <v>1</v>
      </c>
      <c r="AA577">
        <v>0</v>
      </c>
      <c r="AB577">
        <v>0</v>
      </c>
      <c r="AC577">
        <v>1</v>
      </c>
      <c r="AD577">
        <f>AQ577</f>
        <v>771.55200000000002</v>
      </c>
      <c r="AF577">
        <v>1</v>
      </c>
      <c r="AG577">
        <v>0</v>
      </c>
      <c r="AH577">
        <v>0</v>
      </c>
      <c r="AI577">
        <v>0</v>
      </c>
      <c r="AO577">
        <v>8.8087999999999997</v>
      </c>
      <c r="AP577">
        <v>0.83666666666666678</v>
      </c>
      <c r="AQ577">
        <v>771.55200000000002</v>
      </c>
      <c r="AR577">
        <v>52</v>
      </c>
      <c r="AS577">
        <v>483</v>
      </c>
      <c r="AX577" t="s">
        <v>60</v>
      </c>
    </row>
    <row r="578" spans="1:50" x14ac:dyDescent="0.45">
      <c r="A578">
        <v>10577</v>
      </c>
      <c r="B578">
        <v>1</v>
      </c>
      <c r="C578">
        <v>81.099999999999994</v>
      </c>
      <c r="D578">
        <v>0</v>
      </c>
      <c r="E578">
        <v>0</v>
      </c>
      <c r="F578">
        <v>0</v>
      </c>
      <c r="G578">
        <v>0</v>
      </c>
      <c r="H578">
        <v>0</v>
      </c>
      <c r="I578">
        <v>0</v>
      </c>
      <c r="J578">
        <v>6.3</v>
      </c>
      <c r="K578">
        <v>6.3</v>
      </c>
      <c r="L578">
        <v>6.3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Y578">
        <v>1</v>
      </c>
      <c r="Z578">
        <v>0</v>
      </c>
      <c r="AA578">
        <v>0</v>
      </c>
      <c r="AB578">
        <v>0</v>
      </c>
      <c r="AC578">
        <v>0</v>
      </c>
      <c r="AI578">
        <v>0</v>
      </c>
      <c r="AO578">
        <v>8.0640000000000001</v>
      </c>
      <c r="AP578">
        <v>1.05</v>
      </c>
      <c r="AQ578">
        <v>778.68</v>
      </c>
      <c r="AR578">
        <v>75</v>
      </c>
    </row>
    <row r="579" spans="1:50" x14ac:dyDescent="0.45">
      <c r="A579">
        <v>10578</v>
      </c>
      <c r="B579">
        <v>1</v>
      </c>
      <c r="C579">
        <v>74.900000000000006</v>
      </c>
      <c r="D579">
        <v>0</v>
      </c>
      <c r="E579">
        <v>0</v>
      </c>
      <c r="F579">
        <v>0</v>
      </c>
      <c r="G579">
        <v>0</v>
      </c>
      <c r="H579">
        <v>0</v>
      </c>
      <c r="I579">
        <v>0</v>
      </c>
      <c r="J579">
        <v>12.5</v>
      </c>
      <c r="K579">
        <v>6.3</v>
      </c>
      <c r="L579">
        <v>6.3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Y579">
        <v>1</v>
      </c>
      <c r="Z579">
        <v>0</v>
      </c>
      <c r="AA579">
        <v>0</v>
      </c>
      <c r="AB579">
        <v>0</v>
      </c>
      <c r="AC579">
        <v>0</v>
      </c>
      <c r="AI579">
        <v>0</v>
      </c>
      <c r="AO579">
        <v>8.0640000000000001</v>
      </c>
      <c r="AP579">
        <v>2.0833333333333335</v>
      </c>
      <c r="AQ579">
        <v>735.9</v>
      </c>
      <c r="AR579">
        <v>68</v>
      </c>
    </row>
    <row r="580" spans="1:50" x14ac:dyDescent="0.45">
      <c r="A580">
        <v>10579</v>
      </c>
      <c r="B580">
        <v>1</v>
      </c>
      <c r="C580">
        <v>68.7</v>
      </c>
      <c r="D580">
        <v>0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18.7</v>
      </c>
      <c r="K580">
        <v>6.3</v>
      </c>
      <c r="L580">
        <v>6.3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Y580">
        <v>1</v>
      </c>
      <c r="Z580">
        <v>0</v>
      </c>
      <c r="AA580">
        <v>0</v>
      </c>
      <c r="AB580">
        <v>0</v>
      </c>
      <c r="AC580">
        <v>0</v>
      </c>
      <c r="AI580">
        <v>0</v>
      </c>
      <c r="AO580">
        <v>8.0640000000000001</v>
      </c>
      <c r="AP580">
        <v>3.1166666666666667</v>
      </c>
      <c r="AQ580">
        <v>693.12</v>
      </c>
      <c r="AR580">
        <v>79</v>
      </c>
    </row>
    <row r="581" spans="1:50" x14ac:dyDescent="0.45">
      <c r="A581">
        <v>10580</v>
      </c>
      <c r="B581">
        <v>1</v>
      </c>
      <c r="C581">
        <v>69</v>
      </c>
      <c r="D581">
        <v>0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10.1</v>
      </c>
      <c r="K581">
        <v>10.3</v>
      </c>
      <c r="L581">
        <v>10.6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Y581">
        <v>1</v>
      </c>
      <c r="Z581">
        <v>0</v>
      </c>
      <c r="AA581">
        <v>0</v>
      </c>
      <c r="AB581">
        <v>0</v>
      </c>
      <c r="AC581">
        <v>0</v>
      </c>
      <c r="AI581">
        <v>0</v>
      </c>
      <c r="AO581">
        <v>13.484</v>
      </c>
      <c r="AP581">
        <v>1.6833333333333333</v>
      </c>
      <c r="AQ581">
        <v>711.6099999999999</v>
      </c>
      <c r="AR581">
        <v>75</v>
      </c>
    </row>
    <row r="582" spans="1:50" x14ac:dyDescent="0.45">
      <c r="A582">
        <v>10581</v>
      </c>
      <c r="B582">
        <v>1</v>
      </c>
      <c r="C582">
        <v>60.8</v>
      </c>
      <c r="D582">
        <v>0</v>
      </c>
      <c r="E582">
        <v>0</v>
      </c>
      <c r="F582">
        <v>0</v>
      </c>
      <c r="G582">
        <v>0</v>
      </c>
      <c r="H582">
        <v>0</v>
      </c>
      <c r="I582">
        <v>0</v>
      </c>
      <c r="J582">
        <v>19.3</v>
      </c>
      <c r="K582">
        <v>9.8000000000000007</v>
      </c>
      <c r="L582">
        <v>10.1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Y582">
        <v>1</v>
      </c>
      <c r="Z582">
        <v>0</v>
      </c>
      <c r="AA582">
        <v>0</v>
      </c>
      <c r="AB582">
        <v>0</v>
      </c>
      <c r="AC582">
        <v>0</v>
      </c>
      <c r="AI582">
        <v>0</v>
      </c>
      <c r="AO582">
        <v>12.844000000000001</v>
      </c>
      <c r="AP582">
        <v>3.2166666666666668</v>
      </c>
      <c r="AQ582">
        <v>652.87999999999988</v>
      </c>
      <c r="AR582">
        <v>68</v>
      </c>
    </row>
    <row r="583" spans="1:50" x14ac:dyDescent="0.45">
      <c r="A583">
        <v>10582</v>
      </c>
      <c r="B583">
        <v>1</v>
      </c>
      <c r="C583">
        <v>63.3</v>
      </c>
      <c r="D583">
        <v>0</v>
      </c>
      <c r="E583">
        <v>0</v>
      </c>
      <c r="F583">
        <v>0</v>
      </c>
      <c r="G583">
        <v>0</v>
      </c>
      <c r="H583">
        <v>0</v>
      </c>
      <c r="I583">
        <v>0</v>
      </c>
      <c r="J583">
        <v>17.7</v>
      </c>
      <c r="K583">
        <v>9.4</v>
      </c>
      <c r="L583">
        <v>9.6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Y583">
        <v>1</v>
      </c>
      <c r="Z583">
        <v>0</v>
      </c>
      <c r="AA583">
        <v>0</v>
      </c>
      <c r="AB583">
        <v>0</v>
      </c>
      <c r="AC583">
        <v>0</v>
      </c>
      <c r="AI583">
        <v>0</v>
      </c>
      <c r="AO583">
        <v>12.231999999999999</v>
      </c>
      <c r="AP583">
        <v>2.9499999999999997</v>
      </c>
      <c r="AQ583">
        <v>668.67</v>
      </c>
      <c r="AR583">
        <v>79</v>
      </c>
    </row>
    <row r="584" spans="1:50" x14ac:dyDescent="0.45">
      <c r="A584">
        <v>10583</v>
      </c>
      <c r="B584">
        <v>1</v>
      </c>
      <c r="C584">
        <v>62.5</v>
      </c>
      <c r="D584">
        <v>0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9.1999999999999993</v>
      </c>
      <c r="K584">
        <v>18.7</v>
      </c>
      <c r="L584">
        <v>9.6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Y584">
        <v>1</v>
      </c>
      <c r="Z584">
        <v>0</v>
      </c>
      <c r="AA584">
        <v>0</v>
      </c>
      <c r="AB584">
        <v>0</v>
      </c>
      <c r="AC584">
        <v>0</v>
      </c>
      <c r="AI584">
        <v>0</v>
      </c>
      <c r="AO584">
        <v>14.836</v>
      </c>
      <c r="AP584">
        <v>1.5333333333333332</v>
      </c>
      <c r="AQ584">
        <v>727.31999999999994</v>
      </c>
      <c r="AR584">
        <v>72</v>
      </c>
    </row>
    <row r="585" spans="1:50" x14ac:dyDescent="0.45">
      <c r="A585">
        <v>10584</v>
      </c>
      <c r="B585">
        <v>1</v>
      </c>
      <c r="C585">
        <v>55.3</v>
      </c>
      <c r="D585">
        <v>0</v>
      </c>
      <c r="E585">
        <v>0</v>
      </c>
      <c r="F585">
        <v>0</v>
      </c>
      <c r="G585">
        <v>0</v>
      </c>
      <c r="H585">
        <v>0</v>
      </c>
      <c r="I585">
        <v>0</v>
      </c>
      <c r="J585">
        <v>17.600000000000001</v>
      </c>
      <c r="K585">
        <v>17.899999999999999</v>
      </c>
      <c r="L585">
        <v>9.1999999999999993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Y585">
        <v>1</v>
      </c>
      <c r="Z585">
        <v>0</v>
      </c>
      <c r="AA585">
        <v>0</v>
      </c>
      <c r="AB585">
        <v>0</v>
      </c>
      <c r="AC585">
        <v>0</v>
      </c>
      <c r="AI585">
        <v>0</v>
      </c>
      <c r="AO585">
        <v>14.212</v>
      </c>
      <c r="AP585">
        <v>2.9333333333333336</v>
      </c>
      <c r="AQ585">
        <v>673.16</v>
      </c>
      <c r="AR585">
        <v>70</v>
      </c>
    </row>
    <row r="586" spans="1:50" x14ac:dyDescent="0.45">
      <c r="A586">
        <v>10585</v>
      </c>
      <c r="B586">
        <v>1</v>
      </c>
      <c r="C586">
        <v>57.2</v>
      </c>
      <c r="D586">
        <v>0</v>
      </c>
      <c r="E586">
        <v>0</v>
      </c>
      <c r="F586">
        <v>0</v>
      </c>
      <c r="G586">
        <v>0</v>
      </c>
      <c r="H586">
        <v>0</v>
      </c>
      <c r="I586">
        <v>0</v>
      </c>
      <c r="J586">
        <v>8.4</v>
      </c>
      <c r="K586">
        <v>25.6</v>
      </c>
      <c r="L586">
        <v>8.8000000000000007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Y586">
        <v>1</v>
      </c>
      <c r="Z586">
        <v>0</v>
      </c>
      <c r="AA586">
        <v>0</v>
      </c>
      <c r="AB586">
        <v>0</v>
      </c>
      <c r="AC586">
        <v>0</v>
      </c>
      <c r="AI586">
        <v>0</v>
      </c>
      <c r="AO586">
        <v>15.968000000000002</v>
      </c>
      <c r="AP586">
        <v>1.4000000000000001</v>
      </c>
      <c r="AQ586">
        <v>740.43999999999994</v>
      </c>
      <c r="AR586">
        <v>70</v>
      </c>
    </row>
    <row r="587" spans="1:50" x14ac:dyDescent="0.45">
      <c r="A587">
        <v>10586</v>
      </c>
      <c r="B587">
        <v>1</v>
      </c>
      <c r="C587">
        <v>50.8</v>
      </c>
      <c r="D587">
        <v>0</v>
      </c>
      <c r="E587">
        <v>0</v>
      </c>
      <c r="F587">
        <v>0</v>
      </c>
      <c r="G587">
        <v>0</v>
      </c>
      <c r="H587">
        <v>0</v>
      </c>
      <c r="I587">
        <v>0</v>
      </c>
      <c r="J587">
        <v>16.100000000000001</v>
      </c>
      <c r="K587">
        <v>24.6</v>
      </c>
      <c r="L587">
        <v>8.5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Y587">
        <v>1</v>
      </c>
      <c r="Z587">
        <v>0</v>
      </c>
      <c r="AA587">
        <v>0</v>
      </c>
      <c r="AB587">
        <v>0</v>
      </c>
      <c r="AC587">
        <v>0</v>
      </c>
      <c r="AI587">
        <v>0</v>
      </c>
      <c r="AO587">
        <v>15.388000000000002</v>
      </c>
      <c r="AP587">
        <v>2.6833333333333336</v>
      </c>
      <c r="AQ587">
        <v>690.16</v>
      </c>
      <c r="AR587">
        <v>69</v>
      </c>
    </row>
    <row r="588" spans="1:50" x14ac:dyDescent="0.45">
      <c r="A588">
        <v>10587</v>
      </c>
      <c r="B588">
        <v>1</v>
      </c>
      <c r="C588">
        <v>38.5</v>
      </c>
      <c r="D588">
        <v>0</v>
      </c>
      <c r="E588">
        <v>0</v>
      </c>
      <c r="F588">
        <v>0</v>
      </c>
      <c r="G588">
        <v>0</v>
      </c>
      <c r="H588">
        <v>0</v>
      </c>
      <c r="I588">
        <v>0</v>
      </c>
      <c r="J588">
        <v>38.5</v>
      </c>
      <c r="K588">
        <v>15</v>
      </c>
      <c r="L588">
        <v>8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Y588">
        <v>1</v>
      </c>
      <c r="Z588">
        <v>0</v>
      </c>
      <c r="AA588">
        <v>0</v>
      </c>
      <c r="AB588">
        <v>0</v>
      </c>
      <c r="AC588">
        <v>0</v>
      </c>
      <c r="AI588">
        <v>0</v>
      </c>
      <c r="AO588">
        <v>12.2</v>
      </c>
      <c r="AP588">
        <v>6.416666666666667</v>
      </c>
      <c r="AQ588">
        <v>540.34999999999991</v>
      </c>
      <c r="AR588">
        <v>96</v>
      </c>
    </row>
    <row r="589" spans="1:50" x14ac:dyDescent="0.45">
      <c r="A589">
        <v>10588</v>
      </c>
      <c r="B589">
        <v>1</v>
      </c>
      <c r="C589">
        <v>37.5</v>
      </c>
      <c r="D589">
        <v>0</v>
      </c>
      <c r="E589">
        <v>0</v>
      </c>
      <c r="F589">
        <v>0</v>
      </c>
      <c r="G589">
        <v>0</v>
      </c>
      <c r="H589">
        <v>0</v>
      </c>
      <c r="I589">
        <v>0</v>
      </c>
      <c r="J589">
        <v>37.5</v>
      </c>
      <c r="K589">
        <v>15</v>
      </c>
      <c r="L589">
        <v>10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Y589">
        <v>1</v>
      </c>
      <c r="Z589">
        <v>0</v>
      </c>
      <c r="AA589">
        <v>0</v>
      </c>
      <c r="AB589">
        <v>0</v>
      </c>
      <c r="AC589">
        <v>0</v>
      </c>
      <c r="AI589">
        <v>0</v>
      </c>
      <c r="AO589">
        <v>14.2</v>
      </c>
      <c r="AP589">
        <v>6.25</v>
      </c>
      <c r="AQ589">
        <v>528.25</v>
      </c>
      <c r="AR589">
        <v>97</v>
      </c>
    </row>
    <row r="590" spans="1:50" x14ac:dyDescent="0.45">
      <c r="A590">
        <v>10589</v>
      </c>
      <c r="B590">
        <v>1</v>
      </c>
      <c r="C590">
        <v>36</v>
      </c>
      <c r="D590">
        <v>0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36</v>
      </c>
      <c r="K590">
        <v>15</v>
      </c>
      <c r="L590">
        <v>13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Y590">
        <v>1</v>
      </c>
      <c r="Z590">
        <v>0</v>
      </c>
      <c r="AA590">
        <v>0</v>
      </c>
      <c r="AB590">
        <v>0</v>
      </c>
      <c r="AC590">
        <v>0</v>
      </c>
      <c r="AI590">
        <v>0</v>
      </c>
      <c r="AO590">
        <v>17.2</v>
      </c>
      <c r="AP590">
        <v>6</v>
      </c>
      <c r="AQ590">
        <v>510.1</v>
      </c>
      <c r="AR590">
        <v>104</v>
      </c>
    </row>
    <row r="591" spans="1:50" x14ac:dyDescent="0.45">
      <c r="A591">
        <v>10590</v>
      </c>
      <c r="B591">
        <v>1</v>
      </c>
      <c r="C591">
        <v>35</v>
      </c>
      <c r="D591">
        <v>0</v>
      </c>
      <c r="E591">
        <v>0</v>
      </c>
      <c r="F591">
        <v>0</v>
      </c>
      <c r="G591">
        <v>0</v>
      </c>
      <c r="H591">
        <v>0</v>
      </c>
      <c r="I591">
        <v>0</v>
      </c>
      <c r="J591">
        <v>35</v>
      </c>
      <c r="K591">
        <v>15</v>
      </c>
      <c r="L591">
        <v>15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Y591">
        <v>1</v>
      </c>
      <c r="Z591">
        <v>0</v>
      </c>
      <c r="AA591">
        <v>0</v>
      </c>
      <c r="AB591">
        <v>0</v>
      </c>
      <c r="AC591">
        <v>0</v>
      </c>
      <c r="AI591">
        <v>0</v>
      </c>
      <c r="AO591">
        <v>19.2</v>
      </c>
      <c r="AP591">
        <v>5.833333333333333</v>
      </c>
      <c r="AQ591">
        <v>498</v>
      </c>
      <c r="AR591">
        <v>105</v>
      </c>
    </row>
    <row r="592" spans="1:50" x14ac:dyDescent="0.45">
      <c r="A592">
        <v>10591</v>
      </c>
      <c r="B592">
        <v>1</v>
      </c>
      <c r="C592">
        <v>71.930000000000007</v>
      </c>
      <c r="D592">
        <v>0</v>
      </c>
      <c r="E592">
        <v>0</v>
      </c>
      <c r="F592">
        <v>0</v>
      </c>
      <c r="G592">
        <v>0</v>
      </c>
      <c r="H592">
        <v>0</v>
      </c>
      <c r="I592">
        <v>0</v>
      </c>
      <c r="J592">
        <v>9.93</v>
      </c>
      <c r="K592">
        <v>16.25</v>
      </c>
      <c r="L592">
        <v>1.89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Y592">
        <v>1</v>
      </c>
      <c r="Z592">
        <v>0</v>
      </c>
      <c r="AA592">
        <v>0</v>
      </c>
      <c r="AB592">
        <v>0</v>
      </c>
      <c r="AC592">
        <v>0</v>
      </c>
      <c r="AI592">
        <v>0</v>
      </c>
      <c r="AO592">
        <v>6.44</v>
      </c>
      <c r="AP592">
        <v>1.655</v>
      </c>
      <c r="AQ592">
        <v>795.52800000000002</v>
      </c>
      <c r="AR592">
        <v>75</v>
      </c>
    </row>
    <row r="593" spans="1:50" x14ac:dyDescent="0.45">
      <c r="A593">
        <v>10592</v>
      </c>
      <c r="B593">
        <v>1</v>
      </c>
      <c r="C593">
        <v>84.72</v>
      </c>
      <c r="D593">
        <v>0</v>
      </c>
      <c r="E593">
        <v>0</v>
      </c>
      <c r="F593">
        <v>0</v>
      </c>
      <c r="G593">
        <v>0</v>
      </c>
      <c r="H593">
        <v>0</v>
      </c>
      <c r="I593">
        <v>0</v>
      </c>
      <c r="J593">
        <v>3</v>
      </c>
      <c r="K593">
        <v>8.85</v>
      </c>
      <c r="L593">
        <v>3.43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Y593">
        <v>1</v>
      </c>
      <c r="Z593">
        <v>0</v>
      </c>
      <c r="AA593">
        <v>0</v>
      </c>
      <c r="AB593">
        <v>0</v>
      </c>
      <c r="AC593">
        <v>0</v>
      </c>
      <c r="AI593">
        <v>0</v>
      </c>
      <c r="AO593">
        <v>5.9080000000000004</v>
      </c>
      <c r="AP593">
        <v>0.5</v>
      </c>
      <c r="AQ593">
        <v>828.71499999999992</v>
      </c>
      <c r="AR593">
        <v>84</v>
      </c>
      <c r="AW593" t="s">
        <v>285</v>
      </c>
    </row>
    <row r="594" spans="1:50" x14ac:dyDescent="0.45">
      <c r="A594">
        <v>10593</v>
      </c>
      <c r="B594">
        <v>1</v>
      </c>
      <c r="C594">
        <v>79.760000000000005</v>
      </c>
      <c r="D594">
        <v>0</v>
      </c>
      <c r="E594">
        <v>0</v>
      </c>
      <c r="F594">
        <v>0</v>
      </c>
      <c r="G594">
        <v>0</v>
      </c>
      <c r="H594">
        <v>0</v>
      </c>
      <c r="I594">
        <v>0</v>
      </c>
      <c r="J594">
        <v>3.13</v>
      </c>
      <c r="K594">
        <v>15.33</v>
      </c>
      <c r="L594">
        <v>1.78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Y594">
        <v>1</v>
      </c>
      <c r="Z594">
        <v>0</v>
      </c>
      <c r="AA594">
        <v>0</v>
      </c>
      <c r="AB594">
        <v>0</v>
      </c>
      <c r="AC594">
        <v>0</v>
      </c>
      <c r="AI594">
        <v>0</v>
      </c>
      <c r="AO594">
        <v>6.0724000000000009</v>
      </c>
      <c r="AP594">
        <v>0.52166666666666661</v>
      </c>
      <c r="AQ594">
        <v>843.49300000000005</v>
      </c>
      <c r="AR594">
        <v>67</v>
      </c>
      <c r="AW594" t="s">
        <v>285</v>
      </c>
    </row>
    <row r="595" spans="1:50" x14ac:dyDescent="0.45">
      <c r="A595">
        <v>10594</v>
      </c>
      <c r="B595">
        <v>1</v>
      </c>
      <c r="C595">
        <v>69</v>
      </c>
      <c r="D595">
        <v>0</v>
      </c>
      <c r="E595">
        <v>0</v>
      </c>
      <c r="F595">
        <v>0</v>
      </c>
      <c r="G595">
        <v>0</v>
      </c>
      <c r="H595">
        <v>0</v>
      </c>
      <c r="I595">
        <v>0</v>
      </c>
      <c r="J595">
        <v>0</v>
      </c>
      <c r="K595">
        <v>25</v>
      </c>
      <c r="L595">
        <v>2</v>
      </c>
      <c r="M595">
        <v>4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1</v>
      </c>
      <c r="W595">
        <v>20</v>
      </c>
      <c r="X595">
        <v>70</v>
      </c>
      <c r="Y595">
        <v>0</v>
      </c>
      <c r="Z595">
        <v>1</v>
      </c>
      <c r="AA595">
        <v>0</v>
      </c>
      <c r="AB595">
        <v>0</v>
      </c>
      <c r="AC595">
        <v>0</v>
      </c>
      <c r="AI595">
        <v>0</v>
      </c>
      <c r="AO595">
        <v>9</v>
      </c>
      <c r="AP595">
        <v>1.3333333333333333</v>
      </c>
      <c r="AQ595">
        <v>879.8</v>
      </c>
      <c r="AT595">
        <v>813</v>
      </c>
      <c r="AU595">
        <v>5.22</v>
      </c>
      <c r="AW595" t="s">
        <v>285</v>
      </c>
      <c r="AX595" t="s">
        <v>143</v>
      </c>
    </row>
    <row r="596" spans="1:50" x14ac:dyDescent="0.45">
      <c r="A596">
        <v>10595</v>
      </c>
      <c r="B596">
        <v>1</v>
      </c>
      <c r="C596">
        <v>69</v>
      </c>
      <c r="D596">
        <v>0</v>
      </c>
      <c r="E596">
        <v>0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25</v>
      </c>
      <c r="L596">
        <v>2</v>
      </c>
      <c r="M596">
        <v>4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1</v>
      </c>
      <c r="W596">
        <v>20</v>
      </c>
      <c r="X596">
        <v>70</v>
      </c>
      <c r="Y596">
        <v>0</v>
      </c>
      <c r="Z596">
        <v>1</v>
      </c>
      <c r="AA596">
        <v>0</v>
      </c>
      <c r="AB596">
        <v>0</v>
      </c>
      <c r="AC596">
        <v>1</v>
      </c>
      <c r="AD596">
        <v>475</v>
      </c>
      <c r="AE596">
        <v>0.25</v>
      </c>
      <c r="AF596">
        <v>1</v>
      </c>
      <c r="AG596">
        <v>0</v>
      </c>
      <c r="AH596">
        <v>0</v>
      </c>
      <c r="AI596">
        <v>0</v>
      </c>
      <c r="AO596">
        <v>9</v>
      </c>
      <c r="AP596">
        <v>1.3333333333333333</v>
      </c>
      <c r="AQ596">
        <v>879.8</v>
      </c>
      <c r="AT596">
        <v>1113</v>
      </c>
      <c r="AU596">
        <v>3.62</v>
      </c>
      <c r="AW596" t="s">
        <v>286</v>
      </c>
      <c r="AX596" t="s">
        <v>143</v>
      </c>
    </row>
    <row r="597" spans="1:50" x14ac:dyDescent="0.45">
      <c r="A597">
        <v>10596</v>
      </c>
      <c r="B597">
        <v>1</v>
      </c>
      <c r="C597">
        <v>78.72</v>
      </c>
      <c r="D597">
        <v>0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18.72</v>
      </c>
      <c r="L597">
        <v>0.6</v>
      </c>
      <c r="M597">
        <v>1.95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1</v>
      </c>
      <c r="Y597">
        <v>0</v>
      </c>
      <c r="Z597">
        <v>1</v>
      </c>
      <c r="AA597">
        <v>0</v>
      </c>
      <c r="AB597">
        <v>0</v>
      </c>
      <c r="AC597">
        <v>1</v>
      </c>
      <c r="AD597">
        <f>AQ597</f>
        <v>884.49</v>
      </c>
      <c r="AF597">
        <v>1</v>
      </c>
      <c r="AG597">
        <v>0</v>
      </c>
      <c r="AH597">
        <v>0</v>
      </c>
      <c r="AI597">
        <v>0</v>
      </c>
      <c r="AO597">
        <v>5.8415999999999997</v>
      </c>
      <c r="AP597">
        <v>0.65</v>
      </c>
      <c r="AQ597">
        <v>884.49</v>
      </c>
      <c r="AR597">
        <v>46</v>
      </c>
      <c r="AS597">
        <v>130</v>
      </c>
      <c r="AX597" t="s">
        <v>60</v>
      </c>
    </row>
    <row r="598" spans="1:50" x14ac:dyDescent="0.45">
      <c r="A598">
        <v>10597</v>
      </c>
      <c r="B598">
        <v>1</v>
      </c>
      <c r="C598">
        <v>78.72</v>
      </c>
      <c r="D598">
        <v>0</v>
      </c>
      <c r="E598">
        <v>0</v>
      </c>
      <c r="F598">
        <v>0</v>
      </c>
      <c r="G598">
        <v>0</v>
      </c>
      <c r="H598">
        <v>0</v>
      </c>
      <c r="I598">
        <v>0</v>
      </c>
      <c r="J598">
        <v>0</v>
      </c>
      <c r="K598">
        <v>18.72</v>
      </c>
      <c r="L598">
        <v>0.6</v>
      </c>
      <c r="M598">
        <v>1.95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1</v>
      </c>
      <c r="Y598">
        <v>0</v>
      </c>
      <c r="Z598">
        <v>1</v>
      </c>
      <c r="AA598">
        <v>0</v>
      </c>
      <c r="AB598">
        <v>0</v>
      </c>
      <c r="AC598">
        <v>1</v>
      </c>
      <c r="AD598">
        <f>AQ598</f>
        <v>884.49</v>
      </c>
      <c r="AF598">
        <v>1</v>
      </c>
      <c r="AG598">
        <v>0</v>
      </c>
      <c r="AH598">
        <v>0</v>
      </c>
      <c r="AI598">
        <v>0</v>
      </c>
      <c r="AO598">
        <v>5.8415999999999997</v>
      </c>
      <c r="AP598">
        <v>0.65</v>
      </c>
      <c r="AQ598">
        <v>884.49</v>
      </c>
      <c r="AR598">
        <v>45</v>
      </c>
      <c r="AS598">
        <v>220</v>
      </c>
      <c r="AX598" t="s">
        <v>60</v>
      </c>
    </row>
    <row r="599" spans="1:50" x14ac:dyDescent="0.45">
      <c r="A599">
        <v>10598</v>
      </c>
      <c r="B599">
        <v>1</v>
      </c>
      <c r="C599">
        <v>81.67</v>
      </c>
      <c r="D599">
        <v>0</v>
      </c>
      <c r="E599">
        <v>0</v>
      </c>
      <c r="F599">
        <v>0</v>
      </c>
      <c r="G599">
        <v>0</v>
      </c>
      <c r="H599">
        <v>0</v>
      </c>
      <c r="I599">
        <v>0</v>
      </c>
      <c r="J599">
        <v>0</v>
      </c>
      <c r="K599">
        <v>15.24</v>
      </c>
      <c r="L599">
        <v>1.18</v>
      </c>
      <c r="M599">
        <v>1.91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1</v>
      </c>
      <c r="Y599">
        <v>0</v>
      </c>
      <c r="Z599">
        <v>1</v>
      </c>
      <c r="AA599">
        <v>0</v>
      </c>
      <c r="AB599">
        <v>0</v>
      </c>
      <c r="AC599">
        <v>1</v>
      </c>
      <c r="AD599">
        <f>AQ599</f>
        <v>878.81200000000001</v>
      </c>
      <c r="AF599">
        <v>1</v>
      </c>
      <c r="AG599">
        <v>0</v>
      </c>
      <c r="AH599">
        <v>0</v>
      </c>
      <c r="AI599">
        <v>0</v>
      </c>
      <c r="AO599">
        <v>5.4472000000000005</v>
      </c>
      <c r="AP599">
        <v>0.6366666666666666</v>
      </c>
      <c r="AQ599">
        <v>878.81200000000001</v>
      </c>
      <c r="AR599">
        <v>53.1</v>
      </c>
      <c r="AS599">
        <v>361</v>
      </c>
      <c r="AX599" t="s">
        <v>60</v>
      </c>
    </row>
    <row r="600" spans="1:50" x14ac:dyDescent="0.45">
      <c r="A600">
        <v>10599</v>
      </c>
      <c r="B600">
        <v>1</v>
      </c>
      <c r="C600">
        <v>69.599999999999994</v>
      </c>
      <c r="D600">
        <v>0</v>
      </c>
      <c r="E600">
        <v>0</v>
      </c>
      <c r="F600">
        <v>0</v>
      </c>
      <c r="G600">
        <v>0</v>
      </c>
      <c r="H600">
        <v>0</v>
      </c>
      <c r="I600">
        <v>0</v>
      </c>
      <c r="J600">
        <v>0</v>
      </c>
      <c r="K600">
        <v>19.399999999999999</v>
      </c>
      <c r="L600">
        <v>4.9000000000000004</v>
      </c>
      <c r="M600">
        <v>6.1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Y600">
        <v>1</v>
      </c>
      <c r="Z600">
        <v>0</v>
      </c>
      <c r="AA600">
        <v>0</v>
      </c>
      <c r="AB600">
        <v>0</v>
      </c>
      <c r="AC600">
        <v>0</v>
      </c>
      <c r="AI600">
        <v>0</v>
      </c>
      <c r="AO600">
        <v>10.332000000000001</v>
      </c>
      <c r="AP600">
        <v>2.0333333333333332</v>
      </c>
      <c r="AQ600">
        <v>861.07</v>
      </c>
      <c r="AR600">
        <v>51</v>
      </c>
    </row>
    <row r="601" spans="1:50" x14ac:dyDescent="0.45">
      <c r="A601">
        <v>10600</v>
      </c>
      <c r="B601">
        <v>1</v>
      </c>
      <c r="C601">
        <v>82.35</v>
      </c>
      <c r="D601">
        <v>0</v>
      </c>
      <c r="E601">
        <v>0</v>
      </c>
      <c r="F601">
        <v>0</v>
      </c>
      <c r="G601">
        <v>0</v>
      </c>
      <c r="H601">
        <v>0</v>
      </c>
      <c r="I601">
        <v>0</v>
      </c>
      <c r="J601">
        <v>0</v>
      </c>
      <c r="K601">
        <v>11.78</v>
      </c>
      <c r="L601">
        <v>2.94</v>
      </c>
      <c r="M601">
        <v>2.93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Y601">
        <v>1</v>
      </c>
      <c r="Z601">
        <v>0</v>
      </c>
      <c r="AA601">
        <v>0</v>
      </c>
      <c r="AB601">
        <v>0</v>
      </c>
      <c r="AC601">
        <v>0</v>
      </c>
      <c r="AI601">
        <v>0</v>
      </c>
      <c r="AO601">
        <v>6.2384000000000004</v>
      </c>
      <c r="AP601">
        <v>0.97666666666666668</v>
      </c>
      <c r="AQ601">
        <v>866.37600000000009</v>
      </c>
      <c r="AR601">
        <v>51</v>
      </c>
    </row>
    <row r="602" spans="1:50" x14ac:dyDescent="0.45">
      <c r="A602">
        <v>10601</v>
      </c>
      <c r="B602">
        <v>1</v>
      </c>
      <c r="C602">
        <v>82.35</v>
      </c>
      <c r="D602">
        <v>0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11.76</v>
      </c>
      <c r="L602">
        <v>2.94</v>
      </c>
      <c r="M602">
        <v>2.95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Y602">
        <v>1</v>
      </c>
      <c r="Z602">
        <v>0</v>
      </c>
      <c r="AA602">
        <v>0</v>
      </c>
      <c r="AB602">
        <v>0</v>
      </c>
      <c r="AC602">
        <v>0</v>
      </c>
      <c r="AI602">
        <v>0</v>
      </c>
      <c r="AO602">
        <v>6.2328000000000001</v>
      </c>
      <c r="AP602">
        <v>0.98333333333333339</v>
      </c>
      <c r="AQ602">
        <v>866.46</v>
      </c>
      <c r="AR602">
        <v>51</v>
      </c>
    </row>
    <row r="603" spans="1:50" x14ac:dyDescent="0.45">
      <c r="A603">
        <v>10602</v>
      </c>
      <c r="B603">
        <v>1</v>
      </c>
      <c r="C603">
        <v>85.5</v>
      </c>
      <c r="D603">
        <v>0</v>
      </c>
      <c r="E603">
        <v>0</v>
      </c>
      <c r="F603">
        <v>0</v>
      </c>
      <c r="G603">
        <v>0</v>
      </c>
      <c r="H603">
        <v>0</v>
      </c>
      <c r="I603">
        <v>0</v>
      </c>
      <c r="J603">
        <v>0</v>
      </c>
      <c r="K603">
        <v>7.5</v>
      </c>
      <c r="L603">
        <v>4</v>
      </c>
      <c r="M603">
        <v>3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0</v>
      </c>
      <c r="U603">
        <v>0</v>
      </c>
      <c r="V603">
        <v>0</v>
      </c>
      <c r="Y603">
        <v>1</v>
      </c>
      <c r="Z603">
        <v>0</v>
      </c>
      <c r="AA603">
        <v>0</v>
      </c>
      <c r="AB603">
        <v>0</v>
      </c>
      <c r="AC603">
        <v>0</v>
      </c>
      <c r="AI603">
        <v>0</v>
      </c>
      <c r="AO603">
        <v>6.1</v>
      </c>
      <c r="AP603">
        <v>1</v>
      </c>
      <c r="AQ603">
        <v>856.6</v>
      </c>
      <c r="AR603">
        <v>46</v>
      </c>
    </row>
    <row r="604" spans="1:50" x14ac:dyDescent="0.45">
      <c r="A604">
        <v>10603</v>
      </c>
      <c r="B604">
        <v>1</v>
      </c>
      <c r="C604">
        <v>84.5</v>
      </c>
      <c r="D604">
        <v>0</v>
      </c>
      <c r="E604">
        <v>0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7.5</v>
      </c>
      <c r="L604">
        <v>4</v>
      </c>
      <c r="M604">
        <v>4</v>
      </c>
      <c r="N604">
        <v>0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0</v>
      </c>
      <c r="Y604">
        <v>1</v>
      </c>
      <c r="Z604">
        <v>0</v>
      </c>
      <c r="AA604">
        <v>0</v>
      </c>
      <c r="AB604">
        <v>0</v>
      </c>
      <c r="AC604">
        <v>0</v>
      </c>
      <c r="AI604">
        <v>0</v>
      </c>
      <c r="AO604">
        <v>6.1</v>
      </c>
      <c r="AP604">
        <v>1.3333333333333333</v>
      </c>
      <c r="AQ604">
        <v>860.8</v>
      </c>
      <c r="AR604">
        <v>87</v>
      </c>
    </row>
    <row r="605" spans="1:50" x14ac:dyDescent="0.45">
      <c r="A605">
        <v>10604</v>
      </c>
      <c r="B605">
        <v>1</v>
      </c>
      <c r="C605">
        <v>70</v>
      </c>
      <c r="D605">
        <v>0</v>
      </c>
      <c r="E605">
        <v>0</v>
      </c>
      <c r="F605">
        <v>0</v>
      </c>
      <c r="G605">
        <v>0</v>
      </c>
      <c r="H605">
        <v>2</v>
      </c>
      <c r="I605">
        <v>0</v>
      </c>
      <c r="J605">
        <v>0</v>
      </c>
      <c r="K605">
        <v>26</v>
      </c>
      <c r="L605">
        <v>0</v>
      </c>
      <c r="M605">
        <v>2</v>
      </c>
      <c r="N605">
        <v>0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1</v>
      </c>
      <c r="W605">
        <v>20</v>
      </c>
      <c r="X605">
        <v>84</v>
      </c>
      <c r="Y605">
        <v>0</v>
      </c>
      <c r="Z605">
        <v>1</v>
      </c>
      <c r="AA605">
        <v>0</v>
      </c>
      <c r="AB605">
        <v>0</v>
      </c>
      <c r="AC605">
        <v>1</v>
      </c>
      <c r="AD605">
        <v>800</v>
      </c>
      <c r="AE605">
        <v>1</v>
      </c>
      <c r="AF605">
        <v>1</v>
      </c>
      <c r="AG605">
        <v>0</v>
      </c>
      <c r="AH605">
        <v>0</v>
      </c>
      <c r="AI605">
        <v>0</v>
      </c>
      <c r="AO605">
        <v>13.080000000000002</v>
      </c>
      <c r="AP605">
        <v>0.66666666666666663</v>
      </c>
      <c r="AQ605">
        <v>859.6</v>
      </c>
      <c r="AT605">
        <v>679</v>
      </c>
      <c r="AU605">
        <v>25.04</v>
      </c>
      <c r="AX605" t="s">
        <v>96</v>
      </c>
    </row>
    <row r="606" spans="1:50" x14ac:dyDescent="0.45">
      <c r="A606">
        <v>10605</v>
      </c>
      <c r="B606">
        <v>1</v>
      </c>
      <c r="C606">
        <v>68</v>
      </c>
      <c r="D606">
        <v>0</v>
      </c>
      <c r="E606">
        <v>0</v>
      </c>
      <c r="F606">
        <v>0</v>
      </c>
      <c r="G606">
        <v>0</v>
      </c>
      <c r="H606">
        <v>2</v>
      </c>
      <c r="I606">
        <v>0</v>
      </c>
      <c r="J606">
        <v>0</v>
      </c>
      <c r="K606">
        <v>26</v>
      </c>
      <c r="L606">
        <v>0</v>
      </c>
      <c r="M606">
        <v>4</v>
      </c>
      <c r="N606">
        <v>0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1</v>
      </c>
      <c r="W606">
        <v>20</v>
      </c>
      <c r="X606">
        <v>84</v>
      </c>
      <c r="Y606">
        <v>0</v>
      </c>
      <c r="Z606">
        <v>1</v>
      </c>
      <c r="AA606">
        <v>0</v>
      </c>
      <c r="AB606">
        <v>0</v>
      </c>
      <c r="AC606">
        <v>1</v>
      </c>
      <c r="AD606">
        <v>800</v>
      </c>
      <c r="AE606">
        <v>1</v>
      </c>
      <c r="AF606">
        <v>1</v>
      </c>
      <c r="AG606">
        <v>0</v>
      </c>
      <c r="AH606">
        <v>0</v>
      </c>
      <c r="AI606">
        <v>0</v>
      </c>
      <c r="AO606">
        <v>13.080000000000002</v>
      </c>
      <c r="AP606">
        <v>1.3333333333333333</v>
      </c>
      <c r="AQ606">
        <v>868</v>
      </c>
      <c r="AT606">
        <v>622</v>
      </c>
      <c r="AU606">
        <v>19.16</v>
      </c>
      <c r="AX606" t="s">
        <v>96</v>
      </c>
    </row>
    <row r="607" spans="1:50" x14ac:dyDescent="0.45">
      <c r="A607">
        <v>10606</v>
      </c>
      <c r="B607">
        <v>1</v>
      </c>
      <c r="C607">
        <v>66</v>
      </c>
      <c r="D607">
        <v>0</v>
      </c>
      <c r="E607">
        <v>0</v>
      </c>
      <c r="F607">
        <v>0</v>
      </c>
      <c r="G607">
        <v>0</v>
      </c>
      <c r="H607">
        <v>2</v>
      </c>
      <c r="I607">
        <v>0</v>
      </c>
      <c r="J607">
        <v>0</v>
      </c>
      <c r="K607">
        <v>26</v>
      </c>
      <c r="L607">
        <v>0</v>
      </c>
      <c r="M607">
        <v>6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1</v>
      </c>
      <c r="W607">
        <v>20</v>
      </c>
      <c r="X607">
        <v>84</v>
      </c>
      <c r="Y607">
        <v>0</v>
      </c>
      <c r="Z607">
        <v>1</v>
      </c>
      <c r="AA607">
        <v>0</v>
      </c>
      <c r="AB607">
        <v>0</v>
      </c>
      <c r="AC607">
        <v>1</v>
      </c>
      <c r="AD607">
        <v>800</v>
      </c>
      <c r="AE607">
        <v>1</v>
      </c>
      <c r="AF607">
        <v>1</v>
      </c>
      <c r="AG607">
        <v>0</v>
      </c>
      <c r="AH607">
        <v>0</v>
      </c>
      <c r="AI607">
        <v>0</v>
      </c>
      <c r="AO607">
        <v>13.080000000000002</v>
      </c>
      <c r="AP607">
        <v>2</v>
      </c>
      <c r="AQ607">
        <v>876.40000000000009</v>
      </c>
      <c r="AT607">
        <v>577</v>
      </c>
      <c r="AU607">
        <v>28.81</v>
      </c>
      <c r="AX607" t="s">
        <v>96</v>
      </c>
    </row>
    <row r="608" spans="1:50" x14ac:dyDescent="0.45">
      <c r="A608">
        <v>10607</v>
      </c>
      <c r="B608">
        <v>1</v>
      </c>
      <c r="C608">
        <v>64</v>
      </c>
      <c r="D608">
        <v>0</v>
      </c>
      <c r="E608">
        <v>0</v>
      </c>
      <c r="F608">
        <v>0</v>
      </c>
      <c r="G608">
        <v>0</v>
      </c>
      <c r="H608">
        <v>2</v>
      </c>
      <c r="I608">
        <v>0</v>
      </c>
      <c r="J608">
        <v>0</v>
      </c>
      <c r="K608">
        <v>26</v>
      </c>
      <c r="L608">
        <v>0</v>
      </c>
      <c r="M608">
        <v>8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1</v>
      </c>
      <c r="W608">
        <v>20</v>
      </c>
      <c r="X608">
        <v>84</v>
      </c>
      <c r="Y608">
        <v>0</v>
      </c>
      <c r="Z608">
        <v>1</v>
      </c>
      <c r="AA608">
        <v>0</v>
      </c>
      <c r="AB608">
        <v>0</v>
      </c>
      <c r="AC608">
        <v>1</v>
      </c>
      <c r="AD608">
        <v>800</v>
      </c>
      <c r="AE608">
        <v>1</v>
      </c>
      <c r="AF608">
        <v>1</v>
      </c>
      <c r="AG608">
        <v>0</v>
      </c>
      <c r="AH608">
        <v>0</v>
      </c>
      <c r="AI608">
        <v>0</v>
      </c>
      <c r="AO608">
        <v>13.080000000000002</v>
      </c>
      <c r="AP608">
        <v>2.6666666666666665</v>
      </c>
      <c r="AQ608">
        <v>884.80000000000007</v>
      </c>
      <c r="AT608">
        <v>582</v>
      </c>
      <c r="AU608">
        <v>23.83</v>
      </c>
      <c r="AX608" t="s">
        <v>96</v>
      </c>
    </row>
    <row r="609" spans="1:50" x14ac:dyDescent="0.45">
      <c r="A609">
        <v>10608</v>
      </c>
      <c r="B609">
        <v>1</v>
      </c>
      <c r="C609">
        <v>70</v>
      </c>
      <c r="D609">
        <v>0</v>
      </c>
      <c r="E609">
        <v>0</v>
      </c>
      <c r="F609">
        <v>0</v>
      </c>
      <c r="G609">
        <v>0</v>
      </c>
      <c r="H609">
        <v>2</v>
      </c>
      <c r="I609">
        <v>0</v>
      </c>
      <c r="J609">
        <v>0</v>
      </c>
      <c r="K609">
        <v>26</v>
      </c>
      <c r="L609">
        <v>0</v>
      </c>
      <c r="M609">
        <v>2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1</v>
      </c>
      <c r="W609">
        <v>20</v>
      </c>
      <c r="X609">
        <v>84</v>
      </c>
      <c r="Y609">
        <v>0</v>
      </c>
      <c r="Z609">
        <v>1</v>
      </c>
      <c r="AA609">
        <v>0</v>
      </c>
      <c r="AB609">
        <v>0</v>
      </c>
      <c r="AC609">
        <v>1</v>
      </c>
      <c r="AD609">
        <v>800</v>
      </c>
      <c r="AE609">
        <v>1</v>
      </c>
      <c r="AF609">
        <v>1</v>
      </c>
      <c r="AG609">
        <v>0</v>
      </c>
      <c r="AH609">
        <v>0</v>
      </c>
      <c r="AI609">
        <v>0</v>
      </c>
      <c r="AO609">
        <v>13.080000000000002</v>
      </c>
      <c r="AP609">
        <v>0.66666666666666663</v>
      </c>
      <c r="AQ609">
        <v>859.6</v>
      </c>
      <c r="AT609">
        <v>679</v>
      </c>
      <c r="AU609">
        <v>25.15</v>
      </c>
      <c r="AX609" t="s">
        <v>144</v>
      </c>
    </row>
    <row r="610" spans="1:50" x14ac:dyDescent="0.45">
      <c r="A610">
        <v>10609</v>
      </c>
      <c r="B610">
        <v>1</v>
      </c>
      <c r="C610">
        <v>68</v>
      </c>
      <c r="D610">
        <v>0</v>
      </c>
      <c r="E610">
        <v>0</v>
      </c>
      <c r="F610">
        <v>0</v>
      </c>
      <c r="G610">
        <v>0</v>
      </c>
      <c r="H610">
        <v>2</v>
      </c>
      <c r="I610">
        <v>0</v>
      </c>
      <c r="J610">
        <v>0</v>
      </c>
      <c r="K610">
        <v>26</v>
      </c>
      <c r="L610">
        <v>0</v>
      </c>
      <c r="M610">
        <v>4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1</v>
      </c>
      <c r="W610">
        <v>20</v>
      </c>
      <c r="X610">
        <v>84</v>
      </c>
      <c r="Y610">
        <v>0</v>
      </c>
      <c r="Z610">
        <v>1</v>
      </c>
      <c r="AA610">
        <v>0</v>
      </c>
      <c r="AB610">
        <v>0</v>
      </c>
      <c r="AC610">
        <v>1</v>
      </c>
      <c r="AD610">
        <v>800</v>
      </c>
      <c r="AE610">
        <v>1</v>
      </c>
      <c r="AF610">
        <v>1</v>
      </c>
      <c r="AG610">
        <v>0</v>
      </c>
      <c r="AH610">
        <v>0</v>
      </c>
      <c r="AI610">
        <v>0</v>
      </c>
      <c r="AO610">
        <v>13.080000000000002</v>
      </c>
      <c r="AP610">
        <v>1.3333333333333333</v>
      </c>
      <c r="AQ610">
        <v>868</v>
      </c>
      <c r="AT610">
        <v>622</v>
      </c>
      <c r="AU610">
        <v>19.04</v>
      </c>
      <c r="AX610" t="s">
        <v>145</v>
      </c>
    </row>
    <row r="611" spans="1:50" x14ac:dyDescent="0.45">
      <c r="A611">
        <v>10610</v>
      </c>
      <c r="B611">
        <v>1</v>
      </c>
      <c r="C611">
        <v>66</v>
      </c>
      <c r="D611">
        <v>0</v>
      </c>
      <c r="E611">
        <v>0</v>
      </c>
      <c r="F611">
        <v>0</v>
      </c>
      <c r="G611">
        <v>0</v>
      </c>
      <c r="H611">
        <v>2</v>
      </c>
      <c r="I611">
        <v>0</v>
      </c>
      <c r="J611">
        <v>0</v>
      </c>
      <c r="K611">
        <v>26</v>
      </c>
      <c r="L611">
        <v>0</v>
      </c>
      <c r="M611">
        <v>6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1</v>
      </c>
      <c r="W611">
        <v>20</v>
      </c>
      <c r="X611">
        <v>84</v>
      </c>
      <c r="Y611">
        <v>0</v>
      </c>
      <c r="Z611">
        <v>1</v>
      </c>
      <c r="AA611">
        <v>0</v>
      </c>
      <c r="AB611">
        <v>0</v>
      </c>
      <c r="AC611">
        <v>1</v>
      </c>
      <c r="AD611">
        <v>800</v>
      </c>
      <c r="AE611">
        <v>1</v>
      </c>
      <c r="AF611">
        <v>1</v>
      </c>
      <c r="AG611">
        <v>0</v>
      </c>
      <c r="AH611">
        <v>0</v>
      </c>
      <c r="AI611">
        <v>0</v>
      </c>
      <c r="AO611">
        <v>13.080000000000002</v>
      </c>
      <c r="AP611">
        <v>2</v>
      </c>
      <c r="AQ611">
        <v>876.40000000000009</v>
      </c>
      <c r="AT611">
        <v>577</v>
      </c>
      <c r="AU611">
        <v>28.77</v>
      </c>
      <c r="AX611" t="s">
        <v>146</v>
      </c>
    </row>
    <row r="612" spans="1:50" x14ac:dyDescent="0.45">
      <c r="A612">
        <v>10611</v>
      </c>
      <c r="B612">
        <v>1</v>
      </c>
      <c r="C612">
        <v>64</v>
      </c>
      <c r="D612">
        <v>0</v>
      </c>
      <c r="E612">
        <v>0</v>
      </c>
      <c r="F612">
        <v>0</v>
      </c>
      <c r="G612">
        <v>0</v>
      </c>
      <c r="H612">
        <v>2</v>
      </c>
      <c r="I612">
        <v>0</v>
      </c>
      <c r="J612">
        <v>0</v>
      </c>
      <c r="K612">
        <v>26</v>
      </c>
      <c r="L612">
        <v>0</v>
      </c>
      <c r="M612">
        <v>8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1</v>
      </c>
      <c r="W612">
        <v>20</v>
      </c>
      <c r="X612">
        <v>84</v>
      </c>
      <c r="Y612">
        <v>0</v>
      </c>
      <c r="Z612">
        <v>1</v>
      </c>
      <c r="AA612">
        <v>0</v>
      </c>
      <c r="AB612">
        <v>0</v>
      </c>
      <c r="AC612">
        <v>1</v>
      </c>
      <c r="AD612">
        <v>800</v>
      </c>
      <c r="AE612">
        <v>1</v>
      </c>
      <c r="AF612">
        <v>1</v>
      </c>
      <c r="AG612">
        <v>0</v>
      </c>
      <c r="AH612">
        <v>0</v>
      </c>
      <c r="AI612">
        <v>0</v>
      </c>
      <c r="AO612">
        <v>13.080000000000002</v>
      </c>
      <c r="AP612">
        <v>2.6666666666666665</v>
      </c>
      <c r="AQ612">
        <v>884.80000000000007</v>
      </c>
      <c r="AT612">
        <v>582</v>
      </c>
      <c r="AU612">
        <v>23.78</v>
      </c>
      <c r="AX612" t="s">
        <v>147</v>
      </c>
    </row>
    <row r="613" spans="1:50" x14ac:dyDescent="0.45">
      <c r="A613">
        <v>10612</v>
      </c>
      <c r="B613">
        <v>1</v>
      </c>
      <c r="C613">
        <v>83.76</v>
      </c>
      <c r="D613">
        <v>0</v>
      </c>
      <c r="E613">
        <v>0</v>
      </c>
      <c r="F613">
        <v>0</v>
      </c>
      <c r="G613">
        <v>0</v>
      </c>
      <c r="H613">
        <v>2.56</v>
      </c>
      <c r="I613">
        <v>0</v>
      </c>
      <c r="J613">
        <v>0</v>
      </c>
      <c r="K613">
        <v>11</v>
      </c>
      <c r="L613">
        <v>0</v>
      </c>
      <c r="M613">
        <v>2.68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1</v>
      </c>
      <c r="Y613">
        <v>0</v>
      </c>
      <c r="Z613">
        <v>1</v>
      </c>
      <c r="AA613">
        <v>0</v>
      </c>
      <c r="AB613">
        <v>0</v>
      </c>
      <c r="AC613">
        <v>1</v>
      </c>
      <c r="AD613">
        <f>AQ613</f>
        <v>853.83199999999999</v>
      </c>
      <c r="AF613">
        <v>1</v>
      </c>
      <c r="AG613">
        <v>0</v>
      </c>
      <c r="AH613">
        <v>0</v>
      </c>
      <c r="AI613">
        <v>0</v>
      </c>
      <c r="AO613">
        <v>10.504</v>
      </c>
      <c r="AP613">
        <v>0.89333333333333342</v>
      </c>
      <c r="AQ613">
        <v>853.83199999999999</v>
      </c>
      <c r="AR613">
        <v>71</v>
      </c>
      <c r="AS613">
        <v>765</v>
      </c>
      <c r="AX613" t="s">
        <v>60</v>
      </c>
    </row>
    <row r="614" spans="1:50" x14ac:dyDescent="0.45">
      <c r="A614">
        <v>10613</v>
      </c>
      <c r="B614">
        <v>1</v>
      </c>
      <c r="C614">
        <v>87.5</v>
      </c>
      <c r="D614">
        <v>5</v>
      </c>
      <c r="E614">
        <v>0</v>
      </c>
      <c r="F614">
        <v>0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5</v>
      </c>
      <c r="M614">
        <v>2.5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Y614">
        <v>1</v>
      </c>
      <c r="Z614">
        <v>0</v>
      </c>
      <c r="AA614">
        <v>0</v>
      </c>
      <c r="AB614">
        <v>0</v>
      </c>
      <c r="AC614">
        <v>1</v>
      </c>
      <c r="AD614">
        <v>1000</v>
      </c>
      <c r="AE614">
        <v>1</v>
      </c>
      <c r="AF614">
        <v>0</v>
      </c>
      <c r="AG614">
        <v>0</v>
      </c>
      <c r="AH614">
        <v>1</v>
      </c>
      <c r="AI614">
        <v>0</v>
      </c>
      <c r="AO614">
        <v>0</v>
      </c>
      <c r="AP614">
        <v>5.833333333333333</v>
      </c>
      <c r="AQ614">
        <v>855.5</v>
      </c>
      <c r="AT614">
        <v>1016</v>
      </c>
      <c r="AU614">
        <v>5.8</v>
      </c>
      <c r="AX614" t="s">
        <v>114</v>
      </c>
    </row>
    <row r="615" spans="1:50" x14ac:dyDescent="0.45">
      <c r="A615">
        <v>10614</v>
      </c>
      <c r="B615">
        <v>1</v>
      </c>
      <c r="C615">
        <v>82.5</v>
      </c>
      <c r="D615">
        <v>5</v>
      </c>
      <c r="E615">
        <v>0</v>
      </c>
      <c r="F615">
        <v>0</v>
      </c>
      <c r="G615">
        <v>0</v>
      </c>
      <c r="H615">
        <v>0</v>
      </c>
      <c r="I615">
        <v>0</v>
      </c>
      <c r="J615">
        <v>0</v>
      </c>
      <c r="K615">
        <v>0</v>
      </c>
      <c r="L615">
        <v>10</v>
      </c>
      <c r="M615">
        <v>2.5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Y615">
        <v>1</v>
      </c>
      <c r="Z615">
        <v>0</v>
      </c>
      <c r="AA615">
        <v>0</v>
      </c>
      <c r="AB615">
        <v>0</v>
      </c>
      <c r="AC615">
        <v>1</v>
      </c>
      <c r="AD615">
        <v>1000</v>
      </c>
      <c r="AE615">
        <v>1</v>
      </c>
      <c r="AF615">
        <v>0</v>
      </c>
      <c r="AG615">
        <v>0</v>
      </c>
      <c r="AH615">
        <v>1</v>
      </c>
      <c r="AI615">
        <v>0</v>
      </c>
      <c r="AO615">
        <v>5</v>
      </c>
      <c r="AP615">
        <v>5.833333333333333</v>
      </c>
      <c r="AQ615">
        <v>808</v>
      </c>
      <c r="AT615">
        <v>1260</v>
      </c>
      <c r="AU615">
        <v>8.4</v>
      </c>
      <c r="AX615" t="s">
        <v>114</v>
      </c>
    </row>
    <row r="616" spans="1:50" x14ac:dyDescent="0.45">
      <c r="A616">
        <v>10615</v>
      </c>
      <c r="B616">
        <v>1</v>
      </c>
      <c r="C616">
        <v>77.5</v>
      </c>
      <c r="D616">
        <v>5</v>
      </c>
      <c r="E616">
        <v>0</v>
      </c>
      <c r="F616">
        <v>0</v>
      </c>
      <c r="G616">
        <v>0</v>
      </c>
      <c r="H616">
        <v>0</v>
      </c>
      <c r="I616">
        <v>0</v>
      </c>
      <c r="J616">
        <v>0</v>
      </c>
      <c r="K616">
        <v>0</v>
      </c>
      <c r="L616">
        <v>15</v>
      </c>
      <c r="M616">
        <v>2.5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Y616">
        <v>1</v>
      </c>
      <c r="Z616">
        <v>0</v>
      </c>
      <c r="AA616">
        <v>0</v>
      </c>
      <c r="AB616">
        <v>0</v>
      </c>
      <c r="AC616">
        <v>1</v>
      </c>
      <c r="AD616">
        <v>1000</v>
      </c>
      <c r="AE616">
        <v>1</v>
      </c>
      <c r="AF616">
        <v>0</v>
      </c>
      <c r="AG616">
        <v>0</v>
      </c>
      <c r="AH616">
        <v>1</v>
      </c>
      <c r="AI616">
        <v>0</v>
      </c>
      <c r="AO616">
        <v>10</v>
      </c>
      <c r="AP616">
        <v>5.833333333333333</v>
      </c>
      <c r="AQ616">
        <v>760.5</v>
      </c>
      <c r="AT616">
        <v>724</v>
      </c>
      <c r="AU616">
        <v>9.3000000000000007</v>
      </c>
      <c r="AX616" t="s">
        <v>114</v>
      </c>
    </row>
    <row r="617" spans="1:50" x14ac:dyDescent="0.45">
      <c r="A617">
        <v>10616</v>
      </c>
      <c r="B617">
        <v>1</v>
      </c>
      <c r="C617">
        <v>87.5</v>
      </c>
      <c r="D617">
        <v>5</v>
      </c>
      <c r="E617">
        <v>0</v>
      </c>
      <c r="F617">
        <v>0</v>
      </c>
      <c r="G617">
        <v>0</v>
      </c>
      <c r="H617">
        <v>0</v>
      </c>
      <c r="I617">
        <v>0</v>
      </c>
      <c r="J617">
        <v>0</v>
      </c>
      <c r="K617">
        <v>0</v>
      </c>
      <c r="L617">
        <v>5</v>
      </c>
      <c r="M617">
        <v>2.5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1</v>
      </c>
      <c r="Y617">
        <v>0</v>
      </c>
      <c r="Z617">
        <v>1</v>
      </c>
      <c r="AA617">
        <v>0</v>
      </c>
      <c r="AB617">
        <v>0</v>
      </c>
      <c r="AC617">
        <v>0</v>
      </c>
      <c r="AI617">
        <v>0</v>
      </c>
      <c r="AO617">
        <v>0</v>
      </c>
      <c r="AP617">
        <v>5.833333333333333</v>
      </c>
      <c r="AQ617">
        <v>855.5</v>
      </c>
      <c r="AS617">
        <v>966</v>
      </c>
      <c r="AT617">
        <v>1016</v>
      </c>
      <c r="AU617">
        <v>5.8</v>
      </c>
      <c r="AV617">
        <v>342</v>
      </c>
      <c r="AX617" t="s">
        <v>98</v>
      </c>
    </row>
    <row r="618" spans="1:50" x14ac:dyDescent="0.45">
      <c r="A618">
        <v>10617</v>
      </c>
      <c r="B618">
        <v>1</v>
      </c>
      <c r="C618">
        <v>82.5</v>
      </c>
      <c r="D618">
        <v>5</v>
      </c>
      <c r="E618">
        <v>0</v>
      </c>
      <c r="F618">
        <v>0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10</v>
      </c>
      <c r="M618">
        <v>2.5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1</v>
      </c>
      <c r="Y618">
        <v>0</v>
      </c>
      <c r="Z618">
        <v>1</v>
      </c>
      <c r="AA618">
        <v>0</v>
      </c>
      <c r="AB618">
        <v>0</v>
      </c>
      <c r="AC618">
        <v>0</v>
      </c>
      <c r="AI618">
        <v>0</v>
      </c>
      <c r="AO618">
        <v>5</v>
      </c>
      <c r="AP618">
        <v>5.833333333333333</v>
      </c>
      <c r="AQ618">
        <v>808</v>
      </c>
      <c r="AS618">
        <v>1198</v>
      </c>
      <c r="AT618">
        <v>1260</v>
      </c>
      <c r="AU618">
        <v>8.4</v>
      </c>
      <c r="AV618">
        <v>388</v>
      </c>
      <c r="AX618" t="s">
        <v>98</v>
      </c>
    </row>
    <row r="619" spans="1:50" x14ac:dyDescent="0.45">
      <c r="A619">
        <v>10618</v>
      </c>
      <c r="B619">
        <v>1</v>
      </c>
      <c r="C619">
        <v>77.5</v>
      </c>
      <c r="D619">
        <v>5</v>
      </c>
      <c r="E619">
        <v>0</v>
      </c>
      <c r="F619">
        <v>0</v>
      </c>
      <c r="G619">
        <v>0</v>
      </c>
      <c r="H619">
        <v>0</v>
      </c>
      <c r="I619">
        <v>0</v>
      </c>
      <c r="J619">
        <v>0</v>
      </c>
      <c r="K619">
        <v>0</v>
      </c>
      <c r="L619">
        <v>15</v>
      </c>
      <c r="M619">
        <v>2.5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1</v>
      </c>
      <c r="Y619">
        <v>0</v>
      </c>
      <c r="Z619">
        <v>1</v>
      </c>
      <c r="AA619">
        <v>0</v>
      </c>
      <c r="AB619">
        <v>0</v>
      </c>
      <c r="AC619">
        <v>0</v>
      </c>
      <c r="AI619">
        <v>0</v>
      </c>
      <c r="AO619">
        <v>10</v>
      </c>
      <c r="AP619">
        <v>5.833333333333333</v>
      </c>
      <c r="AQ619">
        <v>760.5</v>
      </c>
      <c r="AS619">
        <v>711</v>
      </c>
      <c r="AT619">
        <v>724</v>
      </c>
      <c r="AU619">
        <v>9.3000000000000007</v>
      </c>
      <c r="AV619">
        <v>275</v>
      </c>
      <c r="AW619" t="s">
        <v>351</v>
      </c>
      <c r="AX619" t="s">
        <v>98</v>
      </c>
    </row>
    <row r="620" spans="1:50" x14ac:dyDescent="0.45">
      <c r="A620">
        <v>10619</v>
      </c>
      <c r="B620">
        <v>1</v>
      </c>
      <c r="C620">
        <v>90.1</v>
      </c>
      <c r="D620">
        <v>7.1</v>
      </c>
      <c r="E620">
        <v>1.2</v>
      </c>
      <c r="F620">
        <v>0</v>
      </c>
      <c r="G620">
        <v>0</v>
      </c>
      <c r="H620">
        <v>0</v>
      </c>
      <c r="I620">
        <v>0</v>
      </c>
      <c r="J620">
        <v>1.6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Y620">
        <v>1</v>
      </c>
      <c r="Z620">
        <v>0</v>
      </c>
      <c r="AA620">
        <v>0</v>
      </c>
      <c r="AB620">
        <v>0</v>
      </c>
      <c r="AC620">
        <v>0</v>
      </c>
      <c r="AI620">
        <v>0</v>
      </c>
      <c r="AO620">
        <v>-6.2959999999999994</v>
      </c>
      <c r="AP620">
        <v>7.3666666666666663</v>
      </c>
      <c r="AQ620">
        <v>871.71</v>
      </c>
      <c r="AT620">
        <v>787.75</v>
      </c>
      <c r="AU620">
        <v>13.42</v>
      </c>
      <c r="AW620" t="s">
        <v>351</v>
      </c>
      <c r="AX620" t="s">
        <v>148</v>
      </c>
    </row>
    <row r="621" spans="1:50" x14ac:dyDescent="0.45">
      <c r="A621">
        <v>10620</v>
      </c>
      <c r="B621">
        <v>1</v>
      </c>
      <c r="C621">
        <v>87.9</v>
      </c>
      <c r="D621">
        <v>6.8</v>
      </c>
      <c r="E621">
        <v>2.4</v>
      </c>
      <c r="F621">
        <v>0</v>
      </c>
      <c r="G621">
        <v>0</v>
      </c>
      <c r="H621">
        <v>0</v>
      </c>
      <c r="I621">
        <v>0</v>
      </c>
      <c r="J621">
        <v>2.9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Y621">
        <v>1</v>
      </c>
      <c r="Z621">
        <v>0</v>
      </c>
      <c r="AA621">
        <v>0</v>
      </c>
      <c r="AB621">
        <v>0</v>
      </c>
      <c r="AC621">
        <v>0</v>
      </c>
      <c r="AI621">
        <v>0</v>
      </c>
      <c r="AO621">
        <v>-5.1920000000000002</v>
      </c>
      <c r="AP621">
        <v>7.2833333333333332</v>
      </c>
      <c r="AQ621">
        <v>847.94999999999993</v>
      </c>
      <c r="AT621">
        <v>840.86</v>
      </c>
      <c r="AU621">
        <v>10.41</v>
      </c>
      <c r="AX621" t="s">
        <v>148</v>
      </c>
    </row>
    <row r="622" spans="1:50" x14ac:dyDescent="0.45">
      <c r="A622">
        <v>10621</v>
      </c>
      <c r="B622">
        <v>1</v>
      </c>
      <c r="C622">
        <v>85.8</v>
      </c>
      <c r="D622">
        <v>6.5</v>
      </c>
      <c r="E622">
        <v>3.5</v>
      </c>
      <c r="F622">
        <v>0</v>
      </c>
      <c r="G622">
        <v>0</v>
      </c>
      <c r="H622">
        <v>0</v>
      </c>
      <c r="I622">
        <v>0</v>
      </c>
      <c r="J622">
        <v>4.2</v>
      </c>
      <c r="K622">
        <v>0</v>
      </c>
      <c r="L622">
        <v>0</v>
      </c>
      <c r="M622">
        <v>0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Y622">
        <v>1</v>
      </c>
      <c r="Z622">
        <v>0</v>
      </c>
      <c r="AA622">
        <v>0</v>
      </c>
      <c r="AB622">
        <v>0</v>
      </c>
      <c r="AC622">
        <v>0</v>
      </c>
      <c r="AI622">
        <v>0</v>
      </c>
      <c r="AO622">
        <v>-4.1549999999999994</v>
      </c>
      <c r="AP622">
        <v>7.2</v>
      </c>
      <c r="AQ622">
        <v>825.37</v>
      </c>
      <c r="AT622">
        <v>963.77</v>
      </c>
      <c r="AU622">
        <v>7.18</v>
      </c>
      <c r="AX622" t="s">
        <v>148</v>
      </c>
    </row>
    <row r="623" spans="1:50" x14ac:dyDescent="0.45">
      <c r="A623">
        <v>10622</v>
      </c>
      <c r="B623">
        <v>1</v>
      </c>
      <c r="C623">
        <v>83.6</v>
      </c>
      <c r="D623">
        <v>6.2</v>
      </c>
      <c r="E623">
        <v>4.5999999999999996</v>
      </c>
      <c r="F623">
        <v>0</v>
      </c>
      <c r="G623">
        <v>0</v>
      </c>
      <c r="H623">
        <v>0</v>
      </c>
      <c r="I623">
        <v>0</v>
      </c>
      <c r="J623">
        <v>5.6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Y623">
        <v>1</v>
      </c>
      <c r="Z623">
        <v>0</v>
      </c>
      <c r="AA623">
        <v>0</v>
      </c>
      <c r="AB623">
        <v>0</v>
      </c>
      <c r="AC623">
        <v>0</v>
      </c>
      <c r="AI623">
        <v>0</v>
      </c>
      <c r="AO623">
        <v>-3.1180000000000003</v>
      </c>
      <c r="AP623">
        <v>7.1333333333333337</v>
      </c>
      <c r="AQ623">
        <v>802.1</v>
      </c>
      <c r="AT623">
        <v>1070.49</v>
      </c>
      <c r="AU623">
        <v>5.13</v>
      </c>
      <c r="AX623" t="s">
        <v>148</v>
      </c>
    </row>
    <row r="624" spans="1:50" x14ac:dyDescent="0.45">
      <c r="A624">
        <v>10623</v>
      </c>
      <c r="B624">
        <v>1</v>
      </c>
      <c r="C624">
        <v>81.599999999999994</v>
      </c>
      <c r="D624">
        <v>5.9</v>
      </c>
      <c r="E624">
        <v>5.7</v>
      </c>
      <c r="F624">
        <v>0</v>
      </c>
      <c r="G624">
        <v>0</v>
      </c>
      <c r="H624">
        <v>0</v>
      </c>
      <c r="I624">
        <v>0</v>
      </c>
      <c r="J624">
        <v>6.8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Y624">
        <v>1</v>
      </c>
      <c r="Z624">
        <v>0</v>
      </c>
      <c r="AA624">
        <v>0</v>
      </c>
      <c r="AB624">
        <v>0</v>
      </c>
      <c r="AC624">
        <v>0</v>
      </c>
      <c r="AI624">
        <v>0</v>
      </c>
      <c r="AO624">
        <v>-2.081</v>
      </c>
      <c r="AP624">
        <v>7.0333333333333332</v>
      </c>
      <c r="AQ624">
        <v>780.21</v>
      </c>
      <c r="AT624">
        <v>1193.4000000000001</v>
      </c>
      <c r="AU624">
        <v>1.79</v>
      </c>
      <c r="AX624" t="s">
        <v>148</v>
      </c>
    </row>
    <row r="625" spans="1:50" x14ac:dyDescent="0.45">
      <c r="A625">
        <v>10624</v>
      </c>
      <c r="B625">
        <v>1</v>
      </c>
      <c r="C625">
        <v>79.5</v>
      </c>
      <c r="D625">
        <v>5.6</v>
      </c>
      <c r="E625">
        <v>6.8</v>
      </c>
      <c r="F625">
        <v>0</v>
      </c>
      <c r="G625">
        <v>0</v>
      </c>
      <c r="H625">
        <v>0</v>
      </c>
      <c r="I625">
        <v>0</v>
      </c>
      <c r="J625">
        <v>8.1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Y625">
        <v>1</v>
      </c>
      <c r="Z625">
        <v>0</v>
      </c>
      <c r="AA625">
        <v>0</v>
      </c>
      <c r="AB625">
        <v>0</v>
      </c>
      <c r="AC625">
        <v>0</v>
      </c>
      <c r="AI625">
        <v>0</v>
      </c>
      <c r="AO625">
        <v>-1.0439999999999996</v>
      </c>
      <c r="AP625">
        <v>6.9499999999999993</v>
      </c>
      <c r="AQ625">
        <v>757.63</v>
      </c>
      <c r="AT625">
        <v>1293</v>
      </c>
      <c r="AU625">
        <v>2.0099999999999998</v>
      </c>
      <c r="AX625" t="s">
        <v>148</v>
      </c>
    </row>
    <row r="626" spans="1:50" x14ac:dyDescent="0.45">
      <c r="A626">
        <v>10625</v>
      </c>
      <c r="B626">
        <v>1</v>
      </c>
      <c r="C626">
        <v>77.599999999999994</v>
      </c>
      <c r="D626">
        <v>5.3</v>
      </c>
      <c r="E626">
        <v>7.8</v>
      </c>
      <c r="F626">
        <v>0</v>
      </c>
      <c r="G626">
        <v>0</v>
      </c>
      <c r="H626">
        <v>0</v>
      </c>
      <c r="I626">
        <v>0</v>
      </c>
      <c r="J626">
        <v>9.3000000000000007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Y626">
        <v>1</v>
      </c>
      <c r="Z626">
        <v>0</v>
      </c>
      <c r="AA626">
        <v>0</v>
      </c>
      <c r="AB626">
        <v>0</v>
      </c>
      <c r="AC626">
        <v>0</v>
      </c>
      <c r="AI626">
        <v>0</v>
      </c>
      <c r="AO626">
        <v>-7.3999999999999844E-2</v>
      </c>
      <c r="AP626">
        <v>6.85</v>
      </c>
      <c r="AQ626">
        <v>736.92000000000007</v>
      </c>
      <c r="AT626">
        <v>1253.07</v>
      </c>
      <c r="AU626">
        <v>4.79</v>
      </c>
      <c r="AX626" t="s">
        <v>148</v>
      </c>
    </row>
    <row r="627" spans="1:50" x14ac:dyDescent="0.45">
      <c r="A627">
        <v>10626</v>
      </c>
      <c r="B627">
        <v>1</v>
      </c>
      <c r="C627">
        <v>90.1</v>
      </c>
      <c r="D627">
        <v>7.1</v>
      </c>
      <c r="E627">
        <v>1.2</v>
      </c>
      <c r="F627">
        <v>0</v>
      </c>
      <c r="G627">
        <v>0</v>
      </c>
      <c r="H627">
        <v>0</v>
      </c>
      <c r="I627">
        <v>0</v>
      </c>
      <c r="J627">
        <v>1.6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1</v>
      </c>
      <c r="Y627">
        <v>0</v>
      </c>
      <c r="Z627">
        <v>1</v>
      </c>
      <c r="AA627">
        <v>0</v>
      </c>
      <c r="AB627">
        <v>0</v>
      </c>
      <c r="AC627">
        <v>0</v>
      </c>
      <c r="AI627">
        <v>0</v>
      </c>
      <c r="AO627">
        <v>-6.2959999999999994</v>
      </c>
      <c r="AP627">
        <v>7.3666666666666663</v>
      </c>
      <c r="AQ627">
        <v>871.71</v>
      </c>
      <c r="AT627">
        <v>787.75</v>
      </c>
      <c r="AU627">
        <v>14</v>
      </c>
      <c r="AX627" t="s">
        <v>149</v>
      </c>
    </row>
    <row r="628" spans="1:50" x14ac:dyDescent="0.45">
      <c r="A628">
        <v>10627</v>
      </c>
      <c r="B628">
        <v>1</v>
      </c>
      <c r="C628">
        <v>87.9</v>
      </c>
      <c r="D628">
        <v>6.8</v>
      </c>
      <c r="E628">
        <v>2.4</v>
      </c>
      <c r="F628">
        <v>0</v>
      </c>
      <c r="G628">
        <v>0</v>
      </c>
      <c r="H628">
        <v>0</v>
      </c>
      <c r="I628">
        <v>0</v>
      </c>
      <c r="J628">
        <v>2.9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1</v>
      </c>
      <c r="Y628">
        <v>0</v>
      </c>
      <c r="Z628">
        <v>1</v>
      </c>
      <c r="AA628">
        <v>0</v>
      </c>
      <c r="AB628">
        <v>0</v>
      </c>
      <c r="AC628">
        <v>0</v>
      </c>
      <c r="AI628">
        <v>0</v>
      </c>
      <c r="AO628">
        <v>-5.1920000000000002</v>
      </c>
      <c r="AP628">
        <v>7.2833333333333332</v>
      </c>
      <c r="AQ628">
        <v>847.94999999999993</v>
      </c>
      <c r="AT628">
        <v>840.86</v>
      </c>
      <c r="AU628">
        <v>10.44</v>
      </c>
      <c r="AX628" t="s">
        <v>149</v>
      </c>
    </row>
    <row r="629" spans="1:50" x14ac:dyDescent="0.45">
      <c r="A629">
        <v>10628</v>
      </c>
      <c r="B629">
        <v>1</v>
      </c>
      <c r="C629">
        <v>85.8</v>
      </c>
      <c r="D629">
        <v>6.5</v>
      </c>
      <c r="E629">
        <v>3.5</v>
      </c>
      <c r="F629">
        <v>0</v>
      </c>
      <c r="G629">
        <v>0</v>
      </c>
      <c r="H629">
        <v>0</v>
      </c>
      <c r="I629">
        <v>0</v>
      </c>
      <c r="J629">
        <v>4.2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1</v>
      </c>
      <c r="Y629">
        <v>0</v>
      </c>
      <c r="Z629">
        <v>1</v>
      </c>
      <c r="AA629">
        <v>0</v>
      </c>
      <c r="AB629">
        <v>0</v>
      </c>
      <c r="AC629">
        <v>0</v>
      </c>
      <c r="AI629">
        <v>0</v>
      </c>
      <c r="AO629">
        <v>-4.1549999999999994</v>
      </c>
      <c r="AP629">
        <v>7.2</v>
      </c>
      <c r="AQ629">
        <v>825.37</v>
      </c>
      <c r="AT629">
        <v>963.77</v>
      </c>
      <c r="AU629">
        <v>7.2</v>
      </c>
      <c r="AW629" t="s">
        <v>251</v>
      </c>
      <c r="AX629" t="s">
        <v>149</v>
      </c>
    </row>
    <row r="630" spans="1:50" x14ac:dyDescent="0.45">
      <c r="A630">
        <v>10629</v>
      </c>
      <c r="B630">
        <v>1</v>
      </c>
      <c r="C630">
        <v>83.6</v>
      </c>
      <c r="D630">
        <v>6.2</v>
      </c>
      <c r="E630">
        <v>4.5999999999999996</v>
      </c>
      <c r="F630">
        <v>0</v>
      </c>
      <c r="G630">
        <v>0</v>
      </c>
      <c r="H630">
        <v>0</v>
      </c>
      <c r="I630">
        <v>0</v>
      </c>
      <c r="J630">
        <v>5.6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1</v>
      </c>
      <c r="Y630">
        <v>0</v>
      </c>
      <c r="Z630">
        <v>1</v>
      </c>
      <c r="AA630">
        <v>0</v>
      </c>
      <c r="AB630">
        <v>0</v>
      </c>
      <c r="AC630">
        <v>0</v>
      </c>
      <c r="AI630">
        <v>0</v>
      </c>
      <c r="AO630">
        <v>-3.1180000000000003</v>
      </c>
      <c r="AP630">
        <v>7.1333333333333337</v>
      </c>
      <c r="AQ630">
        <v>802.1</v>
      </c>
      <c r="AT630">
        <v>1070.49</v>
      </c>
      <c r="AU630">
        <v>5.24</v>
      </c>
      <c r="AW630" t="s">
        <v>251</v>
      </c>
      <c r="AX630" t="s">
        <v>149</v>
      </c>
    </row>
    <row r="631" spans="1:50" x14ac:dyDescent="0.45">
      <c r="A631">
        <v>10630</v>
      </c>
      <c r="B631">
        <v>1</v>
      </c>
      <c r="C631">
        <v>81.599999999999994</v>
      </c>
      <c r="D631">
        <v>5.9</v>
      </c>
      <c r="E631">
        <v>5.7</v>
      </c>
      <c r="F631">
        <v>0</v>
      </c>
      <c r="G631">
        <v>0</v>
      </c>
      <c r="H631">
        <v>0</v>
      </c>
      <c r="I631">
        <v>0</v>
      </c>
      <c r="J631">
        <v>6.8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1</v>
      </c>
      <c r="Y631">
        <v>0</v>
      </c>
      <c r="Z631">
        <v>1</v>
      </c>
      <c r="AA631">
        <v>0</v>
      </c>
      <c r="AB631">
        <v>0</v>
      </c>
      <c r="AC631">
        <v>0</v>
      </c>
      <c r="AI631">
        <v>0</v>
      </c>
      <c r="AO631">
        <v>-2.081</v>
      </c>
      <c r="AP631">
        <v>7.0333333333333332</v>
      </c>
      <c r="AQ631">
        <v>780.21</v>
      </c>
      <c r="AT631">
        <v>1193.4000000000001</v>
      </c>
      <c r="AU631">
        <v>1.81</v>
      </c>
      <c r="AW631" t="s">
        <v>251</v>
      </c>
      <c r="AX631" t="s">
        <v>149</v>
      </c>
    </row>
    <row r="632" spans="1:50" x14ac:dyDescent="0.45">
      <c r="A632">
        <v>10631</v>
      </c>
      <c r="B632">
        <v>1</v>
      </c>
      <c r="C632">
        <v>79.5</v>
      </c>
      <c r="D632">
        <v>5.6</v>
      </c>
      <c r="E632">
        <v>6.8</v>
      </c>
      <c r="F632">
        <v>0</v>
      </c>
      <c r="G632">
        <v>0</v>
      </c>
      <c r="H632">
        <v>0</v>
      </c>
      <c r="I632">
        <v>0</v>
      </c>
      <c r="J632">
        <v>8.1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1</v>
      </c>
      <c r="Y632">
        <v>0</v>
      </c>
      <c r="Z632">
        <v>1</v>
      </c>
      <c r="AA632">
        <v>0</v>
      </c>
      <c r="AB632">
        <v>0</v>
      </c>
      <c r="AC632">
        <v>0</v>
      </c>
      <c r="AI632">
        <v>0</v>
      </c>
      <c r="AO632">
        <v>-1.0439999999999996</v>
      </c>
      <c r="AP632">
        <v>6.9499999999999993</v>
      </c>
      <c r="AQ632">
        <v>757.63</v>
      </c>
      <c r="AT632">
        <v>1293</v>
      </c>
      <c r="AU632">
        <v>2</v>
      </c>
      <c r="AW632" t="s">
        <v>251</v>
      </c>
      <c r="AX632" t="s">
        <v>149</v>
      </c>
    </row>
    <row r="633" spans="1:50" x14ac:dyDescent="0.45">
      <c r="A633">
        <v>10632</v>
      </c>
      <c r="B633">
        <v>1</v>
      </c>
      <c r="C633">
        <v>77.599999999999994</v>
      </c>
      <c r="D633">
        <v>5.3</v>
      </c>
      <c r="E633">
        <v>7.8</v>
      </c>
      <c r="F633">
        <v>0</v>
      </c>
      <c r="G633">
        <v>0</v>
      </c>
      <c r="H633">
        <v>0</v>
      </c>
      <c r="I633">
        <v>0</v>
      </c>
      <c r="J633">
        <v>9.3000000000000007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1</v>
      </c>
      <c r="Y633">
        <v>0</v>
      </c>
      <c r="Z633">
        <v>1</v>
      </c>
      <c r="AA633">
        <v>0</v>
      </c>
      <c r="AB633">
        <v>0</v>
      </c>
      <c r="AC633">
        <v>0</v>
      </c>
      <c r="AI633">
        <v>0</v>
      </c>
      <c r="AO633">
        <v>-7.3999999999999844E-2</v>
      </c>
      <c r="AP633">
        <v>6.85</v>
      </c>
      <c r="AQ633">
        <v>736.92000000000007</v>
      </c>
      <c r="AT633">
        <v>1253.07</v>
      </c>
      <c r="AU633">
        <v>4.63</v>
      </c>
      <c r="AW633" t="s">
        <v>287</v>
      </c>
      <c r="AX633" t="s">
        <v>149</v>
      </c>
    </row>
    <row r="634" spans="1:50" x14ac:dyDescent="0.45">
      <c r="A634">
        <v>10633</v>
      </c>
      <c r="B634">
        <v>1</v>
      </c>
      <c r="C634">
        <v>69.33</v>
      </c>
      <c r="D634">
        <v>9.92</v>
      </c>
      <c r="E634">
        <v>3.15</v>
      </c>
      <c r="F634">
        <v>0</v>
      </c>
      <c r="G634">
        <v>0</v>
      </c>
      <c r="H634">
        <v>0</v>
      </c>
      <c r="I634">
        <v>0</v>
      </c>
      <c r="J634">
        <v>17.599999999999998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1</v>
      </c>
      <c r="Y634">
        <v>0</v>
      </c>
      <c r="Z634">
        <v>1</v>
      </c>
      <c r="AA634">
        <v>0</v>
      </c>
      <c r="AB634">
        <v>0</v>
      </c>
      <c r="AC634">
        <v>1</v>
      </c>
      <c r="AD634">
        <f>AQ634</f>
        <v>744.22200000000009</v>
      </c>
      <c r="AF634">
        <v>0</v>
      </c>
      <c r="AG634">
        <v>1</v>
      </c>
      <c r="AH634">
        <v>0</v>
      </c>
      <c r="AI634">
        <v>0</v>
      </c>
      <c r="AO634">
        <v>-7.8094999999999999</v>
      </c>
      <c r="AP634">
        <v>12.853333333333333</v>
      </c>
      <c r="AQ634">
        <v>744.22200000000009</v>
      </c>
      <c r="AR634">
        <v>97</v>
      </c>
      <c r="AS634">
        <v>1181</v>
      </c>
      <c r="AW634" t="s">
        <v>288</v>
      </c>
      <c r="AX634" t="s">
        <v>60</v>
      </c>
    </row>
    <row r="635" spans="1:50" x14ac:dyDescent="0.45">
      <c r="A635">
        <v>10634</v>
      </c>
      <c r="B635">
        <v>1</v>
      </c>
      <c r="C635">
        <v>57.69</v>
      </c>
      <c r="D635">
        <v>10.89</v>
      </c>
      <c r="E635">
        <v>1.1499999999999999</v>
      </c>
      <c r="F635">
        <v>0</v>
      </c>
      <c r="G635">
        <v>0</v>
      </c>
      <c r="H635">
        <v>0</v>
      </c>
      <c r="I635">
        <v>0</v>
      </c>
      <c r="J635">
        <v>30.270000000000003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1</v>
      </c>
      <c r="Y635">
        <v>0</v>
      </c>
      <c r="Z635">
        <v>1</v>
      </c>
      <c r="AA635">
        <v>0</v>
      </c>
      <c r="AB635">
        <v>0</v>
      </c>
      <c r="AC635">
        <v>1</v>
      </c>
      <c r="AD635">
        <f>AQ635</f>
        <v>682.43599999999992</v>
      </c>
      <c r="AF635">
        <v>1</v>
      </c>
      <c r="AG635">
        <v>0</v>
      </c>
      <c r="AH635">
        <v>0</v>
      </c>
      <c r="AI635">
        <v>0</v>
      </c>
      <c r="AO635">
        <v>-10.1195</v>
      </c>
      <c r="AP635">
        <v>15.935000000000002</v>
      </c>
      <c r="AQ635">
        <v>682.43599999999992</v>
      </c>
      <c r="AR635">
        <v>72</v>
      </c>
      <c r="AS635">
        <v>740</v>
      </c>
      <c r="AW635" t="s">
        <v>289</v>
      </c>
      <c r="AX635" t="s">
        <v>60</v>
      </c>
    </row>
    <row r="636" spans="1:50" x14ac:dyDescent="0.45">
      <c r="A636">
        <v>10635</v>
      </c>
      <c r="B636">
        <v>1</v>
      </c>
      <c r="C636">
        <v>56.220000000000006</v>
      </c>
      <c r="D636">
        <v>10.84</v>
      </c>
      <c r="E636">
        <v>3.45</v>
      </c>
      <c r="F636">
        <v>0</v>
      </c>
      <c r="G636">
        <v>0</v>
      </c>
      <c r="H636">
        <v>0</v>
      </c>
      <c r="I636">
        <v>0</v>
      </c>
      <c r="J636">
        <v>29.5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1</v>
      </c>
      <c r="Y636">
        <v>0</v>
      </c>
      <c r="Z636">
        <v>1</v>
      </c>
      <c r="AA636">
        <v>0</v>
      </c>
      <c r="AB636">
        <v>0</v>
      </c>
      <c r="AC636">
        <v>1</v>
      </c>
      <c r="AD636">
        <f>AQ636</f>
        <v>660.50399999999991</v>
      </c>
      <c r="AF636">
        <v>1</v>
      </c>
      <c r="AG636">
        <v>0</v>
      </c>
      <c r="AH636">
        <v>0</v>
      </c>
      <c r="AI636">
        <v>0</v>
      </c>
      <c r="AO636">
        <v>-8.5284999999999993</v>
      </c>
      <c r="AP636">
        <v>15.756666666666668</v>
      </c>
      <c r="AQ636">
        <v>660.50399999999991</v>
      </c>
      <c r="AR636">
        <v>68</v>
      </c>
      <c r="AS636">
        <v>690</v>
      </c>
      <c r="AW636" t="s">
        <v>290</v>
      </c>
      <c r="AX636" t="s">
        <v>60</v>
      </c>
    </row>
    <row r="637" spans="1:50" x14ac:dyDescent="0.45">
      <c r="A637">
        <v>10636</v>
      </c>
      <c r="B637">
        <v>1</v>
      </c>
      <c r="C637">
        <v>54.76</v>
      </c>
      <c r="D637">
        <v>10.79</v>
      </c>
      <c r="E637">
        <v>5.72</v>
      </c>
      <c r="F637">
        <v>0</v>
      </c>
      <c r="G637">
        <v>0</v>
      </c>
      <c r="H637">
        <v>0</v>
      </c>
      <c r="I637">
        <v>0</v>
      </c>
      <c r="J637">
        <v>28.73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1</v>
      </c>
      <c r="Y637">
        <v>0</v>
      </c>
      <c r="Z637">
        <v>1</v>
      </c>
      <c r="AA637">
        <v>0</v>
      </c>
      <c r="AB637">
        <v>0</v>
      </c>
      <c r="AC637">
        <v>1</v>
      </c>
      <c r="AD637">
        <f>AQ637</f>
        <v>638.92600000000004</v>
      </c>
      <c r="AF637">
        <v>1</v>
      </c>
      <c r="AG637">
        <v>0</v>
      </c>
      <c r="AH637">
        <v>0</v>
      </c>
      <c r="AI637">
        <v>0</v>
      </c>
      <c r="AO637">
        <v>-6.9575999999999993</v>
      </c>
      <c r="AP637">
        <v>15.578333333333333</v>
      </c>
      <c r="AQ637">
        <v>638.92600000000004</v>
      </c>
      <c r="AR637">
        <v>73</v>
      </c>
      <c r="AS637">
        <v>955</v>
      </c>
      <c r="AX637" t="s">
        <v>60</v>
      </c>
    </row>
    <row r="638" spans="1:50" x14ac:dyDescent="0.45">
      <c r="A638">
        <v>10637</v>
      </c>
      <c r="B638">
        <v>1</v>
      </c>
      <c r="C638">
        <v>53.31</v>
      </c>
      <c r="D638">
        <v>10.75</v>
      </c>
      <c r="E638">
        <v>7.9699999999999989</v>
      </c>
      <c r="F638">
        <v>0</v>
      </c>
      <c r="G638">
        <v>0</v>
      </c>
      <c r="H638">
        <v>0</v>
      </c>
      <c r="I638">
        <v>0</v>
      </c>
      <c r="J638">
        <v>27.97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1</v>
      </c>
      <c r="Y638">
        <v>0</v>
      </c>
      <c r="Z638">
        <v>1</v>
      </c>
      <c r="AA638">
        <v>0</v>
      </c>
      <c r="AB638">
        <v>0</v>
      </c>
      <c r="AC638">
        <v>1</v>
      </c>
      <c r="AD638">
        <f>AQ638</f>
        <v>617.53600000000006</v>
      </c>
      <c r="AF638">
        <v>1</v>
      </c>
      <c r="AG638">
        <v>0</v>
      </c>
      <c r="AH638">
        <v>0</v>
      </c>
      <c r="AI638">
        <v>0</v>
      </c>
      <c r="AO638">
        <v>-5.4101000000000008</v>
      </c>
      <c r="AP638">
        <v>15.411666666666665</v>
      </c>
      <c r="AQ638">
        <v>617.53600000000006</v>
      </c>
      <c r="AR638">
        <v>81</v>
      </c>
      <c r="AS638">
        <v>1065</v>
      </c>
      <c r="AW638" t="s">
        <v>252</v>
      </c>
      <c r="AX638" t="s">
        <v>60</v>
      </c>
    </row>
    <row r="639" spans="1:50" x14ac:dyDescent="0.45">
      <c r="A639">
        <v>10638</v>
      </c>
      <c r="B639">
        <v>1</v>
      </c>
      <c r="C639">
        <v>89.02</v>
      </c>
      <c r="D639">
        <v>5.07</v>
      </c>
      <c r="E639">
        <v>2.96</v>
      </c>
      <c r="F639">
        <v>0</v>
      </c>
      <c r="G639">
        <v>0</v>
      </c>
      <c r="H639">
        <v>0</v>
      </c>
      <c r="I639">
        <v>0</v>
      </c>
      <c r="J639">
        <v>2.95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Y639">
        <v>1</v>
      </c>
      <c r="Z639">
        <v>0</v>
      </c>
      <c r="AA639">
        <v>0</v>
      </c>
      <c r="AB639">
        <v>0</v>
      </c>
      <c r="AC639">
        <v>1</v>
      </c>
      <c r="AD639">
        <v>700</v>
      </c>
      <c r="AE639">
        <v>1</v>
      </c>
      <c r="AF639">
        <v>0</v>
      </c>
      <c r="AG639">
        <v>1</v>
      </c>
      <c r="AH639">
        <v>0</v>
      </c>
      <c r="AI639">
        <v>0</v>
      </c>
      <c r="AO639">
        <v>-3.0868000000000002</v>
      </c>
      <c r="AP639">
        <v>5.5616666666666674</v>
      </c>
      <c r="AQ639">
        <v>837.36400000000003</v>
      </c>
      <c r="AS639">
        <v>832.57899999999995</v>
      </c>
      <c r="AT639">
        <v>904.97699999999998</v>
      </c>
      <c r="AU639">
        <v>17.3749</v>
      </c>
      <c r="AW639" t="s">
        <v>252</v>
      </c>
      <c r="AX639" t="s">
        <v>108</v>
      </c>
    </row>
    <row r="640" spans="1:50" x14ac:dyDescent="0.45">
      <c r="A640">
        <v>10639</v>
      </c>
      <c r="B640">
        <v>1</v>
      </c>
      <c r="C640">
        <v>89.02</v>
      </c>
      <c r="D640">
        <v>5.07</v>
      </c>
      <c r="E640">
        <v>2.96</v>
      </c>
      <c r="F640">
        <v>0</v>
      </c>
      <c r="G640">
        <v>0</v>
      </c>
      <c r="H640">
        <v>0</v>
      </c>
      <c r="I640">
        <v>0</v>
      </c>
      <c r="J640">
        <v>2.95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Y640">
        <v>1</v>
      </c>
      <c r="Z640">
        <v>0</v>
      </c>
      <c r="AA640">
        <v>0</v>
      </c>
      <c r="AB640">
        <v>0</v>
      </c>
      <c r="AC640">
        <v>1</v>
      </c>
      <c r="AD640">
        <v>750</v>
      </c>
      <c r="AE640">
        <v>1</v>
      </c>
      <c r="AF640">
        <v>0</v>
      </c>
      <c r="AG640">
        <v>1</v>
      </c>
      <c r="AH640">
        <v>0</v>
      </c>
      <c r="AI640">
        <v>0</v>
      </c>
      <c r="AO640">
        <v>-3.0868000000000002</v>
      </c>
      <c r="AP640">
        <v>5.5616666666666674</v>
      </c>
      <c r="AQ640">
        <v>837.36400000000003</v>
      </c>
      <c r="AS640">
        <v>744.34400000000005</v>
      </c>
      <c r="AT640">
        <v>839.36699999999996</v>
      </c>
      <c r="AU640">
        <v>18.279499999999999</v>
      </c>
      <c r="AW640" t="s">
        <v>252</v>
      </c>
      <c r="AX640" t="s">
        <v>108</v>
      </c>
    </row>
    <row r="641" spans="1:50" x14ac:dyDescent="0.45">
      <c r="A641">
        <v>10640</v>
      </c>
      <c r="B641">
        <v>1</v>
      </c>
      <c r="C641">
        <v>89.02</v>
      </c>
      <c r="D641">
        <v>5.07</v>
      </c>
      <c r="E641">
        <v>2.96</v>
      </c>
      <c r="F641">
        <v>0</v>
      </c>
      <c r="G641">
        <v>0</v>
      </c>
      <c r="H641">
        <v>0</v>
      </c>
      <c r="I641">
        <v>0</v>
      </c>
      <c r="J641">
        <v>2.95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Y641">
        <v>1</v>
      </c>
      <c r="Z641">
        <v>0</v>
      </c>
      <c r="AA641">
        <v>0</v>
      </c>
      <c r="AB641">
        <v>0</v>
      </c>
      <c r="AC641">
        <v>1</v>
      </c>
      <c r="AD641">
        <v>800</v>
      </c>
      <c r="AE641">
        <v>1</v>
      </c>
      <c r="AF641">
        <v>0</v>
      </c>
      <c r="AG641">
        <v>1</v>
      </c>
      <c r="AH641">
        <v>0</v>
      </c>
      <c r="AI641">
        <v>0</v>
      </c>
      <c r="AO641">
        <v>-3.0868000000000002</v>
      </c>
      <c r="AP641">
        <v>5.5616666666666674</v>
      </c>
      <c r="AQ641">
        <v>837.36400000000003</v>
      </c>
      <c r="AS641">
        <v>721.71900000000005</v>
      </c>
      <c r="AT641">
        <v>823.529</v>
      </c>
      <c r="AU641">
        <v>18.341200000000001</v>
      </c>
      <c r="AW641" t="s">
        <v>291</v>
      </c>
      <c r="AX641" t="s">
        <v>108</v>
      </c>
    </row>
    <row r="642" spans="1:50" x14ac:dyDescent="0.45">
      <c r="A642">
        <v>10641</v>
      </c>
      <c r="B642">
        <v>1</v>
      </c>
      <c r="C642">
        <v>89.02</v>
      </c>
      <c r="D642">
        <v>5.07</v>
      </c>
      <c r="E642">
        <v>2.96</v>
      </c>
      <c r="F642">
        <v>0</v>
      </c>
      <c r="G642">
        <v>0</v>
      </c>
      <c r="H642">
        <v>0</v>
      </c>
      <c r="I642">
        <v>0</v>
      </c>
      <c r="J642">
        <v>2.95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Y642">
        <v>1</v>
      </c>
      <c r="Z642">
        <v>0</v>
      </c>
      <c r="AA642">
        <v>0</v>
      </c>
      <c r="AB642">
        <v>0</v>
      </c>
      <c r="AC642">
        <v>1</v>
      </c>
      <c r="AD642">
        <v>900</v>
      </c>
      <c r="AE642">
        <v>1</v>
      </c>
      <c r="AF642">
        <v>0</v>
      </c>
      <c r="AG642">
        <v>1</v>
      </c>
      <c r="AH642">
        <v>0</v>
      </c>
      <c r="AI642">
        <v>0</v>
      </c>
      <c r="AO642">
        <v>-3.0868000000000002</v>
      </c>
      <c r="AP642">
        <v>5.5616666666666674</v>
      </c>
      <c r="AQ642">
        <v>837.36400000000003</v>
      </c>
      <c r="AS642">
        <v>721.71900000000005</v>
      </c>
      <c r="AT642">
        <v>841.62900000000002</v>
      </c>
      <c r="AU642">
        <v>18.224599999999999</v>
      </c>
      <c r="AW642" t="s">
        <v>292</v>
      </c>
      <c r="AX642" t="s">
        <v>108</v>
      </c>
    </row>
    <row r="643" spans="1:50" x14ac:dyDescent="0.45">
      <c r="A643">
        <v>10642</v>
      </c>
      <c r="B643">
        <v>1</v>
      </c>
      <c r="C643">
        <v>89.02</v>
      </c>
      <c r="D643">
        <v>5.07</v>
      </c>
      <c r="E643">
        <v>2.96</v>
      </c>
      <c r="F643">
        <v>0</v>
      </c>
      <c r="G643">
        <v>0</v>
      </c>
      <c r="H643">
        <v>0</v>
      </c>
      <c r="I643">
        <v>0</v>
      </c>
      <c r="J643">
        <v>2.95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Y643">
        <v>1</v>
      </c>
      <c r="Z643">
        <v>0</v>
      </c>
      <c r="AA643">
        <v>0</v>
      </c>
      <c r="AB643">
        <v>0</v>
      </c>
      <c r="AC643">
        <v>1</v>
      </c>
      <c r="AD643">
        <v>950</v>
      </c>
      <c r="AE643">
        <v>1</v>
      </c>
      <c r="AF643">
        <v>0</v>
      </c>
      <c r="AG643">
        <v>1</v>
      </c>
      <c r="AH643">
        <v>0</v>
      </c>
      <c r="AI643">
        <v>0</v>
      </c>
      <c r="AO643">
        <v>-3.0868000000000002</v>
      </c>
      <c r="AP643">
        <v>5.5616666666666674</v>
      </c>
      <c r="AQ643">
        <v>837.36400000000003</v>
      </c>
      <c r="AS643">
        <v>676.471</v>
      </c>
      <c r="AT643">
        <v>837.10400000000004</v>
      </c>
      <c r="AU643">
        <v>14.2483</v>
      </c>
      <c r="AW643" t="s">
        <v>293</v>
      </c>
      <c r="AX643" t="s">
        <v>108</v>
      </c>
    </row>
    <row r="644" spans="1:50" x14ac:dyDescent="0.45">
      <c r="A644">
        <v>10643</v>
      </c>
      <c r="B644">
        <v>1</v>
      </c>
      <c r="C644">
        <v>64</v>
      </c>
      <c r="D644">
        <v>1</v>
      </c>
      <c r="E644">
        <v>0</v>
      </c>
      <c r="F644">
        <v>0</v>
      </c>
      <c r="G644">
        <v>0</v>
      </c>
      <c r="H644">
        <v>0</v>
      </c>
      <c r="I644">
        <v>0</v>
      </c>
      <c r="J644">
        <v>30</v>
      </c>
      <c r="K644">
        <v>0</v>
      </c>
      <c r="L644">
        <v>5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1</v>
      </c>
      <c r="W644">
        <v>1000</v>
      </c>
      <c r="X644">
        <v>70</v>
      </c>
      <c r="Y644">
        <v>0</v>
      </c>
      <c r="Z644">
        <v>1</v>
      </c>
      <c r="AA644">
        <v>0</v>
      </c>
      <c r="AB644">
        <v>0</v>
      </c>
      <c r="AC644">
        <v>1</v>
      </c>
      <c r="AD644">
        <v>850</v>
      </c>
      <c r="AE644">
        <v>1</v>
      </c>
      <c r="AF644">
        <v>1</v>
      </c>
      <c r="AG644">
        <v>0</v>
      </c>
      <c r="AH644">
        <v>0</v>
      </c>
      <c r="AI644">
        <v>0</v>
      </c>
      <c r="AO644">
        <v>4</v>
      </c>
      <c r="AP644">
        <v>6</v>
      </c>
      <c r="AQ644">
        <v>629.6</v>
      </c>
      <c r="AT644">
        <v>762</v>
      </c>
      <c r="AU644">
        <v>18.32</v>
      </c>
      <c r="AW644" t="s">
        <v>294</v>
      </c>
      <c r="AX644" t="s">
        <v>150</v>
      </c>
    </row>
    <row r="645" spans="1:50" x14ac:dyDescent="0.45">
      <c r="A645">
        <v>10644</v>
      </c>
      <c r="B645">
        <v>1</v>
      </c>
      <c r="C645">
        <v>62</v>
      </c>
      <c r="D645">
        <v>2</v>
      </c>
      <c r="E645">
        <v>0</v>
      </c>
      <c r="F645">
        <v>0</v>
      </c>
      <c r="G645">
        <v>0</v>
      </c>
      <c r="H645">
        <v>0</v>
      </c>
      <c r="I645">
        <v>0</v>
      </c>
      <c r="J645">
        <v>30</v>
      </c>
      <c r="K645">
        <v>0</v>
      </c>
      <c r="L645">
        <v>6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1</v>
      </c>
      <c r="W645">
        <v>1000</v>
      </c>
      <c r="X645">
        <v>70</v>
      </c>
      <c r="Y645">
        <v>0</v>
      </c>
      <c r="Z645">
        <v>1</v>
      </c>
      <c r="AA645">
        <v>0</v>
      </c>
      <c r="AB645">
        <v>0</v>
      </c>
      <c r="AC645">
        <v>1</v>
      </c>
      <c r="AD645">
        <v>850</v>
      </c>
      <c r="AE645">
        <v>1</v>
      </c>
      <c r="AF645">
        <v>1</v>
      </c>
      <c r="AG645">
        <v>0</v>
      </c>
      <c r="AH645">
        <v>0</v>
      </c>
      <c r="AI645">
        <v>0</v>
      </c>
      <c r="AO645">
        <v>4</v>
      </c>
      <c r="AP645">
        <v>7</v>
      </c>
      <c r="AQ645">
        <v>622.20000000000005</v>
      </c>
      <c r="AT645">
        <v>723</v>
      </c>
      <c r="AU645">
        <v>33.32</v>
      </c>
      <c r="AW645" t="s">
        <v>294</v>
      </c>
      <c r="AX645" t="s">
        <v>151</v>
      </c>
    </row>
    <row r="646" spans="1:50" x14ac:dyDescent="0.45">
      <c r="A646">
        <v>10645</v>
      </c>
      <c r="B646">
        <v>1</v>
      </c>
      <c r="C646">
        <v>60</v>
      </c>
      <c r="D646">
        <v>3</v>
      </c>
      <c r="E646">
        <v>0</v>
      </c>
      <c r="F646">
        <v>0</v>
      </c>
      <c r="G646">
        <v>0</v>
      </c>
      <c r="H646">
        <v>0</v>
      </c>
      <c r="I646">
        <v>0</v>
      </c>
      <c r="J646">
        <v>30</v>
      </c>
      <c r="K646">
        <v>0</v>
      </c>
      <c r="L646">
        <v>7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1</v>
      </c>
      <c r="W646">
        <v>1000</v>
      </c>
      <c r="X646">
        <v>70</v>
      </c>
      <c r="Y646">
        <v>0</v>
      </c>
      <c r="Z646">
        <v>1</v>
      </c>
      <c r="AA646">
        <v>0</v>
      </c>
      <c r="AB646">
        <v>0</v>
      </c>
      <c r="AC646">
        <v>1</v>
      </c>
      <c r="AD646">
        <v>850</v>
      </c>
      <c r="AE646">
        <v>1</v>
      </c>
      <c r="AF646">
        <v>1</v>
      </c>
      <c r="AG646">
        <v>0</v>
      </c>
      <c r="AH646">
        <v>0</v>
      </c>
      <c r="AI646">
        <v>0</v>
      </c>
      <c r="AO646">
        <v>4</v>
      </c>
      <c r="AP646">
        <v>8</v>
      </c>
      <c r="AQ646">
        <v>614.79999999999995</v>
      </c>
      <c r="AT646">
        <v>782</v>
      </c>
      <c r="AU646">
        <v>18.850000000000001</v>
      </c>
      <c r="AW646" t="s">
        <v>294</v>
      </c>
      <c r="AX646" t="s">
        <v>152</v>
      </c>
    </row>
    <row r="647" spans="1:50" x14ac:dyDescent="0.45">
      <c r="A647">
        <v>10646</v>
      </c>
      <c r="B647">
        <v>0</v>
      </c>
      <c r="C647">
        <v>88.05</v>
      </c>
      <c r="D647">
        <v>6.5</v>
      </c>
      <c r="E647">
        <v>0</v>
      </c>
      <c r="F647">
        <v>0</v>
      </c>
      <c r="G647">
        <v>0</v>
      </c>
      <c r="H647">
        <v>0</v>
      </c>
      <c r="I647">
        <v>0</v>
      </c>
      <c r="J647">
        <v>1.9</v>
      </c>
      <c r="K647">
        <v>0</v>
      </c>
      <c r="L647">
        <v>3.3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Y647">
        <v>1</v>
      </c>
      <c r="Z647">
        <v>0</v>
      </c>
      <c r="AA647">
        <v>0</v>
      </c>
      <c r="AB647">
        <v>0</v>
      </c>
      <c r="AC647">
        <v>0</v>
      </c>
      <c r="AI647">
        <v>0</v>
      </c>
      <c r="AO647">
        <v>-3.2</v>
      </c>
      <c r="AP647">
        <v>6.8166666666666664</v>
      </c>
      <c r="AQ647">
        <v>851.18999999999994</v>
      </c>
      <c r="AW647" t="s">
        <v>294</v>
      </c>
      <c r="AX647" t="s">
        <v>154</v>
      </c>
    </row>
    <row r="648" spans="1:50" x14ac:dyDescent="0.45">
      <c r="A648">
        <v>10647</v>
      </c>
      <c r="B648">
        <v>0</v>
      </c>
      <c r="C648">
        <v>88.05</v>
      </c>
      <c r="D648">
        <v>6.5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1.9</v>
      </c>
      <c r="K648">
        <v>0</v>
      </c>
      <c r="L648">
        <v>3.3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Y648">
        <v>1</v>
      </c>
      <c r="Z648">
        <v>0</v>
      </c>
      <c r="AA648">
        <v>0</v>
      </c>
      <c r="AB648">
        <v>0</v>
      </c>
      <c r="AC648">
        <v>1</v>
      </c>
      <c r="AD648">
        <v>530</v>
      </c>
      <c r="AE648">
        <v>6</v>
      </c>
      <c r="AF648">
        <v>0</v>
      </c>
      <c r="AG648">
        <v>1</v>
      </c>
      <c r="AH648">
        <v>0</v>
      </c>
      <c r="AI648">
        <v>0</v>
      </c>
      <c r="AO648">
        <v>-3.2</v>
      </c>
      <c r="AP648">
        <v>6.8166666666666664</v>
      </c>
      <c r="AQ648">
        <v>851.18999999999994</v>
      </c>
      <c r="AW648" t="s">
        <v>294</v>
      </c>
      <c r="AX648" t="s">
        <v>154</v>
      </c>
    </row>
    <row r="649" spans="1:50" x14ac:dyDescent="0.45">
      <c r="A649">
        <v>10648</v>
      </c>
      <c r="B649">
        <v>0</v>
      </c>
      <c r="C649">
        <v>88.05</v>
      </c>
      <c r="D649">
        <v>6.5</v>
      </c>
      <c r="E649">
        <v>0</v>
      </c>
      <c r="F649">
        <v>0</v>
      </c>
      <c r="G649">
        <v>0</v>
      </c>
      <c r="H649">
        <v>0</v>
      </c>
      <c r="I649">
        <v>0</v>
      </c>
      <c r="J649">
        <v>1.9</v>
      </c>
      <c r="K649">
        <v>0</v>
      </c>
      <c r="L649">
        <v>3.3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Y649">
        <v>1</v>
      </c>
      <c r="Z649">
        <v>0</v>
      </c>
      <c r="AA649">
        <v>0</v>
      </c>
      <c r="AB649">
        <v>0</v>
      </c>
      <c r="AC649">
        <v>1</v>
      </c>
      <c r="AD649">
        <v>700</v>
      </c>
      <c r="AE649">
        <v>6</v>
      </c>
      <c r="AF649">
        <v>0</v>
      </c>
      <c r="AG649">
        <v>1</v>
      </c>
      <c r="AH649">
        <v>0</v>
      </c>
      <c r="AI649">
        <v>0</v>
      </c>
      <c r="AO649">
        <v>-3.2</v>
      </c>
      <c r="AP649">
        <v>6.8166666666666664</v>
      </c>
      <c r="AQ649">
        <v>851.18999999999994</v>
      </c>
      <c r="AW649" t="s">
        <v>295</v>
      </c>
      <c r="AX649" t="s">
        <v>154</v>
      </c>
    </row>
    <row r="650" spans="1:50" x14ac:dyDescent="0.45">
      <c r="A650">
        <v>10649</v>
      </c>
      <c r="B650">
        <v>0</v>
      </c>
      <c r="C650">
        <v>88.05</v>
      </c>
      <c r="D650">
        <v>6.5</v>
      </c>
      <c r="E650">
        <v>0</v>
      </c>
      <c r="F650">
        <v>0</v>
      </c>
      <c r="G650">
        <v>0</v>
      </c>
      <c r="H650">
        <v>0</v>
      </c>
      <c r="I650">
        <v>0</v>
      </c>
      <c r="J650">
        <v>1.9</v>
      </c>
      <c r="K650">
        <v>0</v>
      </c>
      <c r="L650">
        <v>3.3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Y650">
        <v>1</v>
      </c>
      <c r="Z650">
        <v>0</v>
      </c>
      <c r="AA650">
        <v>0</v>
      </c>
      <c r="AB650">
        <v>0</v>
      </c>
      <c r="AC650">
        <v>1</v>
      </c>
      <c r="AD650">
        <v>960</v>
      </c>
      <c r="AE650">
        <v>1</v>
      </c>
      <c r="AF650">
        <v>0</v>
      </c>
      <c r="AG650">
        <v>1</v>
      </c>
      <c r="AH650">
        <v>0</v>
      </c>
      <c r="AI650">
        <v>0</v>
      </c>
      <c r="AO650">
        <v>-3.2</v>
      </c>
      <c r="AP650">
        <v>6.8166666666666664</v>
      </c>
      <c r="AQ650">
        <v>851.18999999999994</v>
      </c>
      <c r="AW650" t="s">
        <v>296</v>
      </c>
      <c r="AX650" t="s">
        <v>154</v>
      </c>
    </row>
    <row r="651" spans="1:50" x14ac:dyDescent="0.45">
      <c r="A651">
        <v>10650</v>
      </c>
      <c r="B651">
        <v>0</v>
      </c>
      <c r="C651">
        <v>88.05</v>
      </c>
      <c r="D651">
        <v>6.5</v>
      </c>
      <c r="E651">
        <v>0</v>
      </c>
      <c r="F651">
        <v>0</v>
      </c>
      <c r="G651">
        <v>0</v>
      </c>
      <c r="H651">
        <v>0</v>
      </c>
      <c r="I651">
        <v>0</v>
      </c>
      <c r="J651">
        <v>1.9</v>
      </c>
      <c r="K651">
        <v>0</v>
      </c>
      <c r="L651">
        <v>3.3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Y651">
        <v>1</v>
      </c>
      <c r="Z651">
        <v>0</v>
      </c>
      <c r="AA651">
        <v>0</v>
      </c>
      <c r="AB651">
        <v>0</v>
      </c>
      <c r="AC651">
        <v>1</v>
      </c>
      <c r="AD651">
        <v>960</v>
      </c>
      <c r="AE651">
        <v>1</v>
      </c>
      <c r="AF651">
        <v>1</v>
      </c>
      <c r="AG651">
        <v>0</v>
      </c>
      <c r="AH651">
        <v>0</v>
      </c>
      <c r="AI651">
        <v>0</v>
      </c>
      <c r="AO651">
        <v>-3.2</v>
      </c>
      <c r="AP651">
        <v>6.8166666666666664</v>
      </c>
      <c r="AQ651">
        <v>851.18999999999994</v>
      </c>
      <c r="AW651" t="s">
        <v>297</v>
      </c>
      <c r="AX651" t="s">
        <v>154</v>
      </c>
    </row>
    <row r="652" spans="1:50" x14ac:dyDescent="0.45">
      <c r="A652">
        <v>10651</v>
      </c>
      <c r="B652">
        <v>0</v>
      </c>
      <c r="C652">
        <v>88.05</v>
      </c>
      <c r="D652">
        <v>6.5</v>
      </c>
      <c r="E652">
        <v>0</v>
      </c>
      <c r="F652">
        <v>0</v>
      </c>
      <c r="G652">
        <v>0</v>
      </c>
      <c r="H652">
        <v>0</v>
      </c>
      <c r="I652">
        <v>0</v>
      </c>
      <c r="J652">
        <v>1.9</v>
      </c>
      <c r="K652">
        <v>0</v>
      </c>
      <c r="L652">
        <v>3.3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Y652">
        <v>1</v>
      </c>
      <c r="Z652">
        <v>0</v>
      </c>
      <c r="AA652">
        <v>0</v>
      </c>
      <c r="AB652">
        <v>0</v>
      </c>
      <c r="AC652">
        <v>1</v>
      </c>
      <c r="AD652">
        <v>960</v>
      </c>
      <c r="AE652">
        <v>24</v>
      </c>
      <c r="AF652">
        <v>0</v>
      </c>
      <c r="AG652">
        <v>1</v>
      </c>
      <c r="AH652">
        <v>0</v>
      </c>
      <c r="AI652">
        <v>0</v>
      </c>
      <c r="AO652">
        <v>-3.2</v>
      </c>
      <c r="AP652">
        <v>6.8166666666666664</v>
      </c>
      <c r="AQ652">
        <v>851.18999999999994</v>
      </c>
      <c r="AW652" t="s">
        <v>298</v>
      </c>
      <c r="AX652" t="s">
        <v>154</v>
      </c>
    </row>
    <row r="653" spans="1:50" x14ac:dyDescent="0.45">
      <c r="A653">
        <v>10652</v>
      </c>
      <c r="B653">
        <v>1</v>
      </c>
      <c r="C653">
        <v>88.2</v>
      </c>
      <c r="D653">
        <v>6.5</v>
      </c>
      <c r="E653">
        <v>0</v>
      </c>
      <c r="F653">
        <v>0</v>
      </c>
      <c r="G653">
        <v>0</v>
      </c>
      <c r="H653">
        <v>0</v>
      </c>
      <c r="I653">
        <v>0</v>
      </c>
      <c r="J653">
        <v>1.5</v>
      </c>
      <c r="K653">
        <v>0</v>
      </c>
      <c r="L653">
        <v>3.5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Y653">
        <v>1</v>
      </c>
      <c r="Z653">
        <v>0</v>
      </c>
      <c r="AA653">
        <v>0</v>
      </c>
      <c r="AB653">
        <v>0</v>
      </c>
      <c r="AC653">
        <v>1</v>
      </c>
      <c r="AD653">
        <v>940</v>
      </c>
      <c r="AE653">
        <v>1</v>
      </c>
      <c r="AF653">
        <v>0</v>
      </c>
      <c r="AG653">
        <v>1</v>
      </c>
      <c r="AH653">
        <v>0</v>
      </c>
      <c r="AI653">
        <v>1</v>
      </c>
      <c r="AJ653">
        <v>530</v>
      </c>
      <c r="AK653">
        <v>6</v>
      </c>
      <c r="AL653">
        <v>0</v>
      </c>
      <c r="AM653">
        <v>1</v>
      </c>
      <c r="AN653">
        <v>0</v>
      </c>
      <c r="AO653">
        <v>-3</v>
      </c>
      <c r="AP653">
        <v>6.75</v>
      </c>
      <c r="AQ653">
        <v>852.05</v>
      </c>
      <c r="AU653">
        <v>17.673300000000001</v>
      </c>
      <c r="AW653" t="s">
        <v>299</v>
      </c>
      <c r="AX653" t="s">
        <v>108</v>
      </c>
    </row>
    <row r="654" spans="1:50" x14ac:dyDescent="0.45">
      <c r="A654">
        <v>10653</v>
      </c>
      <c r="B654">
        <v>1</v>
      </c>
      <c r="C654">
        <v>88.2</v>
      </c>
      <c r="D654">
        <v>6.5</v>
      </c>
      <c r="E654">
        <v>0</v>
      </c>
      <c r="F654">
        <v>0</v>
      </c>
      <c r="G654">
        <v>0</v>
      </c>
      <c r="H654">
        <v>0</v>
      </c>
      <c r="I654">
        <v>0</v>
      </c>
      <c r="J654">
        <v>1.5</v>
      </c>
      <c r="K654">
        <v>0</v>
      </c>
      <c r="L654">
        <v>3.5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Y654">
        <v>1</v>
      </c>
      <c r="Z654">
        <v>0</v>
      </c>
      <c r="AA654">
        <v>0</v>
      </c>
      <c r="AB654">
        <v>0</v>
      </c>
      <c r="AC654">
        <v>1</v>
      </c>
      <c r="AD654">
        <v>940</v>
      </c>
      <c r="AE654">
        <v>1</v>
      </c>
      <c r="AF654">
        <v>1</v>
      </c>
      <c r="AG654">
        <v>0</v>
      </c>
      <c r="AH654">
        <v>0</v>
      </c>
      <c r="AI654">
        <v>1</v>
      </c>
      <c r="AJ654">
        <v>530</v>
      </c>
      <c r="AK654">
        <v>6</v>
      </c>
      <c r="AL654">
        <v>0</v>
      </c>
      <c r="AM654">
        <v>1</v>
      </c>
      <c r="AN654">
        <v>0</v>
      </c>
      <c r="AO654">
        <v>-3</v>
      </c>
      <c r="AP654">
        <v>6.75</v>
      </c>
      <c r="AQ654">
        <v>852.05</v>
      </c>
      <c r="AU654">
        <v>7.1818299999999997</v>
      </c>
      <c r="AW654" t="s">
        <v>300</v>
      </c>
      <c r="AX654" t="s">
        <v>108</v>
      </c>
    </row>
    <row r="655" spans="1:50" x14ac:dyDescent="0.45">
      <c r="A655">
        <v>10654</v>
      </c>
      <c r="B655">
        <v>1</v>
      </c>
      <c r="C655">
        <v>88.2</v>
      </c>
      <c r="D655">
        <v>6.5</v>
      </c>
      <c r="E655">
        <v>0</v>
      </c>
      <c r="F655">
        <v>0</v>
      </c>
      <c r="G655">
        <v>0</v>
      </c>
      <c r="H655">
        <v>0</v>
      </c>
      <c r="I655">
        <v>0</v>
      </c>
      <c r="J655">
        <v>1.5</v>
      </c>
      <c r="K655">
        <v>0</v>
      </c>
      <c r="L655">
        <v>3.5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Y655">
        <v>1</v>
      </c>
      <c r="Z655">
        <v>0</v>
      </c>
      <c r="AA655">
        <v>0</v>
      </c>
      <c r="AB655">
        <v>0</v>
      </c>
      <c r="AC655">
        <v>1</v>
      </c>
      <c r="AD655">
        <v>960</v>
      </c>
      <c r="AE655">
        <v>1</v>
      </c>
      <c r="AF655">
        <v>0</v>
      </c>
      <c r="AG655">
        <v>1</v>
      </c>
      <c r="AH655">
        <v>0</v>
      </c>
      <c r="AI655">
        <v>1</v>
      </c>
      <c r="AJ655">
        <v>530</v>
      </c>
      <c r="AK655">
        <v>6</v>
      </c>
      <c r="AL655">
        <v>0</v>
      </c>
      <c r="AM655">
        <v>1</v>
      </c>
      <c r="AN655">
        <v>0</v>
      </c>
      <c r="AO655">
        <v>-3</v>
      </c>
      <c r="AP655">
        <v>6.75</v>
      </c>
      <c r="AQ655">
        <v>852.05</v>
      </c>
      <c r="AU655">
        <v>15.350300000000001</v>
      </c>
      <c r="AX655" t="s">
        <v>108</v>
      </c>
    </row>
    <row r="656" spans="1:50" x14ac:dyDescent="0.45">
      <c r="A656">
        <v>10655</v>
      </c>
      <c r="B656">
        <v>1</v>
      </c>
      <c r="C656">
        <v>88.2</v>
      </c>
      <c r="D656">
        <v>6.5</v>
      </c>
      <c r="E656">
        <v>0</v>
      </c>
      <c r="F656">
        <v>0</v>
      </c>
      <c r="G656">
        <v>0</v>
      </c>
      <c r="H656">
        <v>0</v>
      </c>
      <c r="I656">
        <v>0</v>
      </c>
      <c r="J656">
        <v>1.5</v>
      </c>
      <c r="K656">
        <v>0</v>
      </c>
      <c r="L656">
        <v>3.5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Y656">
        <v>1</v>
      </c>
      <c r="Z656">
        <v>0</v>
      </c>
      <c r="AA656">
        <v>0</v>
      </c>
      <c r="AB656">
        <v>0</v>
      </c>
      <c r="AC656">
        <v>1</v>
      </c>
      <c r="AD656">
        <v>960</v>
      </c>
      <c r="AE656">
        <v>1</v>
      </c>
      <c r="AF656">
        <v>0</v>
      </c>
      <c r="AG656">
        <v>1</v>
      </c>
      <c r="AH656">
        <v>0</v>
      </c>
      <c r="AI656">
        <v>1</v>
      </c>
      <c r="AJ656">
        <v>530</v>
      </c>
      <c r="AK656">
        <v>6</v>
      </c>
      <c r="AL656">
        <v>0</v>
      </c>
      <c r="AM656">
        <v>1</v>
      </c>
      <c r="AN656">
        <v>0</v>
      </c>
      <c r="AO656">
        <v>-3</v>
      </c>
      <c r="AP656">
        <v>6.75</v>
      </c>
      <c r="AQ656">
        <v>852.05</v>
      </c>
      <c r="AU656">
        <v>15.9556</v>
      </c>
      <c r="AX656" t="s">
        <v>108</v>
      </c>
    </row>
    <row r="657" spans="1:50" x14ac:dyDescent="0.45">
      <c r="A657">
        <v>10656</v>
      </c>
      <c r="B657">
        <v>1</v>
      </c>
      <c r="C657">
        <v>88.2</v>
      </c>
      <c r="D657">
        <v>6.5</v>
      </c>
      <c r="E657">
        <v>0</v>
      </c>
      <c r="F657">
        <v>0</v>
      </c>
      <c r="G657">
        <v>0</v>
      </c>
      <c r="H657">
        <v>0</v>
      </c>
      <c r="I657">
        <v>0</v>
      </c>
      <c r="J657">
        <v>1.5</v>
      </c>
      <c r="K657">
        <v>0</v>
      </c>
      <c r="L657">
        <v>3.5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Y657">
        <v>1</v>
      </c>
      <c r="Z657">
        <v>0</v>
      </c>
      <c r="AA657">
        <v>0</v>
      </c>
      <c r="AB657">
        <v>0</v>
      </c>
      <c r="AC657">
        <v>1</v>
      </c>
      <c r="AD657">
        <v>960</v>
      </c>
      <c r="AE657">
        <v>1</v>
      </c>
      <c r="AF657">
        <v>1</v>
      </c>
      <c r="AG657">
        <v>0</v>
      </c>
      <c r="AH657">
        <v>0</v>
      </c>
      <c r="AI657">
        <v>1</v>
      </c>
      <c r="AJ657">
        <v>530</v>
      </c>
      <c r="AK657">
        <v>6</v>
      </c>
      <c r="AL657">
        <v>0</v>
      </c>
      <c r="AM657">
        <v>1</v>
      </c>
      <c r="AN657">
        <v>0</v>
      </c>
      <c r="AO657">
        <v>-3</v>
      </c>
      <c r="AP657">
        <v>6.75</v>
      </c>
      <c r="AQ657">
        <v>852.05</v>
      </c>
      <c r="AU657">
        <v>6.68804</v>
      </c>
      <c r="AX657" t="s">
        <v>108</v>
      </c>
    </row>
    <row r="658" spans="1:50" x14ac:dyDescent="0.45">
      <c r="A658">
        <v>10657</v>
      </c>
      <c r="B658">
        <v>1</v>
      </c>
      <c r="C658">
        <v>88.2</v>
      </c>
      <c r="D658">
        <v>6.5</v>
      </c>
      <c r="E658">
        <v>0</v>
      </c>
      <c r="F658">
        <v>0</v>
      </c>
      <c r="G658">
        <v>0</v>
      </c>
      <c r="H658">
        <v>0</v>
      </c>
      <c r="I658">
        <v>0</v>
      </c>
      <c r="J658">
        <v>1.5</v>
      </c>
      <c r="K658">
        <v>0</v>
      </c>
      <c r="L658">
        <v>3.5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Y658">
        <v>1</v>
      </c>
      <c r="Z658">
        <v>0</v>
      </c>
      <c r="AA658">
        <v>0</v>
      </c>
      <c r="AB658">
        <v>0</v>
      </c>
      <c r="AC658">
        <v>1</v>
      </c>
      <c r="AD658">
        <v>980</v>
      </c>
      <c r="AE658">
        <v>1</v>
      </c>
      <c r="AF658">
        <v>0</v>
      </c>
      <c r="AG658">
        <v>1</v>
      </c>
      <c r="AH658">
        <v>0</v>
      </c>
      <c r="AI658">
        <v>1</v>
      </c>
      <c r="AJ658">
        <v>530</v>
      </c>
      <c r="AK658">
        <v>6</v>
      </c>
      <c r="AL658">
        <v>0</v>
      </c>
      <c r="AM658">
        <v>1</v>
      </c>
      <c r="AN658">
        <v>0</v>
      </c>
      <c r="AO658">
        <v>-3</v>
      </c>
      <c r="AP658">
        <v>6.75</v>
      </c>
      <c r="AQ658">
        <v>852.05</v>
      </c>
      <c r="AU658">
        <v>15.8582</v>
      </c>
      <c r="AX658" t="s">
        <v>108</v>
      </c>
    </row>
    <row r="659" spans="1:50" x14ac:dyDescent="0.45">
      <c r="A659">
        <v>10658</v>
      </c>
      <c r="B659">
        <v>1</v>
      </c>
      <c r="C659">
        <v>88.2</v>
      </c>
      <c r="D659">
        <v>6.5</v>
      </c>
      <c r="E659">
        <v>0</v>
      </c>
      <c r="F659">
        <v>0</v>
      </c>
      <c r="G659">
        <v>0</v>
      </c>
      <c r="H659">
        <v>0</v>
      </c>
      <c r="I659">
        <v>0</v>
      </c>
      <c r="J659">
        <v>1.5</v>
      </c>
      <c r="K659">
        <v>0</v>
      </c>
      <c r="L659">
        <v>3.5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Y659">
        <v>1</v>
      </c>
      <c r="Z659">
        <v>0</v>
      </c>
      <c r="AA659">
        <v>0</v>
      </c>
      <c r="AB659">
        <v>0</v>
      </c>
      <c r="AC659">
        <v>1</v>
      </c>
      <c r="AD659">
        <v>960</v>
      </c>
      <c r="AE659">
        <v>1</v>
      </c>
      <c r="AF659">
        <v>0</v>
      </c>
      <c r="AG659">
        <v>1</v>
      </c>
      <c r="AH659">
        <v>0</v>
      </c>
      <c r="AI659">
        <v>1</v>
      </c>
      <c r="AJ659">
        <v>530</v>
      </c>
      <c r="AK659">
        <v>1</v>
      </c>
      <c r="AL659">
        <v>0</v>
      </c>
      <c r="AM659">
        <v>1</v>
      </c>
      <c r="AN659">
        <v>0</v>
      </c>
      <c r="AO659">
        <v>-3</v>
      </c>
      <c r="AP659">
        <v>6.75</v>
      </c>
      <c r="AQ659">
        <v>852.05</v>
      </c>
      <c r="AU659">
        <v>16.339600000000001</v>
      </c>
      <c r="AX659" t="s">
        <v>108</v>
      </c>
    </row>
    <row r="660" spans="1:50" x14ac:dyDescent="0.45">
      <c r="A660">
        <v>10659</v>
      </c>
      <c r="B660">
        <v>1</v>
      </c>
      <c r="C660">
        <v>88.2</v>
      </c>
      <c r="D660">
        <v>6.5</v>
      </c>
      <c r="E660">
        <v>0</v>
      </c>
      <c r="F660">
        <v>0</v>
      </c>
      <c r="G660">
        <v>0</v>
      </c>
      <c r="H660">
        <v>0</v>
      </c>
      <c r="I660">
        <v>0</v>
      </c>
      <c r="J660">
        <v>1.5</v>
      </c>
      <c r="K660">
        <v>0</v>
      </c>
      <c r="L660">
        <v>3.5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Y660">
        <v>1</v>
      </c>
      <c r="Z660">
        <v>0</v>
      </c>
      <c r="AA660">
        <v>0</v>
      </c>
      <c r="AB660">
        <v>0</v>
      </c>
      <c r="AC660">
        <v>1</v>
      </c>
      <c r="AD660">
        <v>960</v>
      </c>
      <c r="AE660">
        <v>1</v>
      </c>
      <c r="AF660">
        <v>0</v>
      </c>
      <c r="AG660">
        <v>1</v>
      </c>
      <c r="AH660">
        <v>0</v>
      </c>
      <c r="AI660">
        <v>1</v>
      </c>
      <c r="AJ660">
        <v>530</v>
      </c>
      <c r="AK660">
        <v>2</v>
      </c>
      <c r="AL660">
        <v>0</v>
      </c>
      <c r="AM660">
        <v>1</v>
      </c>
      <c r="AN660">
        <v>0</v>
      </c>
      <c r="AO660">
        <v>-3</v>
      </c>
      <c r="AP660">
        <v>6.75</v>
      </c>
      <c r="AQ660">
        <v>852.05</v>
      </c>
      <c r="AU660">
        <v>18.302</v>
      </c>
      <c r="AX660" t="s">
        <v>108</v>
      </c>
    </row>
    <row r="661" spans="1:50" x14ac:dyDescent="0.45">
      <c r="A661">
        <v>10660</v>
      </c>
      <c r="B661">
        <v>1</v>
      </c>
      <c r="C661">
        <v>88.2</v>
      </c>
      <c r="D661">
        <v>6.5</v>
      </c>
      <c r="E661">
        <v>0</v>
      </c>
      <c r="F661">
        <v>0</v>
      </c>
      <c r="G661">
        <v>0</v>
      </c>
      <c r="H661">
        <v>0</v>
      </c>
      <c r="I661">
        <v>0</v>
      </c>
      <c r="J661">
        <v>1.5</v>
      </c>
      <c r="K661">
        <v>0</v>
      </c>
      <c r="L661">
        <v>3.5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Y661">
        <v>1</v>
      </c>
      <c r="Z661">
        <v>0</v>
      </c>
      <c r="AA661">
        <v>0</v>
      </c>
      <c r="AB661">
        <v>0</v>
      </c>
      <c r="AC661">
        <v>1</v>
      </c>
      <c r="AD661">
        <v>960</v>
      </c>
      <c r="AE661">
        <v>1</v>
      </c>
      <c r="AF661">
        <v>0</v>
      </c>
      <c r="AG661">
        <v>1</v>
      </c>
      <c r="AH661">
        <v>0</v>
      </c>
      <c r="AI661">
        <v>1</v>
      </c>
      <c r="AJ661">
        <v>530</v>
      </c>
      <c r="AK661">
        <v>4</v>
      </c>
      <c r="AL661">
        <v>0</v>
      </c>
      <c r="AM661">
        <v>1</v>
      </c>
      <c r="AN661">
        <v>0</v>
      </c>
      <c r="AO661">
        <v>-3</v>
      </c>
      <c r="AP661">
        <v>6.75</v>
      </c>
      <c r="AQ661">
        <v>852.05</v>
      </c>
      <c r="AU661">
        <v>16.680900000000001</v>
      </c>
      <c r="AX661" t="s">
        <v>108</v>
      </c>
    </row>
    <row r="662" spans="1:50" x14ac:dyDescent="0.45">
      <c r="A662">
        <v>10661</v>
      </c>
      <c r="B662">
        <v>1</v>
      </c>
      <c r="C662">
        <v>88.2</v>
      </c>
      <c r="D662">
        <v>6.5</v>
      </c>
      <c r="E662">
        <v>0</v>
      </c>
      <c r="F662">
        <v>0</v>
      </c>
      <c r="G662">
        <v>0</v>
      </c>
      <c r="H662">
        <v>0</v>
      </c>
      <c r="I662">
        <v>0</v>
      </c>
      <c r="J662">
        <v>1.5</v>
      </c>
      <c r="K662">
        <v>0</v>
      </c>
      <c r="L662">
        <v>3.5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Y662">
        <v>1</v>
      </c>
      <c r="Z662">
        <v>0</v>
      </c>
      <c r="AA662">
        <v>0</v>
      </c>
      <c r="AB662">
        <v>0</v>
      </c>
      <c r="AC662">
        <v>1</v>
      </c>
      <c r="AD662">
        <v>960</v>
      </c>
      <c r="AE662">
        <v>1</v>
      </c>
      <c r="AF662">
        <v>0</v>
      </c>
      <c r="AG662">
        <v>1</v>
      </c>
      <c r="AH662">
        <v>0</v>
      </c>
      <c r="AI662">
        <v>1</v>
      </c>
      <c r="AJ662">
        <v>530</v>
      </c>
      <c r="AK662">
        <v>12</v>
      </c>
      <c r="AL662">
        <v>0</v>
      </c>
      <c r="AM662">
        <v>1</v>
      </c>
      <c r="AN662">
        <v>0</v>
      </c>
      <c r="AO662">
        <v>-3</v>
      </c>
      <c r="AP662">
        <v>6.75</v>
      </c>
      <c r="AQ662">
        <v>852.05</v>
      </c>
      <c r="AU662">
        <v>15.4863</v>
      </c>
      <c r="AX662" t="s">
        <v>108</v>
      </c>
    </row>
    <row r="663" spans="1:50" x14ac:dyDescent="0.45">
      <c r="A663">
        <v>10662</v>
      </c>
      <c r="B663">
        <v>1</v>
      </c>
      <c r="C663">
        <v>88.2</v>
      </c>
      <c r="D663">
        <v>6.5</v>
      </c>
      <c r="E663">
        <v>0</v>
      </c>
      <c r="F663">
        <v>0</v>
      </c>
      <c r="G663">
        <v>0</v>
      </c>
      <c r="H663">
        <v>0</v>
      </c>
      <c r="I663">
        <v>0</v>
      </c>
      <c r="J663">
        <v>1.5</v>
      </c>
      <c r="K663">
        <v>0</v>
      </c>
      <c r="L663">
        <v>3.5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Y663">
        <v>1</v>
      </c>
      <c r="Z663">
        <v>0</v>
      </c>
      <c r="AA663">
        <v>0</v>
      </c>
      <c r="AB663">
        <v>0</v>
      </c>
      <c r="AC663">
        <v>1</v>
      </c>
      <c r="AD663">
        <v>960</v>
      </c>
      <c r="AE663">
        <v>1</v>
      </c>
      <c r="AF663">
        <v>0</v>
      </c>
      <c r="AG663">
        <v>1</v>
      </c>
      <c r="AH663">
        <v>0</v>
      </c>
      <c r="AI663">
        <v>1</v>
      </c>
      <c r="AJ663">
        <v>530</v>
      </c>
      <c r="AK663">
        <v>24</v>
      </c>
      <c r="AL663">
        <v>0</v>
      </c>
      <c r="AM663">
        <v>1</v>
      </c>
      <c r="AN663">
        <v>0</v>
      </c>
      <c r="AO663">
        <v>-3</v>
      </c>
      <c r="AP663">
        <v>6.75</v>
      </c>
      <c r="AQ663">
        <v>852.05</v>
      </c>
      <c r="AU663">
        <v>16.382300000000001</v>
      </c>
      <c r="AX663" t="s">
        <v>108</v>
      </c>
    </row>
    <row r="664" spans="1:50" x14ac:dyDescent="0.45">
      <c r="A664">
        <v>10663</v>
      </c>
      <c r="B664">
        <v>1</v>
      </c>
      <c r="C664">
        <v>88.2</v>
      </c>
      <c r="D664">
        <v>6.5</v>
      </c>
      <c r="E664">
        <v>0</v>
      </c>
      <c r="F664">
        <v>0</v>
      </c>
      <c r="G664">
        <v>0</v>
      </c>
      <c r="H664">
        <v>0</v>
      </c>
      <c r="I664">
        <v>0</v>
      </c>
      <c r="J664">
        <v>1.5</v>
      </c>
      <c r="K664">
        <v>0</v>
      </c>
      <c r="L664">
        <v>3.5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Y664">
        <v>1</v>
      </c>
      <c r="Z664">
        <v>0</v>
      </c>
      <c r="AA664">
        <v>0</v>
      </c>
      <c r="AB664">
        <v>0</v>
      </c>
      <c r="AC664">
        <v>1</v>
      </c>
      <c r="AD664">
        <v>980</v>
      </c>
      <c r="AE664">
        <v>1</v>
      </c>
      <c r="AF664">
        <v>1</v>
      </c>
      <c r="AG664">
        <v>0</v>
      </c>
      <c r="AH664">
        <v>0</v>
      </c>
      <c r="AI664">
        <v>1</v>
      </c>
      <c r="AJ664">
        <v>700</v>
      </c>
      <c r="AK664">
        <v>6</v>
      </c>
      <c r="AL664">
        <v>0</v>
      </c>
      <c r="AM664">
        <v>1</v>
      </c>
      <c r="AN664">
        <v>0</v>
      </c>
      <c r="AO664">
        <v>-3</v>
      </c>
      <c r="AP664">
        <v>6.75</v>
      </c>
      <c r="AQ664">
        <v>852.05</v>
      </c>
      <c r="AS664">
        <v>1046</v>
      </c>
      <c r="AT664">
        <v>1217</v>
      </c>
      <c r="AU664">
        <v>10.656499999999999</v>
      </c>
      <c r="AX664" t="s">
        <v>108</v>
      </c>
    </row>
    <row r="665" spans="1:50" x14ac:dyDescent="0.45">
      <c r="A665">
        <v>10664</v>
      </c>
      <c r="B665">
        <v>1</v>
      </c>
      <c r="C665">
        <v>88.2</v>
      </c>
      <c r="D665">
        <v>6.5</v>
      </c>
      <c r="E665">
        <v>0</v>
      </c>
      <c r="F665">
        <v>0</v>
      </c>
      <c r="G665">
        <v>0</v>
      </c>
      <c r="H665">
        <v>0</v>
      </c>
      <c r="I665">
        <v>0</v>
      </c>
      <c r="J665">
        <v>1.5</v>
      </c>
      <c r="K665">
        <v>0</v>
      </c>
      <c r="L665">
        <v>3.5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Y665">
        <v>1</v>
      </c>
      <c r="Z665">
        <v>0</v>
      </c>
      <c r="AA665">
        <v>0</v>
      </c>
      <c r="AB665">
        <v>0</v>
      </c>
      <c r="AC665">
        <v>1</v>
      </c>
      <c r="AD665">
        <v>980</v>
      </c>
      <c r="AE665">
        <v>1</v>
      </c>
      <c r="AF665">
        <v>1</v>
      </c>
      <c r="AG665">
        <v>0</v>
      </c>
      <c r="AH665">
        <v>0</v>
      </c>
      <c r="AI665">
        <v>1</v>
      </c>
      <c r="AJ665">
        <v>750</v>
      </c>
      <c r="AK665">
        <v>6</v>
      </c>
      <c r="AL665">
        <v>0</v>
      </c>
      <c r="AM665">
        <v>1</v>
      </c>
      <c r="AN665">
        <v>0</v>
      </c>
      <c r="AO665">
        <v>-3</v>
      </c>
      <c r="AP665">
        <v>6.75</v>
      </c>
      <c r="AQ665">
        <v>852.05</v>
      </c>
      <c r="AS665">
        <v>1034</v>
      </c>
      <c r="AT665">
        <v>1095</v>
      </c>
      <c r="AU665">
        <v>13.5304</v>
      </c>
      <c r="AW665" t="s">
        <v>301</v>
      </c>
      <c r="AX665" t="s">
        <v>108</v>
      </c>
    </row>
    <row r="666" spans="1:50" x14ac:dyDescent="0.45">
      <c r="A666">
        <v>10665</v>
      </c>
      <c r="B666">
        <v>1</v>
      </c>
      <c r="C666">
        <v>88.2</v>
      </c>
      <c r="D666">
        <v>6.5</v>
      </c>
      <c r="E666">
        <v>0</v>
      </c>
      <c r="F666">
        <v>0</v>
      </c>
      <c r="G666">
        <v>0</v>
      </c>
      <c r="H666">
        <v>0</v>
      </c>
      <c r="I666">
        <v>0</v>
      </c>
      <c r="J666">
        <v>1.5</v>
      </c>
      <c r="K666">
        <v>0</v>
      </c>
      <c r="L666">
        <v>3.5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Y666">
        <v>1</v>
      </c>
      <c r="Z666">
        <v>0</v>
      </c>
      <c r="AA666">
        <v>0</v>
      </c>
      <c r="AB666">
        <v>0</v>
      </c>
      <c r="AC666">
        <v>1</v>
      </c>
      <c r="AD666">
        <v>980</v>
      </c>
      <c r="AE666">
        <v>1</v>
      </c>
      <c r="AF666">
        <v>1</v>
      </c>
      <c r="AG666">
        <v>0</v>
      </c>
      <c r="AH666">
        <v>0</v>
      </c>
      <c r="AI666">
        <v>1</v>
      </c>
      <c r="AJ666">
        <v>800</v>
      </c>
      <c r="AK666">
        <v>6</v>
      </c>
      <c r="AL666">
        <v>0</v>
      </c>
      <c r="AM666">
        <v>1</v>
      </c>
      <c r="AN666">
        <v>0</v>
      </c>
      <c r="AO666">
        <v>-3</v>
      </c>
      <c r="AP666">
        <v>6.75</v>
      </c>
      <c r="AQ666">
        <v>852.05</v>
      </c>
      <c r="AS666">
        <v>937</v>
      </c>
      <c r="AT666">
        <v>1008</v>
      </c>
      <c r="AU666">
        <v>15.642200000000001</v>
      </c>
      <c r="AW666" t="s">
        <v>302</v>
      </c>
      <c r="AX666" t="s">
        <v>108</v>
      </c>
    </row>
    <row r="667" spans="1:50" x14ac:dyDescent="0.45">
      <c r="A667">
        <v>10666</v>
      </c>
      <c r="B667">
        <v>1</v>
      </c>
      <c r="C667">
        <v>88.2</v>
      </c>
      <c r="D667">
        <v>6.5</v>
      </c>
      <c r="E667">
        <v>0</v>
      </c>
      <c r="F667">
        <v>0</v>
      </c>
      <c r="G667">
        <v>0</v>
      </c>
      <c r="H667">
        <v>0</v>
      </c>
      <c r="I667">
        <v>0</v>
      </c>
      <c r="J667">
        <v>1.5</v>
      </c>
      <c r="K667">
        <v>0</v>
      </c>
      <c r="L667">
        <v>3.5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Y667">
        <v>1</v>
      </c>
      <c r="Z667">
        <v>0</v>
      </c>
      <c r="AA667">
        <v>0</v>
      </c>
      <c r="AB667">
        <v>0</v>
      </c>
      <c r="AC667">
        <v>1</v>
      </c>
      <c r="AD667">
        <v>990</v>
      </c>
      <c r="AE667">
        <v>1</v>
      </c>
      <c r="AF667">
        <v>1</v>
      </c>
      <c r="AG667">
        <v>0</v>
      </c>
      <c r="AH667">
        <v>0</v>
      </c>
      <c r="AI667">
        <v>0</v>
      </c>
      <c r="AO667">
        <v>-3</v>
      </c>
      <c r="AP667">
        <v>6.75</v>
      </c>
      <c r="AQ667">
        <v>852.05</v>
      </c>
      <c r="AU667">
        <v>14.747299999999999</v>
      </c>
      <c r="AW667" t="s">
        <v>303</v>
      </c>
      <c r="AX667" t="s">
        <v>108</v>
      </c>
    </row>
    <row r="668" spans="1:50" x14ac:dyDescent="0.45">
      <c r="A668">
        <v>10667</v>
      </c>
      <c r="B668">
        <v>1</v>
      </c>
      <c r="C668">
        <v>88.2</v>
      </c>
      <c r="D668">
        <v>6.5</v>
      </c>
      <c r="E668">
        <v>0</v>
      </c>
      <c r="F668">
        <v>0</v>
      </c>
      <c r="G668">
        <v>0</v>
      </c>
      <c r="H668">
        <v>0</v>
      </c>
      <c r="I668">
        <v>0</v>
      </c>
      <c r="J668">
        <v>1.5</v>
      </c>
      <c r="K668">
        <v>0</v>
      </c>
      <c r="L668">
        <v>3.5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Y668">
        <v>1</v>
      </c>
      <c r="Z668">
        <v>0</v>
      </c>
      <c r="AA668">
        <v>0</v>
      </c>
      <c r="AB668">
        <v>0</v>
      </c>
      <c r="AC668">
        <v>1</v>
      </c>
      <c r="AD668">
        <v>990</v>
      </c>
      <c r="AE668">
        <v>1</v>
      </c>
      <c r="AF668">
        <v>1</v>
      </c>
      <c r="AG668">
        <v>0</v>
      </c>
      <c r="AH668">
        <v>0</v>
      </c>
      <c r="AI668">
        <v>0</v>
      </c>
      <c r="AO668">
        <v>-3</v>
      </c>
      <c r="AP668">
        <v>6.75</v>
      </c>
      <c r="AQ668">
        <v>852.05</v>
      </c>
      <c r="AU668">
        <v>16.362400000000001</v>
      </c>
      <c r="AX668" t="s">
        <v>108</v>
      </c>
    </row>
    <row r="669" spans="1:50" x14ac:dyDescent="0.45">
      <c r="A669">
        <v>10668</v>
      </c>
      <c r="B669">
        <v>1</v>
      </c>
      <c r="C669">
        <v>88.2</v>
      </c>
      <c r="D669">
        <v>6.5</v>
      </c>
      <c r="E669">
        <v>0</v>
      </c>
      <c r="F669">
        <v>0</v>
      </c>
      <c r="G669">
        <v>0</v>
      </c>
      <c r="H669">
        <v>0</v>
      </c>
      <c r="I669">
        <v>0</v>
      </c>
      <c r="J669">
        <v>1.5</v>
      </c>
      <c r="K669">
        <v>0</v>
      </c>
      <c r="L669">
        <v>3.5</v>
      </c>
      <c r="M669">
        <v>0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Y669">
        <v>1</v>
      </c>
      <c r="Z669">
        <v>0</v>
      </c>
      <c r="AA669">
        <v>0</v>
      </c>
      <c r="AB669">
        <v>0</v>
      </c>
      <c r="AC669">
        <v>1</v>
      </c>
      <c r="AD669">
        <v>990</v>
      </c>
      <c r="AE669">
        <v>1</v>
      </c>
      <c r="AF669">
        <v>1</v>
      </c>
      <c r="AG669">
        <v>0</v>
      </c>
      <c r="AH669">
        <v>0</v>
      </c>
      <c r="AI669">
        <v>0</v>
      </c>
      <c r="AO669">
        <v>-3</v>
      </c>
      <c r="AP669">
        <v>6.75</v>
      </c>
      <c r="AQ669">
        <v>852.05</v>
      </c>
      <c r="AU669">
        <v>17.0229</v>
      </c>
      <c r="AX669" t="s">
        <v>108</v>
      </c>
    </row>
    <row r="670" spans="1:50" x14ac:dyDescent="0.45">
      <c r="A670">
        <v>10669</v>
      </c>
      <c r="B670">
        <v>1</v>
      </c>
      <c r="C670">
        <v>88.2</v>
      </c>
      <c r="D670">
        <v>6.5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1.5</v>
      </c>
      <c r="K670">
        <v>0</v>
      </c>
      <c r="L670">
        <v>3.5</v>
      </c>
      <c r="M670">
        <v>0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Y670">
        <v>1</v>
      </c>
      <c r="Z670">
        <v>0</v>
      </c>
      <c r="AA670">
        <v>0</v>
      </c>
      <c r="AB670">
        <v>0</v>
      </c>
      <c r="AC670">
        <v>1</v>
      </c>
      <c r="AD670">
        <v>970</v>
      </c>
      <c r="AE670">
        <v>1</v>
      </c>
      <c r="AF670">
        <v>1</v>
      </c>
      <c r="AG670">
        <v>0</v>
      </c>
      <c r="AH670">
        <v>0</v>
      </c>
      <c r="AI670">
        <v>0</v>
      </c>
      <c r="AO670">
        <v>-3</v>
      </c>
      <c r="AP670">
        <v>6.75</v>
      </c>
      <c r="AQ670">
        <v>852.05</v>
      </c>
      <c r="AU670">
        <v>15.694800000000001</v>
      </c>
      <c r="AX670" t="s">
        <v>108</v>
      </c>
    </row>
    <row r="671" spans="1:50" x14ac:dyDescent="0.45">
      <c r="A671">
        <v>10670</v>
      </c>
      <c r="B671">
        <v>1</v>
      </c>
      <c r="C671">
        <v>88.2</v>
      </c>
      <c r="D671">
        <v>6.5</v>
      </c>
      <c r="E671">
        <v>0</v>
      </c>
      <c r="F671">
        <v>0</v>
      </c>
      <c r="G671">
        <v>0</v>
      </c>
      <c r="H671">
        <v>0</v>
      </c>
      <c r="I671">
        <v>0</v>
      </c>
      <c r="J671">
        <v>1.5</v>
      </c>
      <c r="K671">
        <v>0</v>
      </c>
      <c r="L671">
        <v>3.5</v>
      </c>
      <c r="M671">
        <v>0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Y671">
        <v>1</v>
      </c>
      <c r="Z671">
        <v>0</v>
      </c>
      <c r="AA671">
        <v>0</v>
      </c>
      <c r="AB671">
        <v>0</v>
      </c>
      <c r="AC671">
        <v>1</v>
      </c>
      <c r="AD671">
        <v>970</v>
      </c>
      <c r="AE671">
        <v>1</v>
      </c>
      <c r="AF671">
        <v>1</v>
      </c>
      <c r="AG671">
        <v>0</v>
      </c>
      <c r="AH671">
        <v>0</v>
      </c>
      <c r="AI671">
        <v>0</v>
      </c>
      <c r="AO671">
        <v>-3</v>
      </c>
      <c r="AP671">
        <v>6.75</v>
      </c>
      <c r="AQ671">
        <v>852.05</v>
      </c>
      <c r="AU671">
        <v>16.764399999999998</v>
      </c>
      <c r="AX671" t="s">
        <v>108</v>
      </c>
    </row>
    <row r="672" spans="1:50" x14ac:dyDescent="0.45">
      <c r="A672">
        <v>10671</v>
      </c>
      <c r="B672">
        <v>1</v>
      </c>
      <c r="C672">
        <v>88.2</v>
      </c>
      <c r="D672">
        <v>6.5</v>
      </c>
      <c r="E672">
        <v>0</v>
      </c>
      <c r="F672">
        <v>0</v>
      </c>
      <c r="G672">
        <v>0</v>
      </c>
      <c r="H672">
        <v>0</v>
      </c>
      <c r="I672">
        <v>0</v>
      </c>
      <c r="J672">
        <v>1.5</v>
      </c>
      <c r="K672">
        <v>0</v>
      </c>
      <c r="L672">
        <v>3.5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Y672">
        <v>1</v>
      </c>
      <c r="Z672">
        <v>0</v>
      </c>
      <c r="AA672">
        <v>0</v>
      </c>
      <c r="AB672">
        <v>0</v>
      </c>
      <c r="AC672">
        <v>1</v>
      </c>
      <c r="AD672">
        <v>970</v>
      </c>
      <c r="AE672">
        <v>1</v>
      </c>
      <c r="AF672">
        <v>1</v>
      </c>
      <c r="AG672">
        <v>0</v>
      </c>
      <c r="AH672">
        <v>0</v>
      </c>
      <c r="AI672">
        <v>0</v>
      </c>
      <c r="AO672">
        <v>-3</v>
      </c>
      <c r="AP672">
        <v>6.75</v>
      </c>
      <c r="AQ672">
        <v>852.05</v>
      </c>
      <c r="AU672">
        <v>17.355399999999999</v>
      </c>
      <c r="AX672" t="s">
        <v>108</v>
      </c>
    </row>
    <row r="673" spans="1:50" x14ac:dyDescent="0.45">
      <c r="A673">
        <v>10672</v>
      </c>
      <c r="B673">
        <v>0</v>
      </c>
      <c r="C673">
        <v>88.055000000000007</v>
      </c>
      <c r="D673">
        <v>5.87</v>
      </c>
      <c r="E673">
        <v>4.7699999999999996</v>
      </c>
      <c r="F673">
        <v>0</v>
      </c>
      <c r="G673">
        <v>0</v>
      </c>
      <c r="H673">
        <v>0</v>
      </c>
      <c r="I673">
        <v>0</v>
      </c>
      <c r="J673">
        <v>0</v>
      </c>
      <c r="K673">
        <v>0.56000000000000005</v>
      </c>
      <c r="L673">
        <v>0</v>
      </c>
      <c r="M673">
        <v>0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Y673">
        <v>1</v>
      </c>
      <c r="Z673">
        <v>0</v>
      </c>
      <c r="AA673">
        <v>0</v>
      </c>
      <c r="AB673">
        <v>0</v>
      </c>
      <c r="AC673">
        <v>1</v>
      </c>
      <c r="AD673">
        <v>700</v>
      </c>
      <c r="AE673">
        <v>1</v>
      </c>
      <c r="AF673">
        <v>0</v>
      </c>
      <c r="AG673">
        <v>1</v>
      </c>
      <c r="AH673">
        <v>0</v>
      </c>
      <c r="AI673">
        <v>0</v>
      </c>
      <c r="AO673">
        <v>-2.5173000000000001</v>
      </c>
      <c r="AP673">
        <v>5.87</v>
      </c>
      <c r="AQ673">
        <v>838.04099999999994</v>
      </c>
      <c r="AX673" t="s">
        <v>155</v>
      </c>
    </row>
    <row r="674" spans="1:50" x14ac:dyDescent="0.45">
      <c r="A674">
        <v>10673</v>
      </c>
      <c r="B674">
        <v>0</v>
      </c>
      <c r="C674">
        <v>88.055000000000007</v>
      </c>
      <c r="D674">
        <v>5.87</v>
      </c>
      <c r="E674">
        <v>4.7699999999999996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0.56000000000000005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Y674">
        <v>1</v>
      </c>
      <c r="Z674">
        <v>0</v>
      </c>
      <c r="AA674">
        <v>0</v>
      </c>
      <c r="AB674">
        <v>0</v>
      </c>
      <c r="AC674">
        <v>1</v>
      </c>
      <c r="AD674">
        <v>800</v>
      </c>
      <c r="AE674">
        <v>1</v>
      </c>
      <c r="AF674">
        <v>0</v>
      </c>
      <c r="AG674">
        <v>1</v>
      </c>
      <c r="AH674">
        <v>0</v>
      </c>
      <c r="AI674">
        <v>0</v>
      </c>
      <c r="AO674">
        <v>-2.5173000000000001</v>
      </c>
      <c r="AP674">
        <v>5.87</v>
      </c>
      <c r="AQ674">
        <v>838.04099999999994</v>
      </c>
      <c r="AX674" t="s">
        <v>155</v>
      </c>
    </row>
    <row r="675" spans="1:50" x14ac:dyDescent="0.45">
      <c r="A675">
        <v>10674</v>
      </c>
      <c r="B675">
        <v>0</v>
      </c>
      <c r="C675">
        <v>88.055000000000007</v>
      </c>
      <c r="D675">
        <v>5.87</v>
      </c>
      <c r="E675">
        <v>4.7699999999999996</v>
      </c>
      <c r="F675">
        <v>0</v>
      </c>
      <c r="G675">
        <v>0</v>
      </c>
      <c r="H675">
        <v>0</v>
      </c>
      <c r="I675">
        <v>0</v>
      </c>
      <c r="J675">
        <v>0</v>
      </c>
      <c r="K675">
        <v>0.56000000000000005</v>
      </c>
      <c r="L675">
        <v>0</v>
      </c>
      <c r="M675">
        <v>0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Y675">
        <v>1</v>
      </c>
      <c r="Z675">
        <v>0</v>
      </c>
      <c r="AA675">
        <v>0</v>
      </c>
      <c r="AB675">
        <v>0</v>
      </c>
      <c r="AC675">
        <v>1</v>
      </c>
      <c r="AD675">
        <v>900</v>
      </c>
      <c r="AE675">
        <v>1</v>
      </c>
      <c r="AF675">
        <v>0</v>
      </c>
      <c r="AG675">
        <v>1</v>
      </c>
      <c r="AH675">
        <v>0</v>
      </c>
      <c r="AI675">
        <v>0</v>
      </c>
      <c r="AO675">
        <v>-2.5173000000000001</v>
      </c>
      <c r="AP675">
        <v>5.87</v>
      </c>
      <c r="AQ675">
        <v>838.04099999999994</v>
      </c>
      <c r="AX675" t="s">
        <v>155</v>
      </c>
    </row>
    <row r="676" spans="1:50" x14ac:dyDescent="0.45">
      <c r="A676">
        <v>10675</v>
      </c>
      <c r="B676">
        <v>0</v>
      </c>
      <c r="C676">
        <v>88.055000000000007</v>
      </c>
      <c r="D676">
        <v>5.87</v>
      </c>
      <c r="E676">
        <v>4.7699999999999996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0.56000000000000005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Y676">
        <v>1</v>
      </c>
      <c r="Z676">
        <v>0</v>
      </c>
      <c r="AA676">
        <v>0</v>
      </c>
      <c r="AB676">
        <v>0</v>
      </c>
      <c r="AC676">
        <v>1</v>
      </c>
      <c r="AD676">
        <v>1000</v>
      </c>
      <c r="AE676">
        <v>1</v>
      </c>
      <c r="AF676">
        <v>0</v>
      </c>
      <c r="AG676">
        <v>1</v>
      </c>
      <c r="AH676">
        <v>0</v>
      </c>
      <c r="AI676">
        <v>0</v>
      </c>
      <c r="AO676">
        <v>-2.5173000000000001</v>
      </c>
      <c r="AP676">
        <v>5.87</v>
      </c>
      <c r="AQ676">
        <v>838.04099999999994</v>
      </c>
      <c r="AX676" t="s">
        <v>155</v>
      </c>
    </row>
    <row r="677" spans="1:50" x14ac:dyDescent="0.45">
      <c r="A677">
        <v>10676</v>
      </c>
      <c r="B677">
        <v>1</v>
      </c>
      <c r="C677">
        <v>86.19</v>
      </c>
      <c r="D677">
        <v>4.7</v>
      </c>
      <c r="E677">
        <v>0</v>
      </c>
      <c r="F677">
        <v>2.85</v>
      </c>
      <c r="G677">
        <v>0</v>
      </c>
      <c r="H677">
        <v>0</v>
      </c>
      <c r="I677">
        <v>0</v>
      </c>
      <c r="J677">
        <v>0</v>
      </c>
      <c r="K677">
        <v>0</v>
      </c>
      <c r="L677">
        <v>6.26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1</v>
      </c>
      <c r="Y677">
        <v>0</v>
      </c>
      <c r="Z677">
        <v>1</v>
      </c>
      <c r="AA677">
        <v>0</v>
      </c>
      <c r="AB677">
        <v>0</v>
      </c>
      <c r="AC677">
        <v>1</v>
      </c>
      <c r="AD677">
        <v>890</v>
      </c>
      <c r="AE677">
        <v>0.5</v>
      </c>
      <c r="AF677">
        <v>1</v>
      </c>
      <c r="AG677">
        <v>0</v>
      </c>
      <c r="AH677">
        <v>0</v>
      </c>
      <c r="AI677">
        <v>1</v>
      </c>
      <c r="AJ677">
        <v>760</v>
      </c>
      <c r="AK677">
        <v>0.5</v>
      </c>
      <c r="AL677">
        <v>1</v>
      </c>
      <c r="AM677">
        <v>0</v>
      </c>
      <c r="AN677">
        <v>0</v>
      </c>
      <c r="AO677">
        <v>6.12</v>
      </c>
      <c r="AP677">
        <v>4.7</v>
      </c>
      <c r="AQ677">
        <v>797.91499999999996</v>
      </c>
      <c r="AS677">
        <v>370.3</v>
      </c>
      <c r="AT677">
        <v>993.4</v>
      </c>
      <c r="AU677">
        <v>21.8</v>
      </c>
      <c r="AX677" t="s">
        <v>91</v>
      </c>
    </row>
    <row r="678" spans="1:50" x14ac:dyDescent="0.45">
      <c r="A678">
        <v>10677</v>
      </c>
      <c r="B678">
        <v>1</v>
      </c>
      <c r="C678">
        <v>86.19</v>
      </c>
      <c r="D678">
        <v>4.7</v>
      </c>
      <c r="E678">
        <v>0</v>
      </c>
      <c r="F678">
        <v>2.85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6.26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1</v>
      </c>
      <c r="Y678">
        <v>0</v>
      </c>
      <c r="Z678">
        <v>1</v>
      </c>
      <c r="AA678">
        <v>0</v>
      </c>
      <c r="AB678">
        <v>0</v>
      </c>
      <c r="AC678">
        <v>1</v>
      </c>
      <c r="AD678">
        <v>890</v>
      </c>
      <c r="AE678">
        <v>0.5</v>
      </c>
      <c r="AF678">
        <v>1</v>
      </c>
      <c r="AG678">
        <v>0</v>
      </c>
      <c r="AH678">
        <v>0</v>
      </c>
      <c r="AI678">
        <v>0</v>
      </c>
      <c r="AO678">
        <v>6.12</v>
      </c>
      <c r="AP678">
        <v>4.7</v>
      </c>
      <c r="AQ678">
        <v>797.91499999999996</v>
      </c>
      <c r="AS678">
        <v>343</v>
      </c>
      <c r="AT678">
        <v>1145.4000000000001</v>
      </c>
      <c r="AU678">
        <v>20.5</v>
      </c>
      <c r="AX678" t="s">
        <v>157</v>
      </c>
    </row>
    <row r="679" spans="1:50" x14ac:dyDescent="0.45">
      <c r="A679">
        <v>10678</v>
      </c>
      <c r="B679">
        <v>1</v>
      </c>
      <c r="C679">
        <v>86.19</v>
      </c>
      <c r="D679">
        <v>4.7</v>
      </c>
      <c r="E679">
        <v>0</v>
      </c>
      <c r="F679">
        <v>2.85</v>
      </c>
      <c r="G679">
        <v>0</v>
      </c>
      <c r="H679">
        <v>0</v>
      </c>
      <c r="I679">
        <v>0</v>
      </c>
      <c r="J679">
        <v>0</v>
      </c>
      <c r="K679">
        <v>0</v>
      </c>
      <c r="L679">
        <v>6.26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1</v>
      </c>
      <c r="Y679">
        <v>0</v>
      </c>
      <c r="Z679">
        <v>1</v>
      </c>
      <c r="AA679">
        <v>0</v>
      </c>
      <c r="AB679">
        <v>0</v>
      </c>
      <c r="AC679">
        <v>1</v>
      </c>
      <c r="AD679">
        <v>780</v>
      </c>
      <c r="AE679">
        <v>0.5</v>
      </c>
      <c r="AF679">
        <v>1</v>
      </c>
      <c r="AG679">
        <v>0</v>
      </c>
      <c r="AH679">
        <v>0</v>
      </c>
      <c r="AI679">
        <v>0</v>
      </c>
      <c r="AO679">
        <v>6.12</v>
      </c>
      <c r="AP679">
        <v>4.7</v>
      </c>
      <c r="AQ679">
        <v>797.91499999999996</v>
      </c>
      <c r="AS679">
        <v>937</v>
      </c>
      <c r="AT679">
        <v>1085.7</v>
      </c>
      <c r="AU679">
        <v>19.5</v>
      </c>
      <c r="AX679" t="s">
        <v>157</v>
      </c>
    </row>
    <row r="680" spans="1:50" x14ac:dyDescent="0.45">
      <c r="A680">
        <v>10679</v>
      </c>
      <c r="B680">
        <v>1</v>
      </c>
      <c r="C680">
        <v>74.63</v>
      </c>
      <c r="D680">
        <v>0</v>
      </c>
      <c r="E680">
        <v>0</v>
      </c>
      <c r="F680">
        <v>2.15</v>
      </c>
      <c r="G680">
        <v>0</v>
      </c>
      <c r="H680">
        <v>7.0000000000000009</v>
      </c>
      <c r="I680">
        <v>0</v>
      </c>
      <c r="J680">
        <v>0</v>
      </c>
      <c r="K680">
        <v>16.220000000000002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Y680">
        <v>1</v>
      </c>
      <c r="Z680">
        <v>0</v>
      </c>
      <c r="AA680">
        <v>0</v>
      </c>
      <c r="AB680">
        <v>0</v>
      </c>
      <c r="AC680">
        <v>0</v>
      </c>
      <c r="AI680">
        <v>0</v>
      </c>
      <c r="AO680">
        <v>28.281600000000001</v>
      </c>
      <c r="AP680">
        <v>0</v>
      </c>
      <c r="AQ680">
        <v>748.18499999999995</v>
      </c>
      <c r="AR680">
        <v>99</v>
      </c>
      <c r="AS680">
        <v>1097</v>
      </c>
      <c r="AX680" t="s">
        <v>60</v>
      </c>
    </row>
    <row r="681" spans="1:50" x14ac:dyDescent="0.45">
      <c r="A681">
        <v>10680</v>
      </c>
      <c r="B681">
        <v>1</v>
      </c>
      <c r="C681">
        <v>72.44</v>
      </c>
      <c r="D681">
        <v>0</v>
      </c>
      <c r="E681">
        <v>0</v>
      </c>
      <c r="F681">
        <v>4.3</v>
      </c>
      <c r="G681">
        <v>0</v>
      </c>
      <c r="H681">
        <v>7.01</v>
      </c>
      <c r="I681">
        <v>0</v>
      </c>
      <c r="J681">
        <v>0</v>
      </c>
      <c r="K681">
        <v>16.25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Y681">
        <v>1</v>
      </c>
      <c r="Z681">
        <v>0</v>
      </c>
      <c r="AA681">
        <v>0</v>
      </c>
      <c r="AB681">
        <v>0</v>
      </c>
      <c r="AC681">
        <v>0</v>
      </c>
      <c r="AI681">
        <v>0</v>
      </c>
      <c r="AO681">
        <v>31.758999999999997</v>
      </c>
      <c r="AP681">
        <v>0</v>
      </c>
      <c r="AQ681">
        <v>722.01600000000008</v>
      </c>
      <c r="AR681">
        <v>81</v>
      </c>
      <c r="AS681">
        <v>947</v>
      </c>
      <c r="AX681" t="s">
        <v>60</v>
      </c>
    </row>
    <row r="682" spans="1:50" x14ac:dyDescent="0.45">
      <c r="A682">
        <v>10681</v>
      </c>
      <c r="B682">
        <v>1</v>
      </c>
      <c r="C682">
        <v>70.23</v>
      </c>
      <c r="D682">
        <v>0</v>
      </c>
      <c r="E682">
        <v>0</v>
      </c>
      <c r="F682">
        <v>6.47</v>
      </c>
      <c r="G682">
        <v>0</v>
      </c>
      <c r="H682">
        <v>7.02</v>
      </c>
      <c r="I682">
        <v>0</v>
      </c>
      <c r="J682">
        <v>0</v>
      </c>
      <c r="K682">
        <v>16.28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Y682">
        <v>1</v>
      </c>
      <c r="Z682">
        <v>0</v>
      </c>
      <c r="AA682">
        <v>0</v>
      </c>
      <c r="AB682">
        <v>0</v>
      </c>
      <c r="AC682">
        <v>0</v>
      </c>
      <c r="AI682">
        <v>0</v>
      </c>
      <c r="AO682">
        <v>35.2684</v>
      </c>
      <c r="AP682">
        <v>0</v>
      </c>
      <c r="AQ682">
        <v>695.60500000000002</v>
      </c>
      <c r="AR682">
        <v>77</v>
      </c>
      <c r="AS682">
        <v>922</v>
      </c>
      <c r="AX682" t="s">
        <v>60</v>
      </c>
    </row>
    <row r="683" spans="1:50" x14ac:dyDescent="0.45">
      <c r="A683">
        <v>10682</v>
      </c>
      <c r="B683">
        <v>1</v>
      </c>
      <c r="C683">
        <v>68.010000000000005</v>
      </c>
      <c r="D683">
        <v>0</v>
      </c>
      <c r="E683">
        <v>0</v>
      </c>
      <c r="F683">
        <v>8.64</v>
      </c>
      <c r="G683">
        <v>0</v>
      </c>
      <c r="H683">
        <v>7.04</v>
      </c>
      <c r="I683">
        <v>0</v>
      </c>
      <c r="J683">
        <v>0</v>
      </c>
      <c r="K683">
        <v>16.309999999999999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Y683">
        <v>1</v>
      </c>
      <c r="Z683">
        <v>0</v>
      </c>
      <c r="AA683">
        <v>0</v>
      </c>
      <c r="AB683">
        <v>0</v>
      </c>
      <c r="AC683">
        <v>0</v>
      </c>
      <c r="AI683">
        <v>0</v>
      </c>
      <c r="AO683">
        <v>38.806800000000003</v>
      </c>
      <c r="AP683">
        <v>0</v>
      </c>
      <c r="AQ683">
        <v>669.04</v>
      </c>
      <c r="AR683">
        <v>72</v>
      </c>
      <c r="AS683">
        <v>941</v>
      </c>
      <c r="AX683" t="s">
        <v>60</v>
      </c>
    </row>
    <row r="684" spans="1:50" x14ac:dyDescent="0.45">
      <c r="A684">
        <v>10683</v>
      </c>
      <c r="B684">
        <v>1</v>
      </c>
      <c r="C684">
        <v>79.099999999999994</v>
      </c>
      <c r="D684">
        <v>3</v>
      </c>
      <c r="E684">
        <v>0</v>
      </c>
      <c r="F684">
        <v>0</v>
      </c>
      <c r="G684">
        <v>0</v>
      </c>
      <c r="H684">
        <v>0</v>
      </c>
      <c r="I684">
        <v>0</v>
      </c>
      <c r="J684">
        <v>0</v>
      </c>
      <c r="K684">
        <v>2.7</v>
      </c>
      <c r="L684">
        <v>15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Y684">
        <v>1</v>
      </c>
      <c r="Z684">
        <v>0</v>
      </c>
      <c r="AA684">
        <v>0</v>
      </c>
      <c r="AB684">
        <v>0</v>
      </c>
      <c r="AC684">
        <v>1</v>
      </c>
      <c r="AD684">
        <v>850</v>
      </c>
      <c r="AE684">
        <v>0.58333333300000001</v>
      </c>
      <c r="AF684">
        <v>1</v>
      </c>
      <c r="AG684">
        <v>0</v>
      </c>
      <c r="AH684">
        <v>0</v>
      </c>
      <c r="AI684">
        <v>1</v>
      </c>
      <c r="AJ684">
        <v>520</v>
      </c>
      <c r="AK684">
        <v>8</v>
      </c>
      <c r="AL684">
        <v>0</v>
      </c>
      <c r="AM684">
        <v>1</v>
      </c>
      <c r="AN684">
        <v>0</v>
      </c>
      <c r="AO684">
        <v>12.756</v>
      </c>
      <c r="AP684">
        <v>3</v>
      </c>
      <c r="AQ684">
        <v>745.8</v>
      </c>
      <c r="AS684">
        <v>1183.6400000000001</v>
      </c>
      <c r="AT684">
        <v>1307.3499999999999</v>
      </c>
      <c r="AU684">
        <v>6.5414099999999999</v>
      </c>
      <c r="AX684" t="s">
        <v>108</v>
      </c>
    </row>
    <row r="685" spans="1:50" x14ac:dyDescent="0.45">
      <c r="A685">
        <v>10684</v>
      </c>
      <c r="B685">
        <v>1</v>
      </c>
      <c r="C685">
        <v>79.099999999999994</v>
      </c>
      <c r="D685">
        <v>3</v>
      </c>
      <c r="E685">
        <v>0</v>
      </c>
      <c r="F685">
        <v>0</v>
      </c>
      <c r="G685">
        <v>0</v>
      </c>
      <c r="H685">
        <v>0</v>
      </c>
      <c r="I685">
        <v>0</v>
      </c>
      <c r="J685">
        <v>0</v>
      </c>
      <c r="K685">
        <v>2.7</v>
      </c>
      <c r="L685">
        <v>15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Y685">
        <v>1</v>
      </c>
      <c r="Z685">
        <v>0</v>
      </c>
      <c r="AA685">
        <v>0</v>
      </c>
      <c r="AB685">
        <v>0</v>
      </c>
      <c r="AC685">
        <v>1</v>
      </c>
      <c r="AD685">
        <v>900</v>
      </c>
      <c r="AE685">
        <v>0.58333333300000001</v>
      </c>
      <c r="AF685">
        <v>1</v>
      </c>
      <c r="AG685">
        <v>0</v>
      </c>
      <c r="AH685">
        <v>0</v>
      </c>
      <c r="AI685">
        <v>1</v>
      </c>
      <c r="AJ685">
        <v>520</v>
      </c>
      <c r="AK685">
        <v>8</v>
      </c>
      <c r="AL685">
        <v>0</v>
      </c>
      <c r="AM685">
        <v>1</v>
      </c>
      <c r="AN685">
        <v>0</v>
      </c>
      <c r="AO685">
        <v>12.756</v>
      </c>
      <c r="AP685">
        <v>3</v>
      </c>
      <c r="AQ685">
        <v>745.8</v>
      </c>
      <c r="AS685">
        <v>1216.29</v>
      </c>
      <c r="AT685">
        <v>1309.0899999999999</v>
      </c>
      <c r="AU685">
        <v>6.0193000000000003</v>
      </c>
      <c r="AX685" t="s">
        <v>108</v>
      </c>
    </row>
    <row r="686" spans="1:50" x14ac:dyDescent="0.45">
      <c r="A686">
        <v>10685</v>
      </c>
      <c r="B686">
        <v>1</v>
      </c>
      <c r="C686">
        <v>79.099999999999994</v>
      </c>
      <c r="D686">
        <v>3</v>
      </c>
      <c r="E686">
        <v>0</v>
      </c>
      <c r="F686">
        <v>0</v>
      </c>
      <c r="G686">
        <v>0</v>
      </c>
      <c r="H686">
        <v>0</v>
      </c>
      <c r="I686">
        <v>0</v>
      </c>
      <c r="J686">
        <v>0</v>
      </c>
      <c r="K686">
        <v>2.7</v>
      </c>
      <c r="L686">
        <v>15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Y686">
        <v>1</v>
      </c>
      <c r="Z686">
        <v>0</v>
      </c>
      <c r="AA686">
        <v>0</v>
      </c>
      <c r="AB686">
        <v>0</v>
      </c>
      <c r="AC686">
        <v>1</v>
      </c>
      <c r="AD686">
        <v>950</v>
      </c>
      <c r="AE686">
        <v>0.58333333300000001</v>
      </c>
      <c r="AF686">
        <v>1</v>
      </c>
      <c r="AG686">
        <v>0</v>
      </c>
      <c r="AH686">
        <v>0</v>
      </c>
      <c r="AI686">
        <v>1</v>
      </c>
      <c r="AJ686">
        <v>520</v>
      </c>
      <c r="AK686">
        <v>8</v>
      </c>
      <c r="AL686">
        <v>0</v>
      </c>
      <c r="AM686">
        <v>1</v>
      </c>
      <c r="AN686">
        <v>0</v>
      </c>
      <c r="AO686">
        <v>12.756</v>
      </c>
      <c r="AP686">
        <v>3</v>
      </c>
      <c r="AQ686">
        <v>745.8</v>
      </c>
      <c r="AS686">
        <v>1210.6099999999999</v>
      </c>
      <c r="AT686">
        <v>1303.3900000000001</v>
      </c>
      <c r="AU686">
        <v>6.5129099999999998</v>
      </c>
      <c r="AX686" t="s">
        <v>108</v>
      </c>
    </row>
    <row r="687" spans="1:50" x14ac:dyDescent="0.45">
      <c r="A687">
        <v>10686</v>
      </c>
      <c r="B687">
        <v>1</v>
      </c>
      <c r="C687">
        <v>79.099999999999994</v>
      </c>
      <c r="D687">
        <v>3</v>
      </c>
      <c r="E687">
        <v>0</v>
      </c>
      <c r="F687">
        <v>0</v>
      </c>
      <c r="G687">
        <v>0</v>
      </c>
      <c r="H687">
        <v>0</v>
      </c>
      <c r="I687">
        <v>0</v>
      </c>
      <c r="J687">
        <v>0</v>
      </c>
      <c r="K687">
        <v>2.7</v>
      </c>
      <c r="L687">
        <v>15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Y687">
        <v>1</v>
      </c>
      <c r="Z687">
        <v>0</v>
      </c>
      <c r="AA687">
        <v>0</v>
      </c>
      <c r="AB687">
        <v>0</v>
      </c>
      <c r="AC687">
        <v>1</v>
      </c>
      <c r="AD687">
        <v>750</v>
      </c>
      <c r="AE687">
        <v>0.58333333300000001</v>
      </c>
      <c r="AF687">
        <v>1</v>
      </c>
      <c r="AG687">
        <v>0</v>
      </c>
      <c r="AH687">
        <v>0</v>
      </c>
      <c r="AI687">
        <v>1</v>
      </c>
      <c r="AJ687">
        <v>420</v>
      </c>
      <c r="AK687">
        <v>8</v>
      </c>
      <c r="AL687">
        <v>0</v>
      </c>
      <c r="AM687">
        <v>1</v>
      </c>
      <c r="AN687">
        <v>0</v>
      </c>
      <c r="AO687">
        <v>12.756</v>
      </c>
      <c r="AP687">
        <v>3</v>
      </c>
      <c r="AQ687">
        <v>745.8</v>
      </c>
      <c r="AS687">
        <v>957.37699999999995</v>
      </c>
      <c r="AT687">
        <v>1078.21</v>
      </c>
      <c r="AU687">
        <v>10.9091</v>
      </c>
      <c r="AX687" t="s">
        <v>108</v>
      </c>
    </row>
    <row r="688" spans="1:50" x14ac:dyDescent="0.45">
      <c r="A688">
        <v>10687</v>
      </c>
      <c r="B688">
        <v>1</v>
      </c>
      <c r="C688">
        <v>79.099999999999994</v>
      </c>
      <c r="D688">
        <v>3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0</v>
      </c>
      <c r="K688">
        <v>2.7</v>
      </c>
      <c r="L688">
        <v>15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Y688">
        <v>1</v>
      </c>
      <c r="Z688">
        <v>0</v>
      </c>
      <c r="AA688">
        <v>0</v>
      </c>
      <c r="AB688">
        <v>0</v>
      </c>
      <c r="AC688">
        <v>1</v>
      </c>
      <c r="AD688">
        <v>750</v>
      </c>
      <c r="AE688">
        <v>0.58333333300000001</v>
      </c>
      <c r="AF688">
        <v>1</v>
      </c>
      <c r="AG688">
        <v>0</v>
      </c>
      <c r="AH688">
        <v>0</v>
      </c>
      <c r="AI688">
        <v>1</v>
      </c>
      <c r="AJ688">
        <v>470</v>
      </c>
      <c r="AK688">
        <v>8</v>
      </c>
      <c r="AL688">
        <v>0</v>
      </c>
      <c r="AM688">
        <v>1</v>
      </c>
      <c r="AN688">
        <v>0</v>
      </c>
      <c r="AO688">
        <v>12.756</v>
      </c>
      <c r="AP688">
        <v>3</v>
      </c>
      <c r="AQ688">
        <v>745.8</v>
      </c>
      <c r="AS688">
        <v>987.79399999999998</v>
      </c>
      <c r="AT688">
        <v>1143</v>
      </c>
      <c r="AU688">
        <v>7.3140499999999999</v>
      </c>
      <c r="AX688" t="s">
        <v>108</v>
      </c>
    </row>
    <row r="689" spans="1:50" x14ac:dyDescent="0.45">
      <c r="A689">
        <v>10688</v>
      </c>
      <c r="B689">
        <v>1</v>
      </c>
      <c r="C689">
        <v>79.099999999999994</v>
      </c>
      <c r="D689">
        <v>3</v>
      </c>
      <c r="E689">
        <v>0</v>
      </c>
      <c r="F689">
        <v>0</v>
      </c>
      <c r="G689">
        <v>0</v>
      </c>
      <c r="H689">
        <v>0</v>
      </c>
      <c r="I689">
        <v>0</v>
      </c>
      <c r="J689">
        <v>0</v>
      </c>
      <c r="K689">
        <v>2.7</v>
      </c>
      <c r="L689">
        <v>15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Y689">
        <v>1</v>
      </c>
      <c r="Z689">
        <v>0</v>
      </c>
      <c r="AA689">
        <v>0</v>
      </c>
      <c r="AB689">
        <v>0</v>
      </c>
      <c r="AC689">
        <v>1</v>
      </c>
      <c r="AD689">
        <v>750</v>
      </c>
      <c r="AE689">
        <v>0.58333333300000001</v>
      </c>
      <c r="AF689">
        <v>1</v>
      </c>
      <c r="AG689">
        <v>0</v>
      </c>
      <c r="AH689">
        <v>0</v>
      </c>
      <c r="AI689">
        <v>1</v>
      </c>
      <c r="AJ689">
        <v>570</v>
      </c>
      <c r="AK689">
        <v>8</v>
      </c>
      <c r="AL689">
        <v>0</v>
      </c>
      <c r="AM689">
        <v>1</v>
      </c>
      <c r="AN689">
        <v>0</v>
      </c>
      <c r="AO689">
        <v>12.756</v>
      </c>
      <c r="AP689">
        <v>3</v>
      </c>
      <c r="AQ689">
        <v>745.8</v>
      </c>
      <c r="AS689">
        <v>1054.8800000000001</v>
      </c>
      <c r="AT689">
        <v>1174.67</v>
      </c>
      <c r="AU689">
        <v>6.69421</v>
      </c>
      <c r="AX689" t="s">
        <v>108</v>
      </c>
    </row>
    <row r="690" spans="1:50" x14ac:dyDescent="0.45">
      <c r="A690">
        <v>10689</v>
      </c>
      <c r="B690">
        <v>1</v>
      </c>
      <c r="C690">
        <v>79.099999999999994</v>
      </c>
      <c r="D690">
        <v>3</v>
      </c>
      <c r="E690">
        <v>0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2.7</v>
      </c>
      <c r="L690">
        <v>15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Y690">
        <v>1</v>
      </c>
      <c r="Z690">
        <v>0</v>
      </c>
      <c r="AA690">
        <v>0</v>
      </c>
      <c r="AB690">
        <v>0</v>
      </c>
      <c r="AC690">
        <v>1</v>
      </c>
      <c r="AD690">
        <v>750</v>
      </c>
      <c r="AE690">
        <v>0.58333333300000001</v>
      </c>
      <c r="AF690">
        <v>1</v>
      </c>
      <c r="AG690">
        <v>0</v>
      </c>
      <c r="AH690">
        <v>0</v>
      </c>
      <c r="AI690">
        <v>1</v>
      </c>
      <c r="AJ690">
        <v>620</v>
      </c>
      <c r="AK690">
        <v>8</v>
      </c>
      <c r="AL690">
        <v>0</v>
      </c>
      <c r="AM690">
        <v>1</v>
      </c>
      <c r="AN690">
        <v>0</v>
      </c>
      <c r="AO690">
        <v>12.756</v>
      </c>
      <c r="AP690">
        <v>3</v>
      </c>
      <c r="AQ690">
        <v>745.8</v>
      </c>
      <c r="AS690">
        <v>885.29399999999998</v>
      </c>
      <c r="AT690">
        <v>901.96400000000006</v>
      </c>
      <c r="AU690">
        <v>14.504099999999999</v>
      </c>
      <c r="AX690" t="s">
        <v>108</v>
      </c>
    </row>
    <row r="691" spans="1:50" x14ac:dyDescent="0.45">
      <c r="A691">
        <v>10690</v>
      </c>
      <c r="B691">
        <v>1</v>
      </c>
      <c r="C691">
        <v>79.099999999999994</v>
      </c>
      <c r="D691">
        <v>3</v>
      </c>
      <c r="E691">
        <v>0</v>
      </c>
      <c r="F691">
        <v>0</v>
      </c>
      <c r="G691">
        <v>0</v>
      </c>
      <c r="H691">
        <v>0</v>
      </c>
      <c r="I691">
        <v>0</v>
      </c>
      <c r="J691">
        <v>0</v>
      </c>
      <c r="K691">
        <v>2.7</v>
      </c>
      <c r="L691">
        <v>15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Y691">
        <v>1</v>
      </c>
      <c r="Z691">
        <v>0</v>
      </c>
      <c r="AA691">
        <v>0</v>
      </c>
      <c r="AB691">
        <v>0</v>
      </c>
      <c r="AC691">
        <v>1</v>
      </c>
      <c r="AD691">
        <v>855</v>
      </c>
      <c r="AE691">
        <v>0.58333333300000001</v>
      </c>
      <c r="AF691">
        <v>1</v>
      </c>
      <c r="AG691">
        <v>0</v>
      </c>
      <c r="AH691">
        <v>0</v>
      </c>
      <c r="AI691">
        <v>1</v>
      </c>
      <c r="AJ691">
        <v>520</v>
      </c>
      <c r="AK691">
        <v>4</v>
      </c>
      <c r="AL691">
        <v>0</v>
      </c>
      <c r="AM691">
        <v>1</v>
      </c>
      <c r="AN691">
        <v>0</v>
      </c>
      <c r="AO691">
        <v>12.756</v>
      </c>
      <c r="AP691">
        <v>3</v>
      </c>
      <c r="AQ691">
        <v>745.8</v>
      </c>
      <c r="AS691">
        <v>1137.5999999999999</v>
      </c>
      <c r="AT691">
        <v>1218.8599999999999</v>
      </c>
      <c r="AU691">
        <v>6.1979199999999999</v>
      </c>
      <c r="AX691" t="s">
        <v>108</v>
      </c>
    </row>
    <row r="692" spans="1:50" x14ac:dyDescent="0.45">
      <c r="A692">
        <v>10691</v>
      </c>
      <c r="B692">
        <v>1</v>
      </c>
      <c r="C692">
        <v>79.099999999999994</v>
      </c>
      <c r="D692">
        <v>3</v>
      </c>
      <c r="E692">
        <v>0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2.7</v>
      </c>
      <c r="L692">
        <v>15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Y692">
        <v>1</v>
      </c>
      <c r="Z692">
        <v>0</v>
      </c>
      <c r="AA692">
        <v>0</v>
      </c>
      <c r="AB692">
        <v>0</v>
      </c>
      <c r="AC692">
        <v>1</v>
      </c>
      <c r="AD692">
        <v>855</v>
      </c>
      <c r="AE692">
        <v>0.58333333300000001</v>
      </c>
      <c r="AF692">
        <v>1</v>
      </c>
      <c r="AG692">
        <v>0</v>
      </c>
      <c r="AH692">
        <v>0</v>
      </c>
      <c r="AI692">
        <v>1</v>
      </c>
      <c r="AJ692">
        <v>520</v>
      </c>
      <c r="AK692">
        <v>6</v>
      </c>
      <c r="AL692">
        <v>0</v>
      </c>
      <c r="AM692">
        <v>1</v>
      </c>
      <c r="AN692">
        <v>0</v>
      </c>
      <c r="AO692">
        <v>12.756</v>
      </c>
      <c r="AP692">
        <v>3</v>
      </c>
      <c r="AQ692">
        <v>745.8</v>
      </c>
      <c r="AS692">
        <v>1172.19</v>
      </c>
      <c r="AT692">
        <v>1258.6400000000001</v>
      </c>
      <c r="AU692">
        <v>6.4895800000000001</v>
      </c>
      <c r="AX692" t="s">
        <v>108</v>
      </c>
    </row>
    <row r="693" spans="1:50" x14ac:dyDescent="0.45">
      <c r="A693">
        <v>10692</v>
      </c>
      <c r="B693">
        <v>1</v>
      </c>
      <c r="C693">
        <v>79.099999999999994</v>
      </c>
      <c r="D693">
        <v>3</v>
      </c>
      <c r="E693">
        <v>0</v>
      </c>
      <c r="F693">
        <v>0</v>
      </c>
      <c r="G693">
        <v>0</v>
      </c>
      <c r="H693">
        <v>0</v>
      </c>
      <c r="I693">
        <v>0</v>
      </c>
      <c r="J693">
        <v>0</v>
      </c>
      <c r="K693">
        <v>2.7</v>
      </c>
      <c r="L693">
        <v>15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Y693">
        <v>1</v>
      </c>
      <c r="Z693">
        <v>0</v>
      </c>
      <c r="AA693">
        <v>0</v>
      </c>
      <c r="AB693">
        <v>0</v>
      </c>
      <c r="AC693">
        <v>1</v>
      </c>
      <c r="AD693">
        <v>855</v>
      </c>
      <c r="AE693">
        <v>0.58333333300000001</v>
      </c>
      <c r="AF693">
        <v>1</v>
      </c>
      <c r="AG693">
        <v>0</v>
      </c>
      <c r="AH693">
        <v>0</v>
      </c>
      <c r="AI693">
        <v>1</v>
      </c>
      <c r="AJ693">
        <v>520</v>
      </c>
      <c r="AK693">
        <v>8</v>
      </c>
      <c r="AL693">
        <v>0</v>
      </c>
      <c r="AM693">
        <v>1</v>
      </c>
      <c r="AN693">
        <v>0</v>
      </c>
      <c r="AO693">
        <v>12.756</v>
      </c>
      <c r="AP693">
        <v>3</v>
      </c>
      <c r="AQ693">
        <v>745.8</v>
      </c>
      <c r="AS693">
        <v>1185.94</v>
      </c>
      <c r="AT693">
        <v>1311.98</v>
      </c>
      <c r="AU693">
        <v>6.1979199999999999</v>
      </c>
      <c r="AX693" t="s">
        <v>108</v>
      </c>
    </row>
    <row r="694" spans="1:50" x14ac:dyDescent="0.45">
      <c r="A694">
        <v>10693</v>
      </c>
      <c r="B694">
        <v>1</v>
      </c>
      <c r="C694">
        <v>79.099999999999994</v>
      </c>
      <c r="D694">
        <v>3</v>
      </c>
      <c r="E694">
        <v>0</v>
      </c>
      <c r="F694">
        <v>0</v>
      </c>
      <c r="G694">
        <v>0</v>
      </c>
      <c r="H694">
        <v>0</v>
      </c>
      <c r="I694">
        <v>0</v>
      </c>
      <c r="J694">
        <v>0</v>
      </c>
      <c r="K694">
        <v>2.7</v>
      </c>
      <c r="L694">
        <v>15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Y694">
        <v>1</v>
      </c>
      <c r="Z694">
        <v>0</v>
      </c>
      <c r="AA694">
        <v>0</v>
      </c>
      <c r="AB694">
        <v>0</v>
      </c>
      <c r="AC694">
        <v>1</v>
      </c>
      <c r="AD694">
        <v>855</v>
      </c>
      <c r="AE694">
        <v>0.58333333300000001</v>
      </c>
      <c r="AF694">
        <v>1</v>
      </c>
      <c r="AG694">
        <v>0</v>
      </c>
      <c r="AH694">
        <v>0</v>
      </c>
      <c r="AI694">
        <v>1</v>
      </c>
      <c r="AJ694">
        <v>520</v>
      </c>
      <c r="AK694">
        <v>10</v>
      </c>
      <c r="AL694">
        <v>0</v>
      </c>
      <c r="AM694">
        <v>1</v>
      </c>
      <c r="AN694">
        <v>0</v>
      </c>
      <c r="AO694">
        <v>12.756</v>
      </c>
      <c r="AP694">
        <v>3</v>
      </c>
      <c r="AQ694">
        <v>745.8</v>
      </c>
      <c r="AS694">
        <v>1181.98</v>
      </c>
      <c r="AT694">
        <v>1263.23</v>
      </c>
      <c r="AU694">
        <v>6.78125</v>
      </c>
      <c r="AX694" t="s">
        <v>108</v>
      </c>
    </row>
    <row r="695" spans="1:50" x14ac:dyDescent="0.45">
      <c r="A695">
        <v>10694</v>
      </c>
      <c r="B695">
        <v>1</v>
      </c>
      <c r="C695">
        <v>79.099999999999994</v>
      </c>
      <c r="D695">
        <v>3</v>
      </c>
      <c r="E695">
        <v>0</v>
      </c>
      <c r="F695">
        <v>0</v>
      </c>
      <c r="G695">
        <v>0</v>
      </c>
      <c r="H695">
        <v>0</v>
      </c>
      <c r="I695">
        <v>0</v>
      </c>
      <c r="J695">
        <v>0</v>
      </c>
      <c r="K695">
        <v>2.7</v>
      </c>
      <c r="L695">
        <v>15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Y695">
        <v>1</v>
      </c>
      <c r="Z695">
        <v>0</v>
      </c>
      <c r="AA695">
        <v>0</v>
      </c>
      <c r="AB695">
        <v>0</v>
      </c>
      <c r="AC695">
        <v>1</v>
      </c>
      <c r="AD695">
        <v>855</v>
      </c>
      <c r="AE695">
        <v>0.58333333300000001</v>
      </c>
      <c r="AF695">
        <v>1</v>
      </c>
      <c r="AG695">
        <v>0</v>
      </c>
      <c r="AH695">
        <v>0</v>
      </c>
      <c r="AI695">
        <v>1</v>
      </c>
      <c r="AJ695">
        <v>520</v>
      </c>
      <c r="AK695">
        <v>12</v>
      </c>
      <c r="AL695">
        <v>0</v>
      </c>
      <c r="AM695">
        <v>1</v>
      </c>
      <c r="AN695">
        <v>0</v>
      </c>
      <c r="AO695">
        <v>12.756</v>
      </c>
      <c r="AP695">
        <v>3</v>
      </c>
      <c r="AQ695">
        <v>745.8</v>
      </c>
      <c r="AS695">
        <v>1193.6500000000001</v>
      </c>
      <c r="AT695">
        <v>1275.94</v>
      </c>
      <c r="AU695">
        <v>5.25</v>
      </c>
      <c r="AX695" t="s">
        <v>108</v>
      </c>
    </row>
    <row r="696" spans="1:50" x14ac:dyDescent="0.45">
      <c r="A696">
        <v>10695</v>
      </c>
      <c r="B696">
        <v>1</v>
      </c>
      <c r="C696">
        <v>86.63</v>
      </c>
      <c r="D696">
        <v>5</v>
      </c>
      <c r="E696">
        <v>0</v>
      </c>
      <c r="F696">
        <v>0</v>
      </c>
      <c r="G696">
        <v>0</v>
      </c>
      <c r="H696">
        <v>1.62</v>
      </c>
      <c r="I696">
        <v>0</v>
      </c>
      <c r="J696">
        <v>0</v>
      </c>
      <c r="K696">
        <v>0</v>
      </c>
      <c r="L696">
        <v>6.65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1</v>
      </c>
      <c r="W696">
        <v>950</v>
      </c>
      <c r="Y696">
        <v>0</v>
      </c>
      <c r="Z696">
        <v>0</v>
      </c>
      <c r="AA696">
        <v>0</v>
      </c>
      <c r="AB696">
        <v>0</v>
      </c>
      <c r="AC696">
        <v>1</v>
      </c>
      <c r="AD696">
        <v>780</v>
      </c>
      <c r="AE696">
        <v>1</v>
      </c>
      <c r="AF696">
        <v>0</v>
      </c>
      <c r="AG696">
        <v>1</v>
      </c>
      <c r="AH696">
        <v>0</v>
      </c>
      <c r="AI696">
        <v>1</v>
      </c>
      <c r="AJ696">
        <v>560</v>
      </c>
      <c r="AK696">
        <v>6</v>
      </c>
      <c r="AL696">
        <v>0</v>
      </c>
      <c r="AM696">
        <v>1</v>
      </c>
      <c r="AN696">
        <v>0</v>
      </c>
      <c r="AO696">
        <v>6.3480000000000008</v>
      </c>
      <c r="AP696">
        <v>5</v>
      </c>
      <c r="AQ696">
        <v>804.37700000000007</v>
      </c>
      <c r="AS696">
        <v>1129.55</v>
      </c>
      <c r="AT696">
        <v>1188.29</v>
      </c>
      <c r="AU696">
        <v>12.140499999999999</v>
      </c>
      <c r="AX696" t="s">
        <v>108</v>
      </c>
    </row>
    <row r="697" spans="1:50" x14ac:dyDescent="0.45">
      <c r="A697">
        <v>10696</v>
      </c>
      <c r="B697">
        <v>1</v>
      </c>
      <c r="C697">
        <v>77.91</v>
      </c>
      <c r="D697">
        <v>0</v>
      </c>
      <c r="E697">
        <v>0</v>
      </c>
      <c r="F697">
        <v>0</v>
      </c>
      <c r="G697">
        <v>0</v>
      </c>
      <c r="H697">
        <v>2.34</v>
      </c>
      <c r="I697">
        <v>0</v>
      </c>
      <c r="J697">
        <v>6.17</v>
      </c>
      <c r="K697">
        <v>13.58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1</v>
      </c>
      <c r="Y697">
        <v>0</v>
      </c>
      <c r="Z697">
        <v>1</v>
      </c>
      <c r="AA697">
        <v>0</v>
      </c>
      <c r="AB697">
        <v>0</v>
      </c>
      <c r="AC697">
        <v>1</v>
      </c>
      <c r="AD697">
        <f t="shared" ref="AD697:AD708" si="6">AQ697</f>
        <v>803.39100000000008</v>
      </c>
      <c r="AF697">
        <v>1</v>
      </c>
      <c r="AG697">
        <v>0</v>
      </c>
      <c r="AH697">
        <v>0</v>
      </c>
      <c r="AI697">
        <v>0</v>
      </c>
      <c r="AO697">
        <v>10.5884</v>
      </c>
      <c r="AP697">
        <v>1.0283333333333333</v>
      </c>
      <c r="AQ697">
        <v>803.39100000000008</v>
      </c>
      <c r="AR697">
        <v>79</v>
      </c>
      <c r="AS697">
        <v>782</v>
      </c>
      <c r="AX697" t="s">
        <v>60</v>
      </c>
    </row>
    <row r="698" spans="1:50" x14ac:dyDescent="0.45">
      <c r="A698">
        <v>10697</v>
      </c>
      <c r="B698">
        <v>1</v>
      </c>
      <c r="C698">
        <v>75.75</v>
      </c>
      <c r="D698">
        <v>0</v>
      </c>
      <c r="E698">
        <v>0</v>
      </c>
      <c r="F698">
        <v>0</v>
      </c>
      <c r="G698">
        <v>0</v>
      </c>
      <c r="H698">
        <v>1.5599999999999998</v>
      </c>
      <c r="I698">
        <v>0</v>
      </c>
      <c r="J698">
        <v>6.370000000000001</v>
      </c>
      <c r="K698">
        <v>16.32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1</v>
      </c>
      <c r="Y698">
        <v>0</v>
      </c>
      <c r="Z698">
        <v>1</v>
      </c>
      <c r="AA698">
        <v>0</v>
      </c>
      <c r="AB698">
        <v>0</v>
      </c>
      <c r="AC698">
        <v>1</v>
      </c>
      <c r="AD698">
        <f t="shared" si="6"/>
        <v>814.02300000000002</v>
      </c>
      <c r="AF698">
        <v>1</v>
      </c>
      <c r="AG698">
        <v>0</v>
      </c>
      <c r="AH698">
        <v>0</v>
      </c>
      <c r="AI698">
        <v>0</v>
      </c>
      <c r="AO698">
        <v>9.0935999999999986</v>
      </c>
      <c r="AP698">
        <v>1.0616666666666668</v>
      </c>
      <c r="AQ698">
        <v>814.02300000000002</v>
      </c>
      <c r="AR698">
        <v>78</v>
      </c>
      <c r="AS698">
        <v>735</v>
      </c>
      <c r="AX698" t="s">
        <v>60</v>
      </c>
    </row>
    <row r="699" spans="1:50" x14ac:dyDescent="0.45">
      <c r="A699">
        <v>10698</v>
      </c>
      <c r="B699">
        <v>1</v>
      </c>
      <c r="C699">
        <v>72.98</v>
      </c>
      <c r="D699">
        <v>0</v>
      </c>
      <c r="E699">
        <v>0</v>
      </c>
      <c r="F699">
        <v>0</v>
      </c>
      <c r="G699">
        <v>0</v>
      </c>
      <c r="H699">
        <v>1.38</v>
      </c>
      <c r="I699">
        <v>0</v>
      </c>
      <c r="J699">
        <v>6.64</v>
      </c>
      <c r="K699">
        <v>18.990000000000002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1</v>
      </c>
      <c r="Y699">
        <v>0</v>
      </c>
      <c r="Z699">
        <v>1</v>
      </c>
      <c r="AA699">
        <v>0</v>
      </c>
      <c r="AB699">
        <v>0</v>
      </c>
      <c r="AC699">
        <v>1</v>
      </c>
      <c r="AD699">
        <f t="shared" si="6"/>
        <v>814.93200000000002</v>
      </c>
      <c r="AF699">
        <v>1</v>
      </c>
      <c r="AG699">
        <v>0</v>
      </c>
      <c r="AH699">
        <v>0</v>
      </c>
      <c r="AI699">
        <v>0</v>
      </c>
      <c r="AO699">
        <v>9.3192000000000021</v>
      </c>
      <c r="AP699">
        <v>1.1066666666666667</v>
      </c>
      <c r="AQ699">
        <v>814.93200000000002</v>
      </c>
      <c r="AR699">
        <v>77</v>
      </c>
      <c r="AS699">
        <v>672</v>
      </c>
      <c r="AX699" t="s">
        <v>60</v>
      </c>
    </row>
    <row r="700" spans="1:50" x14ac:dyDescent="0.45">
      <c r="A700">
        <v>10699</v>
      </c>
      <c r="B700">
        <v>1</v>
      </c>
      <c r="C700">
        <v>86.22</v>
      </c>
      <c r="D700">
        <v>0</v>
      </c>
      <c r="E700">
        <v>0</v>
      </c>
      <c r="F700">
        <v>0</v>
      </c>
      <c r="G700">
        <v>0</v>
      </c>
      <c r="H700">
        <v>3.49</v>
      </c>
      <c r="I700">
        <v>0</v>
      </c>
      <c r="J700">
        <v>4.1000000000000005</v>
      </c>
      <c r="K700">
        <v>6.18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1</v>
      </c>
      <c r="Y700">
        <v>0</v>
      </c>
      <c r="Z700">
        <v>1</v>
      </c>
      <c r="AA700">
        <v>0</v>
      </c>
      <c r="AB700">
        <v>0</v>
      </c>
      <c r="AC700">
        <v>1</v>
      </c>
      <c r="AD700">
        <f t="shared" si="6"/>
        <v>799.96400000000006</v>
      </c>
      <c r="AF700">
        <v>1</v>
      </c>
      <c r="AG700">
        <v>0</v>
      </c>
      <c r="AH700">
        <v>0</v>
      </c>
      <c r="AI700">
        <v>0</v>
      </c>
      <c r="AO700">
        <v>11.8514</v>
      </c>
      <c r="AP700">
        <v>0.68333333333333346</v>
      </c>
      <c r="AQ700">
        <v>799.96400000000006</v>
      </c>
      <c r="AR700">
        <v>90</v>
      </c>
      <c r="AS700">
        <v>1011</v>
      </c>
      <c r="AX700" t="s">
        <v>60</v>
      </c>
    </row>
    <row r="701" spans="1:50" x14ac:dyDescent="0.45">
      <c r="A701">
        <v>10700</v>
      </c>
      <c r="B701">
        <v>1</v>
      </c>
      <c r="C701">
        <v>79.739999999999995</v>
      </c>
      <c r="D701">
        <v>0</v>
      </c>
      <c r="E701">
        <v>0</v>
      </c>
      <c r="F701">
        <v>0</v>
      </c>
      <c r="G701">
        <v>0</v>
      </c>
      <c r="H701">
        <v>2.7</v>
      </c>
      <c r="I701">
        <v>0</v>
      </c>
      <c r="J701">
        <v>6.1899999999999995</v>
      </c>
      <c r="K701">
        <v>11.37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1</v>
      </c>
      <c r="Y701">
        <v>0</v>
      </c>
      <c r="Z701">
        <v>1</v>
      </c>
      <c r="AA701">
        <v>0</v>
      </c>
      <c r="AB701">
        <v>0</v>
      </c>
      <c r="AC701">
        <v>1</v>
      </c>
      <c r="AD701">
        <f t="shared" si="6"/>
        <v>797.70899999999995</v>
      </c>
      <c r="AF701">
        <v>1</v>
      </c>
      <c r="AG701">
        <v>0</v>
      </c>
      <c r="AH701">
        <v>0</v>
      </c>
      <c r="AI701">
        <v>0</v>
      </c>
      <c r="AO701">
        <v>11.0136</v>
      </c>
      <c r="AP701">
        <v>1.0316666666666665</v>
      </c>
      <c r="AQ701">
        <v>797.70899999999995</v>
      </c>
      <c r="AR701">
        <v>69</v>
      </c>
      <c r="AS701">
        <v>1027</v>
      </c>
      <c r="AX701" t="s">
        <v>60</v>
      </c>
    </row>
    <row r="702" spans="1:50" x14ac:dyDescent="0.45">
      <c r="A702">
        <v>10701</v>
      </c>
      <c r="B702">
        <v>1</v>
      </c>
      <c r="C702">
        <v>72.36</v>
      </c>
      <c r="D702">
        <v>0</v>
      </c>
      <c r="E702">
        <v>0</v>
      </c>
      <c r="F702">
        <v>0</v>
      </c>
      <c r="G702">
        <v>0</v>
      </c>
      <c r="H702">
        <v>0.57000000000000006</v>
      </c>
      <c r="I702">
        <v>0</v>
      </c>
      <c r="J702">
        <v>8.68</v>
      </c>
      <c r="K702">
        <v>18.39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1</v>
      </c>
      <c r="Y702">
        <v>0</v>
      </c>
      <c r="Z702">
        <v>1</v>
      </c>
      <c r="AA702">
        <v>0</v>
      </c>
      <c r="AB702">
        <v>0</v>
      </c>
      <c r="AC702">
        <v>1</v>
      </c>
      <c r="AD702">
        <f t="shared" si="6"/>
        <v>813.32999999999993</v>
      </c>
      <c r="AF702">
        <v>1</v>
      </c>
      <c r="AG702">
        <v>0</v>
      </c>
      <c r="AH702">
        <v>0</v>
      </c>
      <c r="AI702">
        <v>0</v>
      </c>
      <c r="AO702">
        <v>6.8022000000000009</v>
      </c>
      <c r="AP702">
        <v>1.4466666666666665</v>
      </c>
      <c r="AQ702">
        <v>813.32999999999993</v>
      </c>
      <c r="AR702">
        <v>58</v>
      </c>
      <c r="AS702">
        <v>780</v>
      </c>
      <c r="AX702" t="s">
        <v>60</v>
      </c>
    </row>
    <row r="703" spans="1:50" x14ac:dyDescent="0.45">
      <c r="A703">
        <v>10702</v>
      </c>
      <c r="B703">
        <v>1</v>
      </c>
      <c r="C703">
        <v>81.42</v>
      </c>
      <c r="D703">
        <v>0</v>
      </c>
      <c r="E703">
        <v>0</v>
      </c>
      <c r="F703">
        <v>0</v>
      </c>
      <c r="G703">
        <v>0</v>
      </c>
      <c r="H703">
        <v>1</v>
      </c>
      <c r="I703">
        <v>0</v>
      </c>
      <c r="J703">
        <v>11.600000000000001</v>
      </c>
      <c r="K703">
        <v>5.99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1</v>
      </c>
      <c r="Y703">
        <v>0</v>
      </c>
      <c r="Z703">
        <v>1</v>
      </c>
      <c r="AA703">
        <v>0</v>
      </c>
      <c r="AB703">
        <v>0</v>
      </c>
      <c r="AC703">
        <v>1</v>
      </c>
      <c r="AD703">
        <f t="shared" si="6"/>
        <v>786.56000000000006</v>
      </c>
      <c r="AF703">
        <v>1</v>
      </c>
      <c r="AG703">
        <v>0</v>
      </c>
      <c r="AH703">
        <v>0</v>
      </c>
      <c r="AI703">
        <v>0</v>
      </c>
      <c r="AO703">
        <v>4.5772000000000004</v>
      </c>
      <c r="AP703">
        <v>1.9333333333333336</v>
      </c>
      <c r="AQ703">
        <v>786.56000000000006</v>
      </c>
      <c r="AR703">
        <v>59</v>
      </c>
      <c r="AS703">
        <v>553</v>
      </c>
      <c r="AX703" t="s">
        <v>60</v>
      </c>
    </row>
    <row r="704" spans="1:50" x14ac:dyDescent="0.45">
      <c r="A704">
        <v>10703</v>
      </c>
      <c r="B704">
        <v>1</v>
      </c>
      <c r="C704">
        <v>74.48</v>
      </c>
      <c r="D704">
        <v>0</v>
      </c>
      <c r="E704">
        <v>0</v>
      </c>
      <c r="F704">
        <v>0</v>
      </c>
      <c r="G704">
        <v>0</v>
      </c>
      <c r="H704">
        <v>1.47</v>
      </c>
      <c r="I704">
        <v>0</v>
      </c>
      <c r="J704">
        <v>4</v>
      </c>
      <c r="K704">
        <v>20.04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1</v>
      </c>
      <c r="Y704">
        <v>0</v>
      </c>
      <c r="Z704">
        <v>1</v>
      </c>
      <c r="AA704">
        <v>0</v>
      </c>
      <c r="AB704">
        <v>0</v>
      </c>
      <c r="AC704">
        <v>1</v>
      </c>
      <c r="AD704">
        <f t="shared" si="6"/>
        <v>831.76199999999994</v>
      </c>
      <c r="AF704">
        <v>1</v>
      </c>
      <c r="AG704">
        <v>0</v>
      </c>
      <c r="AH704">
        <v>0</v>
      </c>
      <c r="AI704">
        <v>0</v>
      </c>
      <c r="AO704">
        <v>9.8742000000000001</v>
      </c>
      <c r="AP704">
        <v>0.66666666666666663</v>
      </c>
      <c r="AQ704">
        <v>831.76199999999994</v>
      </c>
      <c r="AR704">
        <v>62</v>
      </c>
      <c r="AS704">
        <v>1038</v>
      </c>
      <c r="AX704" t="s">
        <v>60</v>
      </c>
    </row>
    <row r="705" spans="1:50" x14ac:dyDescent="0.45">
      <c r="A705">
        <v>10704</v>
      </c>
      <c r="B705">
        <v>1</v>
      </c>
      <c r="C705">
        <v>65.86</v>
      </c>
      <c r="D705">
        <v>0</v>
      </c>
      <c r="E705">
        <v>0</v>
      </c>
      <c r="F705">
        <v>0</v>
      </c>
      <c r="G705">
        <v>0</v>
      </c>
      <c r="H705">
        <v>0.1</v>
      </c>
      <c r="I705">
        <v>0</v>
      </c>
      <c r="J705">
        <v>17.39</v>
      </c>
      <c r="K705">
        <v>16.64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1</v>
      </c>
      <c r="Y705">
        <v>0</v>
      </c>
      <c r="Z705">
        <v>1</v>
      </c>
      <c r="AA705">
        <v>0</v>
      </c>
      <c r="AB705">
        <v>0</v>
      </c>
      <c r="AC705">
        <v>1</v>
      </c>
      <c r="AD705">
        <f t="shared" si="6"/>
        <v>760.46900000000005</v>
      </c>
      <c r="AF705">
        <v>0</v>
      </c>
      <c r="AG705">
        <v>1</v>
      </c>
      <c r="AH705">
        <v>0</v>
      </c>
      <c r="AI705">
        <v>0</v>
      </c>
      <c r="AO705">
        <v>4.9492000000000003</v>
      </c>
      <c r="AP705">
        <v>2.8983333333333334</v>
      </c>
      <c r="AQ705">
        <v>760.46900000000005</v>
      </c>
      <c r="AR705">
        <v>70</v>
      </c>
      <c r="AS705">
        <v>480</v>
      </c>
      <c r="AX705" t="s">
        <v>60</v>
      </c>
    </row>
    <row r="706" spans="1:50" x14ac:dyDescent="0.45">
      <c r="A706">
        <v>10705</v>
      </c>
      <c r="B706">
        <v>1</v>
      </c>
      <c r="C706">
        <v>71.930000000000007</v>
      </c>
      <c r="D706">
        <v>0</v>
      </c>
      <c r="E706">
        <v>0</v>
      </c>
      <c r="F706">
        <v>0</v>
      </c>
      <c r="G706">
        <v>0</v>
      </c>
      <c r="H706">
        <v>0.97</v>
      </c>
      <c r="I706">
        <v>0</v>
      </c>
      <c r="J706">
        <v>5</v>
      </c>
      <c r="K706">
        <v>22.1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1</v>
      </c>
      <c r="Y706">
        <v>0</v>
      </c>
      <c r="Z706">
        <v>1</v>
      </c>
      <c r="AA706">
        <v>0</v>
      </c>
      <c r="AB706">
        <v>0</v>
      </c>
      <c r="AC706">
        <v>1</v>
      </c>
      <c r="AD706">
        <f t="shared" si="6"/>
        <v>832.56200000000001</v>
      </c>
      <c r="AF706">
        <v>1</v>
      </c>
      <c r="AG706">
        <v>0</v>
      </c>
      <c r="AH706">
        <v>0</v>
      </c>
      <c r="AI706">
        <v>0</v>
      </c>
      <c r="AO706">
        <v>9.0010000000000012</v>
      </c>
      <c r="AP706">
        <v>0.83333333333333337</v>
      </c>
      <c r="AQ706">
        <v>832.56200000000001</v>
      </c>
      <c r="AR706">
        <v>49</v>
      </c>
      <c r="AS706">
        <v>552</v>
      </c>
      <c r="AX706" t="s">
        <v>60</v>
      </c>
    </row>
    <row r="707" spans="1:50" x14ac:dyDescent="0.45">
      <c r="A707">
        <v>10706</v>
      </c>
      <c r="B707">
        <v>1</v>
      </c>
      <c r="C707">
        <v>83.05</v>
      </c>
      <c r="D707">
        <v>0</v>
      </c>
      <c r="E707">
        <v>0</v>
      </c>
      <c r="F707">
        <v>0</v>
      </c>
      <c r="G707">
        <v>0</v>
      </c>
      <c r="H707">
        <v>0</v>
      </c>
      <c r="I707">
        <v>0</v>
      </c>
      <c r="J707">
        <v>0</v>
      </c>
      <c r="K707">
        <v>10.220000000000001</v>
      </c>
      <c r="L707">
        <v>2.4699999999999998</v>
      </c>
      <c r="M707">
        <v>0</v>
      </c>
      <c r="N707">
        <v>0</v>
      </c>
      <c r="O707">
        <v>4.26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1</v>
      </c>
      <c r="Y707">
        <v>0</v>
      </c>
      <c r="Z707">
        <v>1</v>
      </c>
      <c r="AA707">
        <v>0</v>
      </c>
      <c r="AB707">
        <v>0</v>
      </c>
      <c r="AC707">
        <v>1</v>
      </c>
      <c r="AD707">
        <f t="shared" si="6"/>
        <v>858.53499999999997</v>
      </c>
      <c r="AF707">
        <v>1</v>
      </c>
      <c r="AG707">
        <v>0</v>
      </c>
      <c r="AH707">
        <v>0</v>
      </c>
      <c r="AI707">
        <v>0</v>
      </c>
      <c r="AO707">
        <v>6.2687999999999997</v>
      </c>
      <c r="AP707">
        <v>0</v>
      </c>
      <c r="AQ707">
        <v>858.53499999999997</v>
      </c>
      <c r="AR707">
        <v>50</v>
      </c>
      <c r="AS707">
        <v>557</v>
      </c>
      <c r="AX707" t="s">
        <v>60</v>
      </c>
    </row>
    <row r="708" spans="1:50" x14ac:dyDescent="0.45">
      <c r="A708">
        <v>10707</v>
      </c>
      <c r="B708">
        <v>1</v>
      </c>
      <c r="C708">
        <v>72.599999999999994</v>
      </c>
      <c r="D708">
        <v>0</v>
      </c>
      <c r="E708">
        <v>0</v>
      </c>
      <c r="F708">
        <v>0</v>
      </c>
      <c r="G708">
        <v>0</v>
      </c>
      <c r="H708">
        <v>0</v>
      </c>
      <c r="I708">
        <v>0</v>
      </c>
      <c r="J708">
        <v>0</v>
      </c>
      <c r="K708">
        <v>20.09</v>
      </c>
      <c r="L708">
        <v>2.68</v>
      </c>
      <c r="M708">
        <v>0</v>
      </c>
      <c r="N708">
        <v>0</v>
      </c>
      <c r="O708">
        <v>4.62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1</v>
      </c>
      <c r="Y708">
        <v>0</v>
      </c>
      <c r="Z708">
        <v>1</v>
      </c>
      <c r="AA708">
        <v>0</v>
      </c>
      <c r="AB708">
        <v>0</v>
      </c>
      <c r="AC708">
        <v>1</v>
      </c>
      <c r="AD708">
        <f t="shared" si="6"/>
        <v>856.54</v>
      </c>
      <c r="AF708">
        <v>1</v>
      </c>
      <c r="AG708">
        <v>0</v>
      </c>
      <c r="AH708">
        <v>0</v>
      </c>
      <c r="AI708">
        <v>0</v>
      </c>
      <c r="AO708">
        <v>9.3216000000000001</v>
      </c>
      <c r="AP708">
        <v>0</v>
      </c>
      <c r="AQ708">
        <v>856.54</v>
      </c>
      <c r="AR708">
        <v>53</v>
      </c>
      <c r="AS708">
        <v>599</v>
      </c>
      <c r="AX708" t="s">
        <v>60</v>
      </c>
    </row>
    <row r="709" spans="1:50" x14ac:dyDescent="0.45">
      <c r="A709">
        <v>10708</v>
      </c>
      <c r="B709">
        <v>1</v>
      </c>
      <c r="C709">
        <v>72.599999999999994</v>
      </c>
      <c r="D709">
        <v>0</v>
      </c>
      <c r="E709">
        <v>0</v>
      </c>
      <c r="F709">
        <v>0</v>
      </c>
      <c r="G709">
        <v>0</v>
      </c>
      <c r="H709">
        <v>0</v>
      </c>
      <c r="I709">
        <v>0</v>
      </c>
      <c r="J709">
        <v>0</v>
      </c>
      <c r="K709">
        <v>20.09</v>
      </c>
      <c r="L709">
        <v>2.68</v>
      </c>
      <c r="M709">
        <v>0</v>
      </c>
      <c r="N709">
        <v>0</v>
      </c>
      <c r="O709">
        <v>4.63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Y709">
        <v>1</v>
      </c>
      <c r="Z709">
        <v>0</v>
      </c>
      <c r="AA709">
        <v>0</v>
      </c>
      <c r="AB709">
        <v>0</v>
      </c>
      <c r="AC709">
        <v>0</v>
      </c>
      <c r="AI709">
        <v>0</v>
      </c>
      <c r="AO709">
        <v>9.3238000000000003</v>
      </c>
      <c r="AP709">
        <v>0</v>
      </c>
      <c r="AQ709">
        <v>856.54</v>
      </c>
      <c r="AR709">
        <v>51</v>
      </c>
    </row>
    <row r="710" spans="1:50" x14ac:dyDescent="0.45">
      <c r="A710">
        <v>10709</v>
      </c>
      <c r="B710">
        <v>1</v>
      </c>
      <c r="C710">
        <v>74.48</v>
      </c>
      <c r="D710">
        <v>0</v>
      </c>
      <c r="E710">
        <v>0</v>
      </c>
      <c r="F710">
        <v>0</v>
      </c>
      <c r="G710">
        <v>0</v>
      </c>
      <c r="H710">
        <v>0</v>
      </c>
      <c r="I710">
        <v>0</v>
      </c>
      <c r="J710">
        <v>0</v>
      </c>
      <c r="K710">
        <v>19.869999999999997</v>
      </c>
      <c r="L710">
        <v>0</v>
      </c>
      <c r="M710">
        <v>1.0699999999999998</v>
      </c>
      <c r="N710">
        <v>0</v>
      </c>
      <c r="O710">
        <v>4.5699999999999994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1</v>
      </c>
      <c r="Y710">
        <v>0</v>
      </c>
      <c r="Z710">
        <v>1</v>
      </c>
      <c r="AA710">
        <v>0</v>
      </c>
      <c r="AB710">
        <v>0</v>
      </c>
      <c r="AC710">
        <v>1</v>
      </c>
      <c r="AD710">
        <f>AQ710</f>
        <v>886.49400000000003</v>
      </c>
      <c r="AF710">
        <v>1</v>
      </c>
      <c r="AG710">
        <v>0</v>
      </c>
      <c r="AH710">
        <v>0</v>
      </c>
      <c r="AI710">
        <v>0</v>
      </c>
      <c r="AO710">
        <v>6.569</v>
      </c>
      <c r="AP710">
        <v>0.35666666666666663</v>
      </c>
      <c r="AQ710">
        <v>886.49400000000003</v>
      </c>
      <c r="AR710">
        <v>48</v>
      </c>
      <c r="AS710">
        <v>432</v>
      </c>
      <c r="AX710" t="s">
        <v>60</v>
      </c>
    </row>
    <row r="711" spans="1:50" x14ac:dyDescent="0.45">
      <c r="A711">
        <v>10710</v>
      </c>
      <c r="B711">
        <v>1</v>
      </c>
      <c r="C711">
        <v>72.52</v>
      </c>
      <c r="D711">
        <v>0</v>
      </c>
      <c r="E711">
        <v>0</v>
      </c>
      <c r="F711">
        <v>0</v>
      </c>
      <c r="G711">
        <v>0</v>
      </c>
      <c r="H711">
        <v>0</v>
      </c>
      <c r="I711">
        <v>0</v>
      </c>
      <c r="J711">
        <v>0</v>
      </c>
      <c r="K711">
        <v>20.29</v>
      </c>
      <c r="L711">
        <v>0</v>
      </c>
      <c r="M711">
        <v>2.52</v>
      </c>
      <c r="N711">
        <v>0</v>
      </c>
      <c r="O711">
        <v>4.67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1</v>
      </c>
      <c r="Y711">
        <v>0</v>
      </c>
      <c r="Z711">
        <v>1</v>
      </c>
      <c r="AA711">
        <v>0</v>
      </c>
      <c r="AB711">
        <v>0</v>
      </c>
      <c r="AC711">
        <v>1</v>
      </c>
      <c r="AD711">
        <f>AQ711</f>
        <v>892.58399999999995</v>
      </c>
      <c r="AF711">
        <v>1</v>
      </c>
      <c r="AG711">
        <v>0</v>
      </c>
      <c r="AH711">
        <v>0</v>
      </c>
      <c r="AI711">
        <v>0</v>
      </c>
      <c r="AO711">
        <v>6.7086000000000006</v>
      </c>
      <c r="AP711">
        <v>0.84</v>
      </c>
      <c r="AQ711">
        <v>892.58399999999995</v>
      </c>
      <c r="AR711">
        <v>55</v>
      </c>
      <c r="AS711">
        <v>367</v>
      </c>
      <c r="AX711" t="s">
        <v>60</v>
      </c>
    </row>
    <row r="712" spans="1:50" x14ac:dyDescent="0.45">
      <c r="A712">
        <v>10711</v>
      </c>
      <c r="B712">
        <v>1</v>
      </c>
      <c r="C712">
        <v>71.430000000000007</v>
      </c>
      <c r="D712">
        <v>0</v>
      </c>
      <c r="E712">
        <v>0</v>
      </c>
      <c r="F712">
        <v>0</v>
      </c>
      <c r="G712">
        <v>0</v>
      </c>
      <c r="H712">
        <v>0</v>
      </c>
      <c r="I712">
        <v>0</v>
      </c>
      <c r="J712">
        <v>0</v>
      </c>
      <c r="K712">
        <v>20.52</v>
      </c>
      <c r="L712">
        <v>0</v>
      </c>
      <c r="M712">
        <v>3.32</v>
      </c>
      <c r="N712">
        <v>0</v>
      </c>
      <c r="O712">
        <v>4.72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1</v>
      </c>
      <c r="Y712">
        <v>0</v>
      </c>
      <c r="Z712">
        <v>1</v>
      </c>
      <c r="AA712">
        <v>0</v>
      </c>
      <c r="AB712">
        <v>0</v>
      </c>
      <c r="AC712">
        <v>1</v>
      </c>
      <c r="AD712">
        <f>AQ712</f>
        <v>895.94399999999996</v>
      </c>
      <c r="AF712">
        <v>1</v>
      </c>
      <c r="AG712">
        <v>0</v>
      </c>
      <c r="AH712">
        <v>0</v>
      </c>
      <c r="AI712">
        <v>0</v>
      </c>
      <c r="AO712">
        <v>6.7840000000000007</v>
      </c>
      <c r="AP712">
        <v>1.1066666666666667</v>
      </c>
      <c r="AQ712">
        <v>895.94399999999996</v>
      </c>
      <c r="AR712">
        <v>69</v>
      </c>
      <c r="AS712">
        <v>501</v>
      </c>
      <c r="AX712" t="s">
        <v>60</v>
      </c>
    </row>
    <row r="713" spans="1:50" x14ac:dyDescent="0.45">
      <c r="A713">
        <v>10712</v>
      </c>
      <c r="B713">
        <v>1</v>
      </c>
      <c r="C713">
        <v>74.48</v>
      </c>
      <c r="D713">
        <v>0</v>
      </c>
      <c r="E713">
        <v>0</v>
      </c>
      <c r="F713">
        <v>0</v>
      </c>
      <c r="G713">
        <v>0</v>
      </c>
      <c r="H713">
        <v>0</v>
      </c>
      <c r="I713">
        <v>0</v>
      </c>
      <c r="J713">
        <v>0</v>
      </c>
      <c r="K713">
        <v>19.87</v>
      </c>
      <c r="L713">
        <v>0</v>
      </c>
      <c r="M713">
        <v>1.07</v>
      </c>
      <c r="N713">
        <v>0</v>
      </c>
      <c r="O713">
        <v>4.58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Y713">
        <v>1</v>
      </c>
      <c r="Z713">
        <v>0</v>
      </c>
      <c r="AA713">
        <v>0</v>
      </c>
      <c r="AB713">
        <v>0</v>
      </c>
      <c r="AC713">
        <v>0</v>
      </c>
      <c r="AI713">
        <v>0</v>
      </c>
      <c r="AO713">
        <v>6.571200000000001</v>
      </c>
      <c r="AP713">
        <v>0.35666666666666669</v>
      </c>
      <c r="AQ713">
        <v>886.49400000000003</v>
      </c>
      <c r="AR713">
        <v>69</v>
      </c>
    </row>
    <row r="714" spans="1:50" x14ac:dyDescent="0.45">
      <c r="A714">
        <v>10713</v>
      </c>
      <c r="B714">
        <v>1</v>
      </c>
      <c r="C714">
        <v>74.050000000000011</v>
      </c>
      <c r="D714">
        <v>0</v>
      </c>
      <c r="E714">
        <v>0</v>
      </c>
      <c r="F714">
        <v>2.1999999999999997</v>
      </c>
      <c r="G714">
        <v>0</v>
      </c>
      <c r="H714">
        <v>3.0700000000000003</v>
      </c>
      <c r="I714">
        <v>0</v>
      </c>
      <c r="J714">
        <v>20.68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Y714">
        <v>1</v>
      </c>
      <c r="Z714">
        <v>0</v>
      </c>
      <c r="AA714">
        <v>0</v>
      </c>
      <c r="AB714">
        <v>0</v>
      </c>
      <c r="AC714">
        <v>0</v>
      </c>
      <c r="AI714">
        <v>0</v>
      </c>
      <c r="AO714">
        <v>12.423</v>
      </c>
      <c r="AP714">
        <v>3.4466666666666668</v>
      </c>
      <c r="AQ714">
        <v>665.41</v>
      </c>
      <c r="AR714">
        <v>140</v>
      </c>
      <c r="AS714">
        <v>1049</v>
      </c>
      <c r="AX714" t="s">
        <v>60</v>
      </c>
    </row>
    <row r="715" spans="1:50" x14ac:dyDescent="0.45">
      <c r="A715">
        <v>10714</v>
      </c>
      <c r="B715">
        <v>1</v>
      </c>
      <c r="C715">
        <v>71.91</v>
      </c>
      <c r="D715">
        <v>0</v>
      </c>
      <c r="E715">
        <v>0</v>
      </c>
      <c r="F715">
        <v>2.21</v>
      </c>
      <c r="G715">
        <v>0</v>
      </c>
      <c r="H715">
        <v>5.1400000000000006</v>
      </c>
      <c r="I715">
        <v>0</v>
      </c>
      <c r="J715">
        <v>20.75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Y715">
        <v>1</v>
      </c>
      <c r="Z715">
        <v>0</v>
      </c>
      <c r="AA715">
        <v>0</v>
      </c>
      <c r="AB715">
        <v>0</v>
      </c>
      <c r="AC715">
        <v>0</v>
      </c>
      <c r="AI715">
        <v>0</v>
      </c>
      <c r="AO715">
        <v>18.442</v>
      </c>
      <c r="AP715">
        <v>3.4583333333333335</v>
      </c>
      <c r="AQ715">
        <v>632.92800000000011</v>
      </c>
      <c r="AR715">
        <v>145</v>
      </c>
      <c r="AS715">
        <v>1130</v>
      </c>
      <c r="AX715" t="s">
        <v>60</v>
      </c>
    </row>
    <row r="716" spans="1:50" x14ac:dyDescent="0.45">
      <c r="A716">
        <v>10715</v>
      </c>
      <c r="B716">
        <v>1</v>
      </c>
      <c r="C716">
        <v>69.75</v>
      </c>
      <c r="D716">
        <v>0</v>
      </c>
      <c r="E716">
        <v>0</v>
      </c>
      <c r="F716">
        <v>2.21</v>
      </c>
      <c r="G716">
        <v>0</v>
      </c>
      <c r="H716">
        <v>7.22</v>
      </c>
      <c r="I716">
        <v>0</v>
      </c>
      <c r="J716">
        <v>20.82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Y716">
        <v>1</v>
      </c>
      <c r="Z716">
        <v>0</v>
      </c>
      <c r="AA716">
        <v>0</v>
      </c>
      <c r="AB716">
        <v>0</v>
      </c>
      <c r="AC716">
        <v>0</v>
      </c>
      <c r="AI716">
        <v>0</v>
      </c>
      <c r="AO716">
        <v>24.474</v>
      </c>
      <c r="AP716">
        <v>3.47</v>
      </c>
      <c r="AQ716">
        <v>600.41300000000001</v>
      </c>
      <c r="AR716">
        <v>157</v>
      </c>
      <c r="AS716">
        <v>1239</v>
      </c>
      <c r="AX716" t="s">
        <v>60</v>
      </c>
    </row>
    <row r="717" spans="1:50" x14ac:dyDescent="0.45">
      <c r="A717">
        <v>10716</v>
      </c>
      <c r="B717">
        <v>1</v>
      </c>
      <c r="C717">
        <v>71.8</v>
      </c>
      <c r="D717">
        <v>0</v>
      </c>
      <c r="E717">
        <v>0</v>
      </c>
      <c r="F717">
        <v>4.41</v>
      </c>
      <c r="G717">
        <v>0</v>
      </c>
      <c r="H717">
        <v>3.08</v>
      </c>
      <c r="I717">
        <v>0</v>
      </c>
      <c r="J717">
        <v>20.72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Y717">
        <v>1</v>
      </c>
      <c r="Z717">
        <v>0</v>
      </c>
      <c r="AA717">
        <v>0</v>
      </c>
      <c r="AB717">
        <v>0</v>
      </c>
      <c r="AC717">
        <v>0</v>
      </c>
      <c r="AI717">
        <v>0</v>
      </c>
      <c r="AO717">
        <v>15.988000000000001</v>
      </c>
      <c r="AP717">
        <v>3.4533333333333331</v>
      </c>
      <c r="AQ717">
        <v>638.23900000000003</v>
      </c>
      <c r="AR717">
        <v>130</v>
      </c>
      <c r="AS717">
        <v>1113</v>
      </c>
      <c r="AX717" t="s">
        <v>60</v>
      </c>
    </row>
    <row r="718" spans="1:50" x14ac:dyDescent="0.45">
      <c r="A718">
        <v>10717</v>
      </c>
      <c r="B718">
        <v>1</v>
      </c>
      <c r="C718">
        <v>69.64</v>
      </c>
      <c r="D718">
        <v>0</v>
      </c>
      <c r="E718">
        <v>0</v>
      </c>
      <c r="F718">
        <v>4.42</v>
      </c>
      <c r="G718">
        <v>0</v>
      </c>
      <c r="H718">
        <v>5.1499999999999995</v>
      </c>
      <c r="I718">
        <v>0</v>
      </c>
      <c r="J718">
        <v>20.79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Y718">
        <v>1</v>
      </c>
      <c r="Z718">
        <v>0</v>
      </c>
      <c r="AA718">
        <v>0</v>
      </c>
      <c r="AB718">
        <v>0</v>
      </c>
      <c r="AC718">
        <v>0</v>
      </c>
      <c r="AI718">
        <v>0</v>
      </c>
      <c r="AO718">
        <v>22.006999999999998</v>
      </c>
      <c r="AP718">
        <v>3.4649999999999999</v>
      </c>
      <c r="AQ718">
        <v>605.75700000000006</v>
      </c>
      <c r="AR718">
        <v>142</v>
      </c>
      <c r="AS718">
        <v>1210</v>
      </c>
      <c r="AX718" t="s">
        <v>60</v>
      </c>
    </row>
    <row r="719" spans="1:50" x14ac:dyDescent="0.45">
      <c r="A719">
        <v>10718</v>
      </c>
      <c r="B719">
        <v>1</v>
      </c>
      <c r="C719">
        <v>67.47</v>
      </c>
      <c r="D719">
        <v>0</v>
      </c>
      <c r="E719">
        <v>0</v>
      </c>
      <c r="F719">
        <v>4.4400000000000004</v>
      </c>
      <c r="G719">
        <v>0</v>
      </c>
      <c r="H719">
        <v>7.23</v>
      </c>
      <c r="I719">
        <v>0</v>
      </c>
      <c r="J719">
        <v>20.86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Y719">
        <v>1</v>
      </c>
      <c r="Z719">
        <v>0</v>
      </c>
      <c r="AA719">
        <v>0</v>
      </c>
      <c r="AB719">
        <v>0</v>
      </c>
      <c r="AC719">
        <v>0</v>
      </c>
      <c r="AI719">
        <v>0</v>
      </c>
      <c r="AO719">
        <v>28.071000000000005</v>
      </c>
      <c r="AP719">
        <v>3.4766666666666666</v>
      </c>
      <c r="AQ719">
        <v>573</v>
      </c>
      <c r="AR719">
        <v>149</v>
      </c>
      <c r="AS719">
        <v>1287</v>
      </c>
      <c r="AX719" t="s">
        <v>60</v>
      </c>
    </row>
    <row r="720" spans="1:50" x14ac:dyDescent="0.45">
      <c r="A720">
        <v>10719</v>
      </c>
      <c r="B720">
        <v>1</v>
      </c>
      <c r="C720">
        <v>88.06</v>
      </c>
      <c r="D720">
        <v>0</v>
      </c>
      <c r="E720">
        <v>0</v>
      </c>
      <c r="F720">
        <v>0</v>
      </c>
      <c r="G720">
        <v>0</v>
      </c>
      <c r="H720">
        <v>1.8900000000000001</v>
      </c>
      <c r="I720">
        <v>0</v>
      </c>
      <c r="J720">
        <v>3.47</v>
      </c>
      <c r="K720">
        <v>0</v>
      </c>
      <c r="L720">
        <v>6.59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1</v>
      </c>
      <c r="Y720">
        <v>0</v>
      </c>
      <c r="Z720">
        <v>1</v>
      </c>
      <c r="AA720">
        <v>0</v>
      </c>
      <c r="AB720">
        <v>0</v>
      </c>
      <c r="AC720">
        <v>1</v>
      </c>
      <c r="AD720">
        <f>AQ720</f>
        <v>766.346</v>
      </c>
      <c r="AF720">
        <v>0</v>
      </c>
      <c r="AG720">
        <v>1</v>
      </c>
      <c r="AH720">
        <v>0</v>
      </c>
      <c r="AI720">
        <v>0</v>
      </c>
      <c r="AO720">
        <v>12.071</v>
      </c>
      <c r="AP720">
        <v>0.57833333333333337</v>
      </c>
      <c r="AQ720">
        <v>766.346</v>
      </c>
      <c r="AR720">
        <v>79.5</v>
      </c>
      <c r="AS720">
        <v>897</v>
      </c>
      <c r="AX720" t="s">
        <v>60</v>
      </c>
    </row>
    <row r="721" spans="1:50" x14ac:dyDescent="0.45">
      <c r="A721">
        <v>10720</v>
      </c>
      <c r="B721">
        <v>1</v>
      </c>
      <c r="C721">
        <v>82.96</v>
      </c>
      <c r="D721">
        <v>3.7699999999999996</v>
      </c>
      <c r="E721">
        <v>0</v>
      </c>
      <c r="F721">
        <v>4.9000000000000004</v>
      </c>
      <c r="G721">
        <v>0</v>
      </c>
      <c r="H721">
        <v>0</v>
      </c>
      <c r="I721">
        <v>0</v>
      </c>
      <c r="J721">
        <v>8.3699999999999992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1</v>
      </c>
      <c r="Y721">
        <v>0</v>
      </c>
      <c r="Z721">
        <v>1</v>
      </c>
      <c r="AA721">
        <v>0</v>
      </c>
      <c r="AB721">
        <v>0</v>
      </c>
      <c r="AC721">
        <v>1</v>
      </c>
      <c r="AD721">
        <f>AQ721</f>
        <v>772.87400000000002</v>
      </c>
      <c r="AF721">
        <v>1</v>
      </c>
      <c r="AG721">
        <v>0</v>
      </c>
      <c r="AH721">
        <v>0</v>
      </c>
      <c r="AI721">
        <v>0</v>
      </c>
      <c r="AO721">
        <v>4.0700000000000012</v>
      </c>
      <c r="AP721">
        <v>5.1649999999999991</v>
      </c>
      <c r="AQ721">
        <v>772.87400000000002</v>
      </c>
      <c r="AR721">
        <v>58</v>
      </c>
      <c r="AS721">
        <v>625.4</v>
      </c>
      <c r="AX721" t="s">
        <v>60</v>
      </c>
    </row>
    <row r="722" spans="1:50" x14ac:dyDescent="0.45">
      <c r="A722">
        <v>10721</v>
      </c>
      <c r="B722">
        <v>1</v>
      </c>
      <c r="C722">
        <v>87.94</v>
      </c>
      <c r="D722">
        <v>0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3.54</v>
      </c>
      <c r="K722">
        <v>0</v>
      </c>
      <c r="L722">
        <v>6.47</v>
      </c>
      <c r="M722">
        <v>2.0499999999999998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Y722">
        <v>1</v>
      </c>
      <c r="Z722">
        <v>0</v>
      </c>
      <c r="AA722">
        <v>0</v>
      </c>
      <c r="AB722">
        <v>0</v>
      </c>
      <c r="AC722">
        <v>0</v>
      </c>
      <c r="AI722">
        <v>0</v>
      </c>
      <c r="AO722">
        <v>6.47</v>
      </c>
      <c r="AP722">
        <v>1.2733333333333332</v>
      </c>
      <c r="AQ722">
        <v>804.71899999999994</v>
      </c>
      <c r="AR722">
        <v>83</v>
      </c>
    </row>
    <row r="723" spans="1:50" x14ac:dyDescent="0.45">
      <c r="A723">
        <v>10722</v>
      </c>
      <c r="B723">
        <v>1</v>
      </c>
      <c r="C723">
        <v>54</v>
      </c>
      <c r="D723">
        <v>0</v>
      </c>
      <c r="E723">
        <v>0</v>
      </c>
      <c r="F723">
        <v>0</v>
      </c>
      <c r="G723">
        <v>0</v>
      </c>
      <c r="H723">
        <v>0</v>
      </c>
      <c r="I723">
        <v>0</v>
      </c>
      <c r="J723">
        <v>3</v>
      </c>
      <c r="K723">
        <v>35</v>
      </c>
      <c r="L723">
        <v>3</v>
      </c>
      <c r="M723">
        <v>5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Y723">
        <v>1</v>
      </c>
      <c r="Z723">
        <v>0</v>
      </c>
      <c r="AA723">
        <v>0</v>
      </c>
      <c r="AB723">
        <v>0</v>
      </c>
      <c r="AC723">
        <v>1</v>
      </c>
      <c r="AD723">
        <v>800</v>
      </c>
      <c r="AE723">
        <v>0.5</v>
      </c>
      <c r="AF723">
        <v>1</v>
      </c>
      <c r="AG723">
        <v>0</v>
      </c>
      <c r="AH723">
        <v>0</v>
      </c>
      <c r="AI723">
        <v>0</v>
      </c>
      <c r="AO723">
        <v>12.8</v>
      </c>
      <c r="AP723">
        <v>2.166666666666667</v>
      </c>
      <c r="AQ723">
        <v>853.8</v>
      </c>
      <c r="AR723">
        <v>70</v>
      </c>
      <c r="AS723">
        <v>668</v>
      </c>
      <c r="AT723">
        <v>690</v>
      </c>
      <c r="AU723">
        <v>18</v>
      </c>
      <c r="AX723" t="s">
        <v>158</v>
      </c>
    </row>
    <row r="724" spans="1:50" x14ac:dyDescent="0.45">
      <c r="A724">
        <v>10723</v>
      </c>
      <c r="B724">
        <v>1</v>
      </c>
      <c r="C724">
        <v>51</v>
      </c>
      <c r="D724">
        <v>0</v>
      </c>
      <c r="E724">
        <v>0</v>
      </c>
      <c r="F724">
        <v>0</v>
      </c>
      <c r="G724">
        <v>0</v>
      </c>
      <c r="H724">
        <v>0</v>
      </c>
      <c r="I724">
        <v>0</v>
      </c>
      <c r="J724">
        <v>3</v>
      </c>
      <c r="K724">
        <v>35</v>
      </c>
      <c r="L724">
        <v>6</v>
      </c>
      <c r="M724">
        <v>5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Y724">
        <v>1</v>
      </c>
      <c r="Z724">
        <v>0</v>
      </c>
      <c r="AA724">
        <v>0</v>
      </c>
      <c r="AB724">
        <v>0</v>
      </c>
      <c r="AC724">
        <v>1</v>
      </c>
      <c r="AD724">
        <v>800</v>
      </c>
      <c r="AE724">
        <v>0.5</v>
      </c>
      <c r="AF724">
        <v>1</v>
      </c>
      <c r="AG724">
        <v>0</v>
      </c>
      <c r="AH724">
        <v>0</v>
      </c>
      <c r="AI724">
        <v>0</v>
      </c>
      <c r="AO724">
        <v>15.8</v>
      </c>
      <c r="AP724">
        <v>2.166666666666667</v>
      </c>
      <c r="AQ724">
        <v>825.3</v>
      </c>
      <c r="AR724">
        <v>85</v>
      </c>
      <c r="AS724">
        <v>729</v>
      </c>
      <c r="AT724">
        <v>770</v>
      </c>
      <c r="AU724">
        <v>10.5</v>
      </c>
      <c r="AX724" t="s">
        <v>158</v>
      </c>
    </row>
    <row r="725" spans="1:50" x14ac:dyDescent="0.45">
      <c r="A725">
        <v>10724</v>
      </c>
      <c r="B725">
        <v>1</v>
      </c>
      <c r="C725">
        <v>44</v>
      </c>
      <c r="D725">
        <v>0</v>
      </c>
      <c r="E725">
        <v>0</v>
      </c>
      <c r="F725">
        <v>0</v>
      </c>
      <c r="G725">
        <v>0</v>
      </c>
      <c r="H725">
        <v>0</v>
      </c>
      <c r="I725">
        <v>0</v>
      </c>
      <c r="J725">
        <v>9</v>
      </c>
      <c r="K725">
        <v>35</v>
      </c>
      <c r="L725">
        <v>9</v>
      </c>
      <c r="M725">
        <v>3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Y725">
        <v>1</v>
      </c>
      <c r="Z725">
        <v>0</v>
      </c>
      <c r="AA725">
        <v>0</v>
      </c>
      <c r="AB725">
        <v>0</v>
      </c>
      <c r="AC725">
        <v>1</v>
      </c>
      <c r="AD725">
        <v>800</v>
      </c>
      <c r="AE725">
        <v>0.5</v>
      </c>
      <c r="AF725">
        <v>1</v>
      </c>
      <c r="AG725">
        <v>0</v>
      </c>
      <c r="AH725">
        <v>0</v>
      </c>
      <c r="AI725">
        <v>0</v>
      </c>
      <c r="AO725">
        <v>18.8</v>
      </c>
      <c r="AP725">
        <v>2.5</v>
      </c>
      <c r="AQ725">
        <v>747</v>
      </c>
      <c r="AR725">
        <v>70</v>
      </c>
      <c r="AS725">
        <v>781</v>
      </c>
      <c r="AT725">
        <v>833</v>
      </c>
      <c r="AU725">
        <v>10.199999999999999</v>
      </c>
      <c r="AX725" t="s">
        <v>158</v>
      </c>
    </row>
    <row r="726" spans="1:50" x14ac:dyDescent="0.45">
      <c r="A726">
        <v>10725</v>
      </c>
      <c r="B726">
        <v>1</v>
      </c>
      <c r="C726">
        <v>52</v>
      </c>
      <c r="D726">
        <v>0</v>
      </c>
      <c r="E726">
        <v>0</v>
      </c>
      <c r="F726">
        <v>0</v>
      </c>
      <c r="G726">
        <v>0</v>
      </c>
      <c r="H726">
        <v>0</v>
      </c>
      <c r="I726">
        <v>0</v>
      </c>
      <c r="J726">
        <v>6</v>
      </c>
      <c r="K726">
        <v>35</v>
      </c>
      <c r="L726">
        <v>3</v>
      </c>
      <c r="M726">
        <v>4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Y726">
        <v>1</v>
      </c>
      <c r="Z726">
        <v>0</v>
      </c>
      <c r="AA726">
        <v>0</v>
      </c>
      <c r="AB726">
        <v>0</v>
      </c>
      <c r="AC726">
        <v>1</v>
      </c>
      <c r="AD726">
        <v>800</v>
      </c>
      <c r="AE726">
        <v>0.5</v>
      </c>
      <c r="AF726">
        <v>1</v>
      </c>
      <c r="AG726">
        <v>0</v>
      </c>
      <c r="AH726">
        <v>0</v>
      </c>
      <c r="AI726">
        <v>0</v>
      </c>
      <c r="AO726">
        <v>12.8</v>
      </c>
      <c r="AP726">
        <v>2.333333333333333</v>
      </c>
      <c r="AQ726">
        <v>828.9</v>
      </c>
      <c r="AR726">
        <v>55</v>
      </c>
      <c r="AS726">
        <v>654</v>
      </c>
      <c r="AT726">
        <v>666</v>
      </c>
      <c r="AU726">
        <v>8.9</v>
      </c>
      <c r="AX726" t="s">
        <v>158</v>
      </c>
    </row>
    <row r="727" spans="1:50" x14ac:dyDescent="0.45">
      <c r="A727">
        <v>10726</v>
      </c>
      <c r="B727">
        <v>1</v>
      </c>
      <c r="C727">
        <v>68</v>
      </c>
      <c r="D727">
        <v>0</v>
      </c>
      <c r="E727">
        <v>0</v>
      </c>
      <c r="F727">
        <v>0</v>
      </c>
      <c r="G727">
        <v>0</v>
      </c>
      <c r="H727">
        <v>0</v>
      </c>
      <c r="I727">
        <v>0</v>
      </c>
      <c r="J727">
        <v>10</v>
      </c>
      <c r="K727">
        <v>10.199999999999999</v>
      </c>
      <c r="L727">
        <v>5.3</v>
      </c>
      <c r="M727">
        <v>6.5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Y727">
        <v>1</v>
      </c>
      <c r="Z727">
        <v>0</v>
      </c>
      <c r="AA727">
        <v>0</v>
      </c>
      <c r="AB727">
        <v>0</v>
      </c>
      <c r="AC727">
        <v>0</v>
      </c>
      <c r="AI727">
        <v>0</v>
      </c>
      <c r="AO727">
        <v>8.1559999999999988</v>
      </c>
      <c r="AP727">
        <v>3.833333333333333</v>
      </c>
      <c r="AQ727">
        <v>789.94999999999993</v>
      </c>
      <c r="AR727">
        <v>48</v>
      </c>
      <c r="AS727">
        <v>478</v>
      </c>
      <c r="AT727">
        <v>715</v>
      </c>
      <c r="AU727">
        <v>7.6</v>
      </c>
      <c r="AX727" t="s">
        <v>159</v>
      </c>
    </row>
    <row r="728" spans="1:50" x14ac:dyDescent="0.45">
      <c r="A728">
        <v>10727</v>
      </c>
      <c r="B728">
        <v>1</v>
      </c>
      <c r="C728">
        <v>61.7</v>
      </c>
      <c r="D728">
        <v>0</v>
      </c>
      <c r="E728">
        <v>0</v>
      </c>
      <c r="F728">
        <v>0</v>
      </c>
      <c r="G728">
        <v>0</v>
      </c>
      <c r="H728">
        <v>0</v>
      </c>
      <c r="I728">
        <v>0</v>
      </c>
      <c r="J728">
        <v>9.1</v>
      </c>
      <c r="K728">
        <v>18.5</v>
      </c>
      <c r="L728">
        <v>4.8</v>
      </c>
      <c r="M728">
        <v>5.9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Y728">
        <v>1</v>
      </c>
      <c r="Z728">
        <v>0</v>
      </c>
      <c r="AA728">
        <v>0</v>
      </c>
      <c r="AB728">
        <v>0</v>
      </c>
      <c r="AC728">
        <v>0</v>
      </c>
      <c r="AI728">
        <v>0</v>
      </c>
      <c r="AO728">
        <v>9.98</v>
      </c>
      <c r="AP728">
        <v>3.4833333333333334</v>
      </c>
      <c r="AQ728">
        <v>798.39</v>
      </c>
      <c r="AR728">
        <v>72</v>
      </c>
      <c r="AS728">
        <v>499</v>
      </c>
      <c r="AT728">
        <v>519</v>
      </c>
      <c r="AU728">
        <v>6.4</v>
      </c>
      <c r="AX728" t="s">
        <v>159</v>
      </c>
    </row>
    <row r="729" spans="1:50" x14ac:dyDescent="0.45">
      <c r="A729">
        <v>10728</v>
      </c>
      <c r="B729">
        <v>1</v>
      </c>
      <c r="C729">
        <v>65.599999999999994</v>
      </c>
      <c r="D729">
        <v>0</v>
      </c>
      <c r="E729">
        <v>0</v>
      </c>
      <c r="F729">
        <v>0</v>
      </c>
      <c r="G729">
        <v>0</v>
      </c>
      <c r="H729">
        <v>0</v>
      </c>
      <c r="I729">
        <v>0</v>
      </c>
      <c r="J729">
        <v>9.3000000000000007</v>
      </c>
      <c r="K729">
        <v>14.2</v>
      </c>
      <c r="L729">
        <v>4.9000000000000004</v>
      </c>
      <c r="M729">
        <v>6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Y729">
        <v>1</v>
      </c>
      <c r="Z729">
        <v>0</v>
      </c>
      <c r="AA729">
        <v>0</v>
      </c>
      <c r="AB729">
        <v>0</v>
      </c>
      <c r="AC729">
        <v>0</v>
      </c>
      <c r="AI729">
        <v>0</v>
      </c>
      <c r="AO729">
        <v>8.8760000000000012</v>
      </c>
      <c r="AP729">
        <v>3.55</v>
      </c>
      <c r="AQ729">
        <v>796.48000000000013</v>
      </c>
      <c r="AR729">
        <v>56</v>
      </c>
      <c r="AS729">
        <v>566</v>
      </c>
      <c r="AT729">
        <v>701</v>
      </c>
      <c r="AU729">
        <v>13.6</v>
      </c>
      <c r="AX729" t="s">
        <v>159</v>
      </c>
    </row>
    <row r="730" spans="1:50" x14ac:dyDescent="0.45">
      <c r="A730">
        <v>10729</v>
      </c>
      <c r="B730">
        <v>1</v>
      </c>
      <c r="C730">
        <v>69.599999999999994</v>
      </c>
      <c r="D730">
        <v>0</v>
      </c>
      <c r="E730">
        <v>0</v>
      </c>
      <c r="F730">
        <v>0</v>
      </c>
      <c r="G730">
        <v>0</v>
      </c>
      <c r="H730">
        <v>0</v>
      </c>
      <c r="I730">
        <v>0</v>
      </c>
      <c r="J730">
        <v>9.5</v>
      </c>
      <c r="K730">
        <v>9.6999999999999993</v>
      </c>
      <c r="L730">
        <v>5</v>
      </c>
      <c r="M730">
        <v>6.2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Y730">
        <v>1</v>
      </c>
      <c r="Z730">
        <v>0</v>
      </c>
      <c r="AA730">
        <v>0</v>
      </c>
      <c r="AB730">
        <v>0</v>
      </c>
      <c r="AC730">
        <v>0</v>
      </c>
      <c r="AI730">
        <v>0</v>
      </c>
      <c r="AO730">
        <v>7.7160000000000002</v>
      </c>
      <c r="AP730">
        <v>3.6500000000000004</v>
      </c>
      <c r="AQ730">
        <v>794.99</v>
      </c>
      <c r="AR730">
        <v>54</v>
      </c>
      <c r="AS730">
        <v>235</v>
      </c>
      <c r="AT730">
        <v>715</v>
      </c>
      <c r="AU730">
        <v>12.5</v>
      </c>
      <c r="AX730" t="s">
        <v>159</v>
      </c>
    </row>
    <row r="731" spans="1:50" x14ac:dyDescent="0.45">
      <c r="A731">
        <v>10730</v>
      </c>
      <c r="B731">
        <v>1</v>
      </c>
      <c r="C731">
        <v>73.8</v>
      </c>
      <c r="D731">
        <v>0</v>
      </c>
      <c r="E731">
        <v>0</v>
      </c>
      <c r="F731">
        <v>0</v>
      </c>
      <c r="G731">
        <v>0</v>
      </c>
      <c r="H731">
        <v>0</v>
      </c>
      <c r="I731">
        <v>0</v>
      </c>
      <c r="J731">
        <v>4.9000000000000004</v>
      </c>
      <c r="K731">
        <v>9.9</v>
      </c>
      <c r="L731">
        <v>5.0999999999999996</v>
      </c>
      <c r="M731">
        <v>6.3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Y731">
        <v>1</v>
      </c>
      <c r="Z731">
        <v>0</v>
      </c>
      <c r="AA731">
        <v>0</v>
      </c>
      <c r="AB731">
        <v>0</v>
      </c>
      <c r="AC731">
        <v>0</v>
      </c>
      <c r="AI731">
        <v>0</v>
      </c>
      <c r="AO731">
        <v>7.8719999999999999</v>
      </c>
      <c r="AP731">
        <v>2.916666666666667</v>
      </c>
      <c r="AQ731">
        <v>826.2</v>
      </c>
      <c r="AR731">
        <v>59</v>
      </c>
      <c r="AS731">
        <v>275</v>
      </c>
      <c r="AT731">
        <v>762</v>
      </c>
      <c r="AU731">
        <v>13.8</v>
      </c>
      <c r="AX731" t="s">
        <v>159</v>
      </c>
    </row>
    <row r="732" spans="1:50" x14ac:dyDescent="0.45">
      <c r="A732">
        <v>10731</v>
      </c>
      <c r="B732">
        <v>1</v>
      </c>
      <c r="C732">
        <v>68</v>
      </c>
      <c r="D732">
        <v>0</v>
      </c>
      <c r="E732">
        <v>0</v>
      </c>
      <c r="F732">
        <v>0</v>
      </c>
      <c r="G732">
        <v>0</v>
      </c>
      <c r="H732">
        <v>0</v>
      </c>
      <c r="I732">
        <v>0</v>
      </c>
      <c r="J732">
        <v>5</v>
      </c>
      <c r="K732">
        <v>15.2</v>
      </c>
      <c r="L732">
        <v>5.3</v>
      </c>
      <c r="M732">
        <v>6.5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Y732">
        <v>1</v>
      </c>
      <c r="Z732">
        <v>0</v>
      </c>
      <c r="AA732">
        <v>0</v>
      </c>
      <c r="AB732">
        <v>0</v>
      </c>
      <c r="AC732">
        <v>0</v>
      </c>
      <c r="AI732">
        <v>0</v>
      </c>
      <c r="AO732">
        <v>9.5560000000000009</v>
      </c>
      <c r="AP732">
        <v>3</v>
      </c>
      <c r="AQ732">
        <v>824.44999999999993</v>
      </c>
      <c r="AR732">
        <v>55</v>
      </c>
      <c r="AS732">
        <v>533</v>
      </c>
      <c r="AT732">
        <v>692</v>
      </c>
      <c r="AU732">
        <v>14.2</v>
      </c>
      <c r="AX732" t="s">
        <v>159</v>
      </c>
    </row>
    <row r="733" spans="1:50" x14ac:dyDescent="0.45">
      <c r="A733">
        <v>10732</v>
      </c>
      <c r="B733">
        <v>1</v>
      </c>
      <c r="C733">
        <v>46</v>
      </c>
      <c r="D733">
        <v>0</v>
      </c>
      <c r="E733">
        <v>0</v>
      </c>
      <c r="F733">
        <v>0</v>
      </c>
      <c r="G733">
        <v>0</v>
      </c>
      <c r="H733">
        <v>0</v>
      </c>
      <c r="I733">
        <v>0</v>
      </c>
      <c r="J733">
        <v>9</v>
      </c>
      <c r="K733">
        <v>35</v>
      </c>
      <c r="L733">
        <v>6</v>
      </c>
      <c r="M733">
        <v>4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1</v>
      </c>
      <c r="W733">
        <v>20</v>
      </c>
      <c r="Y733">
        <v>0</v>
      </c>
      <c r="Z733">
        <v>1</v>
      </c>
      <c r="AA733">
        <v>0</v>
      </c>
      <c r="AB733">
        <v>0</v>
      </c>
      <c r="AC733">
        <v>1</v>
      </c>
      <c r="AD733">
        <v>800</v>
      </c>
      <c r="AE733">
        <v>0.5</v>
      </c>
      <c r="AF733">
        <v>1</v>
      </c>
      <c r="AG733">
        <v>0</v>
      </c>
      <c r="AH733">
        <v>0</v>
      </c>
      <c r="AI733">
        <v>0</v>
      </c>
      <c r="AO733">
        <v>15.8</v>
      </c>
      <c r="AP733">
        <v>2.833333333333333</v>
      </c>
      <c r="AQ733">
        <v>779.69999999999993</v>
      </c>
      <c r="AT733">
        <v>797</v>
      </c>
      <c r="AU733">
        <v>14.12</v>
      </c>
      <c r="AX733" t="s">
        <v>160</v>
      </c>
    </row>
    <row r="734" spans="1:50" x14ac:dyDescent="0.45">
      <c r="A734">
        <v>10733</v>
      </c>
      <c r="B734">
        <v>1</v>
      </c>
      <c r="C734">
        <v>46</v>
      </c>
      <c r="D734">
        <v>0</v>
      </c>
      <c r="E734">
        <v>0</v>
      </c>
      <c r="F734">
        <v>0</v>
      </c>
      <c r="G734">
        <v>0</v>
      </c>
      <c r="H734">
        <v>0</v>
      </c>
      <c r="I734">
        <v>0</v>
      </c>
      <c r="J734">
        <v>9</v>
      </c>
      <c r="K734">
        <v>35</v>
      </c>
      <c r="L734">
        <v>6</v>
      </c>
      <c r="M734">
        <v>4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1</v>
      </c>
      <c r="W734">
        <v>20</v>
      </c>
      <c r="X734">
        <v>23</v>
      </c>
      <c r="Y734">
        <v>0</v>
      </c>
      <c r="Z734">
        <v>1</v>
      </c>
      <c r="AA734">
        <v>0</v>
      </c>
      <c r="AB734">
        <v>0</v>
      </c>
      <c r="AC734">
        <v>1</v>
      </c>
      <c r="AD734">
        <v>800</v>
      </c>
      <c r="AE734">
        <v>0.5</v>
      </c>
      <c r="AF734">
        <v>1</v>
      </c>
      <c r="AG734">
        <v>0</v>
      </c>
      <c r="AH734">
        <v>0</v>
      </c>
      <c r="AI734">
        <v>0</v>
      </c>
      <c r="AO734">
        <v>15.8</v>
      </c>
      <c r="AP734">
        <v>2.833333333333333</v>
      </c>
      <c r="AQ734">
        <v>779.69999999999993</v>
      </c>
      <c r="AT734">
        <v>857</v>
      </c>
      <c r="AU734">
        <v>12.41</v>
      </c>
      <c r="AX734" t="s">
        <v>161</v>
      </c>
    </row>
    <row r="735" spans="1:50" x14ac:dyDescent="0.45">
      <c r="A735">
        <v>10734</v>
      </c>
      <c r="B735">
        <v>1</v>
      </c>
      <c r="C735">
        <v>46</v>
      </c>
      <c r="D735">
        <v>0</v>
      </c>
      <c r="E735">
        <v>0</v>
      </c>
      <c r="F735">
        <v>0</v>
      </c>
      <c r="G735">
        <v>0</v>
      </c>
      <c r="H735">
        <v>0</v>
      </c>
      <c r="I735">
        <v>0</v>
      </c>
      <c r="J735">
        <v>9</v>
      </c>
      <c r="K735">
        <v>35</v>
      </c>
      <c r="L735">
        <v>6</v>
      </c>
      <c r="M735">
        <v>4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1</v>
      </c>
      <c r="W735">
        <v>20</v>
      </c>
      <c r="X735">
        <v>44</v>
      </c>
      <c r="Y735">
        <v>0</v>
      </c>
      <c r="Z735">
        <v>1</v>
      </c>
      <c r="AA735">
        <v>0</v>
      </c>
      <c r="AB735">
        <v>0</v>
      </c>
      <c r="AC735">
        <v>1</v>
      </c>
      <c r="AD735">
        <v>800</v>
      </c>
      <c r="AE735">
        <v>0.5</v>
      </c>
      <c r="AF735">
        <v>1</v>
      </c>
      <c r="AG735">
        <v>0</v>
      </c>
      <c r="AH735">
        <v>0</v>
      </c>
      <c r="AI735">
        <v>0</v>
      </c>
      <c r="AO735">
        <v>15.8</v>
      </c>
      <c r="AP735">
        <v>2.833333333333333</v>
      </c>
      <c r="AQ735">
        <v>779.69999999999993</v>
      </c>
      <c r="AT735">
        <v>935</v>
      </c>
      <c r="AU735">
        <v>8.9</v>
      </c>
      <c r="AX735" t="s">
        <v>162</v>
      </c>
    </row>
    <row r="736" spans="1:50" x14ac:dyDescent="0.45">
      <c r="A736">
        <v>10735</v>
      </c>
      <c r="B736">
        <v>1</v>
      </c>
      <c r="C736">
        <v>46</v>
      </c>
      <c r="D736">
        <v>0</v>
      </c>
      <c r="E736">
        <v>0</v>
      </c>
      <c r="F736">
        <v>0</v>
      </c>
      <c r="G736">
        <v>0</v>
      </c>
      <c r="H736">
        <v>0</v>
      </c>
      <c r="I736">
        <v>0</v>
      </c>
      <c r="J736">
        <v>9</v>
      </c>
      <c r="K736">
        <v>35</v>
      </c>
      <c r="L736">
        <v>6</v>
      </c>
      <c r="M736">
        <v>4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1</v>
      </c>
      <c r="W736">
        <v>20</v>
      </c>
      <c r="X736">
        <v>66</v>
      </c>
      <c r="Y736">
        <v>0</v>
      </c>
      <c r="Z736">
        <v>1</v>
      </c>
      <c r="AA736">
        <v>0</v>
      </c>
      <c r="AB736">
        <v>0</v>
      </c>
      <c r="AC736">
        <v>1</v>
      </c>
      <c r="AD736">
        <v>800</v>
      </c>
      <c r="AE736">
        <v>0.5</v>
      </c>
      <c r="AF736">
        <v>1</v>
      </c>
      <c r="AG736">
        <v>0</v>
      </c>
      <c r="AH736">
        <v>0</v>
      </c>
      <c r="AI736">
        <v>0</v>
      </c>
      <c r="AO736">
        <v>15.8</v>
      </c>
      <c r="AP736">
        <v>2.833333333333333</v>
      </c>
      <c r="AQ736">
        <v>779.69999999999993</v>
      </c>
      <c r="AT736">
        <v>1009</v>
      </c>
      <c r="AU736">
        <v>7.98</v>
      </c>
      <c r="AX736" t="s">
        <v>163</v>
      </c>
    </row>
    <row r="737" spans="1:50" x14ac:dyDescent="0.45">
      <c r="A737">
        <v>10736</v>
      </c>
      <c r="B737">
        <v>1</v>
      </c>
      <c r="C737">
        <v>46</v>
      </c>
      <c r="D737">
        <v>0</v>
      </c>
      <c r="E737">
        <v>0</v>
      </c>
      <c r="F737">
        <v>0</v>
      </c>
      <c r="G737">
        <v>0</v>
      </c>
      <c r="H737">
        <v>0</v>
      </c>
      <c r="I737">
        <v>0</v>
      </c>
      <c r="J737">
        <v>9</v>
      </c>
      <c r="K737">
        <v>35</v>
      </c>
      <c r="L737">
        <v>6</v>
      </c>
      <c r="M737">
        <v>4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1</v>
      </c>
      <c r="W737">
        <v>20</v>
      </c>
      <c r="X737">
        <v>85</v>
      </c>
      <c r="Y737">
        <v>0</v>
      </c>
      <c r="Z737">
        <v>1</v>
      </c>
      <c r="AA737">
        <v>0</v>
      </c>
      <c r="AB737">
        <v>0</v>
      </c>
      <c r="AC737">
        <v>1</v>
      </c>
      <c r="AD737">
        <v>800</v>
      </c>
      <c r="AE737">
        <v>0.5</v>
      </c>
      <c r="AF737">
        <v>1</v>
      </c>
      <c r="AG737">
        <v>0</v>
      </c>
      <c r="AH737">
        <v>0</v>
      </c>
      <c r="AI737">
        <v>0</v>
      </c>
      <c r="AO737">
        <v>15.8</v>
      </c>
      <c r="AP737">
        <v>2.833333333333333</v>
      </c>
      <c r="AQ737">
        <v>779.69999999999993</v>
      </c>
      <c r="AT737">
        <v>1110</v>
      </c>
      <c r="AU737">
        <v>4.42</v>
      </c>
      <c r="AX737" t="s">
        <v>164</v>
      </c>
    </row>
    <row r="738" spans="1:50" x14ac:dyDescent="0.45">
      <c r="A738">
        <v>10737</v>
      </c>
      <c r="B738">
        <v>1</v>
      </c>
      <c r="C738">
        <v>61.7</v>
      </c>
      <c r="D738">
        <v>0</v>
      </c>
      <c r="E738">
        <v>0</v>
      </c>
      <c r="F738">
        <v>0</v>
      </c>
      <c r="G738">
        <v>0</v>
      </c>
      <c r="H738">
        <v>0</v>
      </c>
      <c r="I738">
        <v>0</v>
      </c>
      <c r="J738">
        <v>9.1</v>
      </c>
      <c r="K738">
        <v>18.5</v>
      </c>
      <c r="L738">
        <v>4.8</v>
      </c>
      <c r="M738">
        <v>5.9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Y738">
        <v>1</v>
      </c>
      <c r="Z738">
        <v>0</v>
      </c>
      <c r="AA738">
        <v>0</v>
      </c>
      <c r="AB738">
        <v>0</v>
      </c>
      <c r="AC738">
        <v>0</v>
      </c>
      <c r="AI738">
        <v>0</v>
      </c>
      <c r="AO738">
        <v>9.98</v>
      </c>
      <c r="AP738">
        <v>3.4833333333333334</v>
      </c>
      <c r="AQ738">
        <v>798.39</v>
      </c>
      <c r="AS738">
        <v>499</v>
      </c>
      <c r="AT738">
        <v>519</v>
      </c>
      <c r="AU738">
        <v>6.4</v>
      </c>
      <c r="AX738" t="s">
        <v>108</v>
      </c>
    </row>
    <row r="739" spans="1:50" x14ac:dyDescent="0.45">
      <c r="A739">
        <v>10738</v>
      </c>
      <c r="B739">
        <v>1</v>
      </c>
      <c r="C739">
        <v>65.599999999999994</v>
      </c>
      <c r="D739">
        <v>0</v>
      </c>
      <c r="E739">
        <v>0</v>
      </c>
      <c r="F739">
        <v>0</v>
      </c>
      <c r="G739">
        <v>0</v>
      </c>
      <c r="H739">
        <v>0</v>
      </c>
      <c r="I739">
        <v>0</v>
      </c>
      <c r="J739">
        <v>9.3000000000000007</v>
      </c>
      <c r="K739">
        <v>14.2</v>
      </c>
      <c r="L739">
        <v>4.9000000000000004</v>
      </c>
      <c r="M739">
        <v>6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Y739">
        <v>1</v>
      </c>
      <c r="Z739">
        <v>0</v>
      </c>
      <c r="AA739">
        <v>0</v>
      </c>
      <c r="AB739">
        <v>0</v>
      </c>
      <c r="AC739">
        <v>0</v>
      </c>
      <c r="AI739">
        <v>0</v>
      </c>
      <c r="AO739">
        <v>8.8760000000000012</v>
      </c>
      <c r="AP739">
        <v>3.55</v>
      </c>
      <c r="AQ739">
        <v>796.48000000000013</v>
      </c>
      <c r="AS739">
        <v>566</v>
      </c>
      <c r="AT739">
        <v>701</v>
      </c>
      <c r="AU739">
        <v>13.6</v>
      </c>
      <c r="AX739" t="s">
        <v>108</v>
      </c>
    </row>
    <row r="740" spans="1:50" x14ac:dyDescent="0.45">
      <c r="A740">
        <v>10739</v>
      </c>
      <c r="B740">
        <v>1</v>
      </c>
      <c r="C740">
        <v>69.599999999999994</v>
      </c>
      <c r="D740">
        <v>0</v>
      </c>
      <c r="E740">
        <v>0</v>
      </c>
      <c r="F740">
        <v>0</v>
      </c>
      <c r="G740">
        <v>0</v>
      </c>
      <c r="H740">
        <v>0</v>
      </c>
      <c r="I740">
        <v>0</v>
      </c>
      <c r="J740">
        <v>9.5</v>
      </c>
      <c r="K740">
        <v>9.6999999999999993</v>
      </c>
      <c r="L740">
        <v>5</v>
      </c>
      <c r="M740">
        <v>6.2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Y740">
        <v>1</v>
      </c>
      <c r="Z740">
        <v>0</v>
      </c>
      <c r="AA740">
        <v>0</v>
      </c>
      <c r="AB740">
        <v>0</v>
      </c>
      <c r="AC740">
        <v>0</v>
      </c>
      <c r="AI740">
        <v>0</v>
      </c>
      <c r="AO740">
        <v>7.7160000000000002</v>
      </c>
      <c r="AP740">
        <v>3.6500000000000004</v>
      </c>
      <c r="AQ740">
        <v>794.99</v>
      </c>
      <c r="AS740">
        <v>235</v>
      </c>
      <c r="AT740">
        <v>715</v>
      </c>
      <c r="AU740">
        <v>12.5</v>
      </c>
      <c r="AX740" t="s">
        <v>108</v>
      </c>
    </row>
    <row r="741" spans="1:50" x14ac:dyDescent="0.45">
      <c r="A741">
        <v>10740</v>
      </c>
      <c r="B741">
        <v>1</v>
      </c>
      <c r="C741">
        <v>73.8</v>
      </c>
      <c r="D741">
        <v>0</v>
      </c>
      <c r="E741">
        <v>0</v>
      </c>
      <c r="F741">
        <v>0</v>
      </c>
      <c r="G741">
        <v>0</v>
      </c>
      <c r="H741">
        <v>0</v>
      </c>
      <c r="I741">
        <v>0</v>
      </c>
      <c r="J741">
        <v>4.9000000000000004</v>
      </c>
      <c r="K741">
        <v>9.9</v>
      </c>
      <c r="L741">
        <v>5.0999999999999996</v>
      </c>
      <c r="M741">
        <v>6.3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Y741">
        <v>1</v>
      </c>
      <c r="Z741">
        <v>0</v>
      </c>
      <c r="AA741">
        <v>0</v>
      </c>
      <c r="AB741">
        <v>0</v>
      </c>
      <c r="AC741">
        <v>0</v>
      </c>
      <c r="AI741">
        <v>0</v>
      </c>
      <c r="AO741">
        <v>7.8719999999999999</v>
      </c>
      <c r="AP741">
        <v>2.916666666666667</v>
      </c>
      <c r="AQ741">
        <v>826.2</v>
      </c>
      <c r="AS741">
        <v>275</v>
      </c>
      <c r="AT741">
        <v>762</v>
      </c>
      <c r="AU741">
        <v>13.8</v>
      </c>
      <c r="AX741" t="s">
        <v>108</v>
      </c>
    </row>
    <row r="742" spans="1:50" x14ac:dyDescent="0.45">
      <c r="A742">
        <v>10741</v>
      </c>
      <c r="B742">
        <v>1</v>
      </c>
      <c r="C742">
        <v>68</v>
      </c>
      <c r="D742">
        <v>0</v>
      </c>
      <c r="E742">
        <v>0</v>
      </c>
      <c r="F742">
        <v>0</v>
      </c>
      <c r="G742">
        <v>0</v>
      </c>
      <c r="H742">
        <v>0</v>
      </c>
      <c r="I742">
        <v>0</v>
      </c>
      <c r="J742">
        <v>5</v>
      </c>
      <c r="K742">
        <v>15.2</v>
      </c>
      <c r="L742">
        <v>5.3</v>
      </c>
      <c r="M742">
        <v>6.5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Y742">
        <v>1</v>
      </c>
      <c r="Z742">
        <v>0</v>
      </c>
      <c r="AA742">
        <v>0</v>
      </c>
      <c r="AB742">
        <v>0</v>
      </c>
      <c r="AC742">
        <v>0</v>
      </c>
      <c r="AI742">
        <v>0</v>
      </c>
      <c r="AO742">
        <v>9.5560000000000009</v>
      </c>
      <c r="AP742">
        <v>3</v>
      </c>
      <c r="AQ742">
        <v>824.44999999999993</v>
      </c>
      <c r="AS742">
        <v>533</v>
      </c>
      <c r="AT742">
        <v>692</v>
      </c>
      <c r="AU742">
        <v>14.2</v>
      </c>
      <c r="AX742" t="s">
        <v>108</v>
      </c>
    </row>
    <row r="743" spans="1:50" x14ac:dyDescent="0.45">
      <c r="A743">
        <v>10742</v>
      </c>
      <c r="B743">
        <v>1</v>
      </c>
      <c r="C743">
        <v>68</v>
      </c>
      <c r="D743">
        <v>0</v>
      </c>
      <c r="E743">
        <v>0</v>
      </c>
      <c r="F743">
        <v>0</v>
      </c>
      <c r="G743">
        <v>0</v>
      </c>
      <c r="H743">
        <v>0</v>
      </c>
      <c r="I743">
        <v>0</v>
      </c>
      <c r="J743">
        <v>10</v>
      </c>
      <c r="K743">
        <v>10.199999999999999</v>
      </c>
      <c r="L743">
        <v>5.3</v>
      </c>
      <c r="M743">
        <v>6.5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Y743">
        <v>1</v>
      </c>
      <c r="Z743">
        <v>0</v>
      </c>
      <c r="AA743">
        <v>0</v>
      </c>
      <c r="AB743">
        <v>0</v>
      </c>
      <c r="AC743">
        <v>0</v>
      </c>
      <c r="AI743">
        <v>0</v>
      </c>
      <c r="AO743">
        <v>8.1559999999999988</v>
      </c>
      <c r="AP743">
        <v>3.833333333333333</v>
      </c>
      <c r="AQ743">
        <v>789.94999999999993</v>
      </c>
      <c r="AS743">
        <v>478</v>
      </c>
      <c r="AT743">
        <v>715</v>
      </c>
      <c r="AU743">
        <v>7.6</v>
      </c>
      <c r="AX743" t="s">
        <v>108</v>
      </c>
    </row>
    <row r="744" spans="1:50" x14ac:dyDescent="0.45">
      <c r="A744">
        <v>10743</v>
      </c>
      <c r="B744">
        <v>1</v>
      </c>
      <c r="C744">
        <v>68</v>
      </c>
      <c r="D744">
        <v>0</v>
      </c>
      <c r="E744">
        <v>0</v>
      </c>
      <c r="F744">
        <v>0</v>
      </c>
      <c r="G744">
        <v>0</v>
      </c>
      <c r="H744">
        <v>0</v>
      </c>
      <c r="I744">
        <v>0</v>
      </c>
      <c r="J744">
        <v>10</v>
      </c>
      <c r="K744">
        <v>10.199999999999999</v>
      </c>
      <c r="L744">
        <v>5.3</v>
      </c>
      <c r="M744">
        <v>6.5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1</v>
      </c>
      <c r="W744">
        <v>90</v>
      </c>
      <c r="Y744">
        <v>0</v>
      </c>
      <c r="Z744">
        <v>1</v>
      </c>
      <c r="AA744">
        <v>0</v>
      </c>
      <c r="AB744">
        <v>0</v>
      </c>
      <c r="AC744">
        <v>0</v>
      </c>
      <c r="AI744">
        <v>0</v>
      </c>
      <c r="AO744">
        <v>8.1559999999999988</v>
      </c>
      <c r="AP744">
        <v>3.833333333333333</v>
      </c>
      <c r="AQ744">
        <v>789.94999999999993</v>
      </c>
      <c r="AS744">
        <v>558</v>
      </c>
      <c r="AT744">
        <v>738</v>
      </c>
      <c r="AU744">
        <v>2.7</v>
      </c>
      <c r="AX744" t="s">
        <v>108</v>
      </c>
    </row>
    <row r="745" spans="1:50" x14ac:dyDescent="0.45">
      <c r="A745">
        <v>10744</v>
      </c>
      <c r="B745">
        <v>1</v>
      </c>
      <c r="C745">
        <v>68</v>
      </c>
      <c r="D745">
        <v>0</v>
      </c>
      <c r="E745">
        <v>0</v>
      </c>
      <c r="F745">
        <v>0</v>
      </c>
      <c r="G745">
        <v>0</v>
      </c>
      <c r="H745">
        <v>0</v>
      </c>
      <c r="I745">
        <v>0</v>
      </c>
      <c r="J745">
        <v>10</v>
      </c>
      <c r="K745">
        <v>10.199999999999999</v>
      </c>
      <c r="L745">
        <v>5.3</v>
      </c>
      <c r="M745">
        <v>6.5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1</v>
      </c>
      <c r="W745">
        <v>90</v>
      </c>
      <c r="Y745">
        <v>0</v>
      </c>
      <c r="Z745">
        <v>1</v>
      </c>
      <c r="AA745">
        <v>0</v>
      </c>
      <c r="AB745">
        <v>0</v>
      </c>
      <c r="AC745">
        <v>1</v>
      </c>
      <c r="AD745">
        <v>950</v>
      </c>
      <c r="AE745">
        <v>2</v>
      </c>
      <c r="AF745">
        <v>1</v>
      </c>
      <c r="AG745">
        <v>0</v>
      </c>
      <c r="AH745">
        <v>0</v>
      </c>
      <c r="AI745">
        <v>0</v>
      </c>
      <c r="AO745">
        <v>8.1559999999999988</v>
      </c>
      <c r="AP745">
        <v>3.833333333333333</v>
      </c>
      <c r="AQ745">
        <v>789.94999999999993</v>
      </c>
      <c r="AS745">
        <v>408</v>
      </c>
      <c r="AT745">
        <v>577</v>
      </c>
      <c r="AU745">
        <v>6.7</v>
      </c>
      <c r="AX745" t="s">
        <v>108</v>
      </c>
    </row>
    <row r="746" spans="1:50" x14ac:dyDescent="0.45">
      <c r="A746">
        <v>10745</v>
      </c>
      <c r="B746">
        <v>1</v>
      </c>
      <c r="C746">
        <v>68</v>
      </c>
      <c r="D746">
        <v>0</v>
      </c>
      <c r="E746">
        <v>0</v>
      </c>
      <c r="F746">
        <v>0</v>
      </c>
      <c r="G746">
        <v>0</v>
      </c>
      <c r="H746">
        <v>0</v>
      </c>
      <c r="I746">
        <v>0</v>
      </c>
      <c r="J746">
        <v>10</v>
      </c>
      <c r="K746">
        <v>10.199999999999999</v>
      </c>
      <c r="L746">
        <v>5.3</v>
      </c>
      <c r="M746">
        <v>6.5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1</v>
      </c>
      <c r="W746">
        <v>90</v>
      </c>
      <c r="Y746">
        <v>0</v>
      </c>
      <c r="Z746">
        <v>1</v>
      </c>
      <c r="AA746">
        <v>0</v>
      </c>
      <c r="AB746">
        <v>0</v>
      </c>
      <c r="AC746">
        <v>0</v>
      </c>
      <c r="AI746">
        <v>1</v>
      </c>
      <c r="AJ746">
        <v>400</v>
      </c>
      <c r="AK746">
        <v>0.33333333300000001</v>
      </c>
      <c r="AL746">
        <v>1</v>
      </c>
      <c r="AM746">
        <v>0</v>
      </c>
      <c r="AN746">
        <v>0</v>
      </c>
      <c r="AO746">
        <v>8.1559999999999988</v>
      </c>
      <c r="AP746">
        <v>3.833333333333333</v>
      </c>
      <c r="AQ746">
        <v>789.94999999999993</v>
      </c>
      <c r="AS746">
        <v>1176</v>
      </c>
      <c r="AT746">
        <v>1369</v>
      </c>
      <c r="AU746">
        <v>2.9</v>
      </c>
      <c r="AX746" t="s">
        <v>108</v>
      </c>
    </row>
    <row r="747" spans="1:50" x14ac:dyDescent="0.45">
      <c r="A747">
        <v>10746</v>
      </c>
      <c r="B747">
        <v>1</v>
      </c>
      <c r="C747">
        <v>68</v>
      </c>
      <c r="D747">
        <v>0</v>
      </c>
      <c r="E747">
        <v>0</v>
      </c>
      <c r="F747">
        <v>0</v>
      </c>
      <c r="G747">
        <v>0</v>
      </c>
      <c r="H747">
        <v>0</v>
      </c>
      <c r="I747">
        <v>0</v>
      </c>
      <c r="J747">
        <v>10</v>
      </c>
      <c r="K747">
        <v>10.199999999999999</v>
      </c>
      <c r="L747">
        <v>5.3</v>
      </c>
      <c r="M747">
        <v>6.5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1</v>
      </c>
      <c r="W747">
        <v>90</v>
      </c>
      <c r="Y747">
        <v>0</v>
      </c>
      <c r="Z747">
        <v>1</v>
      </c>
      <c r="AA747">
        <v>0</v>
      </c>
      <c r="AB747">
        <v>0</v>
      </c>
      <c r="AC747">
        <v>1</v>
      </c>
      <c r="AD747">
        <v>950</v>
      </c>
      <c r="AE747">
        <v>1</v>
      </c>
      <c r="AF747">
        <v>1</v>
      </c>
      <c r="AG747">
        <v>0</v>
      </c>
      <c r="AH747">
        <v>0</v>
      </c>
      <c r="AI747">
        <v>0</v>
      </c>
      <c r="AO747">
        <v>8.1559999999999988</v>
      </c>
      <c r="AP747">
        <v>3.833333333333333</v>
      </c>
      <c r="AQ747">
        <v>789.94999999999993</v>
      </c>
      <c r="AS747">
        <v>602</v>
      </c>
      <c r="AT747">
        <v>813</v>
      </c>
      <c r="AU747">
        <v>8.1</v>
      </c>
      <c r="AW747" t="s">
        <v>352</v>
      </c>
      <c r="AX747" t="s">
        <v>108</v>
      </c>
    </row>
    <row r="748" spans="1:50" x14ac:dyDescent="0.45">
      <c r="A748">
        <v>10747</v>
      </c>
      <c r="B748">
        <v>1</v>
      </c>
      <c r="C748">
        <v>68</v>
      </c>
      <c r="D748">
        <v>0</v>
      </c>
      <c r="E748">
        <v>0</v>
      </c>
      <c r="F748">
        <v>0</v>
      </c>
      <c r="G748">
        <v>0</v>
      </c>
      <c r="H748">
        <v>0</v>
      </c>
      <c r="I748">
        <v>0</v>
      </c>
      <c r="J748">
        <v>10</v>
      </c>
      <c r="K748">
        <v>10.199999999999999</v>
      </c>
      <c r="L748">
        <v>5.3</v>
      </c>
      <c r="M748">
        <v>6.5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1</v>
      </c>
      <c r="W748">
        <v>90</v>
      </c>
      <c r="Y748">
        <v>0</v>
      </c>
      <c r="Z748">
        <v>1</v>
      </c>
      <c r="AA748">
        <v>0</v>
      </c>
      <c r="AB748">
        <v>0</v>
      </c>
      <c r="AC748">
        <v>1</v>
      </c>
      <c r="AD748">
        <v>950</v>
      </c>
      <c r="AE748">
        <v>1</v>
      </c>
      <c r="AF748">
        <v>1</v>
      </c>
      <c r="AG748">
        <v>0</v>
      </c>
      <c r="AH748">
        <v>0</v>
      </c>
      <c r="AI748">
        <v>1</v>
      </c>
      <c r="AJ748">
        <v>400</v>
      </c>
      <c r="AK748">
        <v>0.33333333300000001</v>
      </c>
      <c r="AL748">
        <v>1</v>
      </c>
      <c r="AM748">
        <v>0</v>
      </c>
      <c r="AN748">
        <v>0</v>
      </c>
      <c r="AO748">
        <v>8.1559999999999988</v>
      </c>
      <c r="AP748">
        <v>3.833333333333333</v>
      </c>
      <c r="AQ748">
        <v>789.94999999999993</v>
      </c>
      <c r="AS748">
        <v>488</v>
      </c>
      <c r="AT748">
        <v>635</v>
      </c>
      <c r="AU748">
        <v>1.5</v>
      </c>
      <c r="AW748" t="s">
        <v>352</v>
      </c>
      <c r="AX748" t="s">
        <v>108</v>
      </c>
    </row>
    <row r="749" spans="1:50" x14ac:dyDescent="0.45">
      <c r="A749">
        <v>10748</v>
      </c>
      <c r="B749">
        <v>1</v>
      </c>
      <c r="C749">
        <v>76.38000000000001</v>
      </c>
      <c r="D749">
        <v>0</v>
      </c>
      <c r="E749">
        <v>0</v>
      </c>
      <c r="F749">
        <v>0</v>
      </c>
      <c r="G749">
        <v>0</v>
      </c>
      <c r="H749">
        <v>0</v>
      </c>
      <c r="I749">
        <v>0</v>
      </c>
      <c r="J749">
        <v>5.91</v>
      </c>
      <c r="K749">
        <v>11.799999999999999</v>
      </c>
      <c r="L749">
        <v>2.96</v>
      </c>
      <c r="M749">
        <v>2.9499999999999997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Y749">
        <v>1</v>
      </c>
      <c r="Z749">
        <v>0</v>
      </c>
      <c r="AA749">
        <v>0</v>
      </c>
      <c r="AB749">
        <v>0</v>
      </c>
      <c r="AC749">
        <v>0</v>
      </c>
      <c r="AI749">
        <v>0</v>
      </c>
      <c r="AO749">
        <v>6.2639999999999993</v>
      </c>
      <c r="AP749">
        <v>1.9683333333333333</v>
      </c>
      <c r="AQ749">
        <v>825.49099999999999</v>
      </c>
      <c r="AR749">
        <v>72</v>
      </c>
      <c r="AS749">
        <v>499</v>
      </c>
      <c r="AW749" t="s">
        <v>352</v>
      </c>
      <c r="AX749" t="s">
        <v>60</v>
      </c>
    </row>
    <row r="750" spans="1:50" x14ac:dyDescent="0.45">
      <c r="A750">
        <v>10749</v>
      </c>
      <c r="B750">
        <v>1</v>
      </c>
      <c r="C750">
        <v>79.36</v>
      </c>
      <c r="D750">
        <v>0</v>
      </c>
      <c r="E750">
        <v>0</v>
      </c>
      <c r="F750">
        <v>0</v>
      </c>
      <c r="G750">
        <v>0</v>
      </c>
      <c r="H750">
        <v>0</v>
      </c>
      <c r="I750">
        <v>0</v>
      </c>
      <c r="J750">
        <v>5.8999999999999995</v>
      </c>
      <c r="K750">
        <v>8.85</v>
      </c>
      <c r="L750">
        <v>2.96</v>
      </c>
      <c r="M750">
        <v>2.93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Y750">
        <v>1</v>
      </c>
      <c r="Z750">
        <v>0</v>
      </c>
      <c r="AA750">
        <v>0</v>
      </c>
      <c r="AB750">
        <v>0</v>
      </c>
      <c r="AC750">
        <v>0</v>
      </c>
      <c r="AI750">
        <v>0</v>
      </c>
      <c r="AO750">
        <v>5.4380000000000006</v>
      </c>
      <c r="AP750">
        <v>1.96</v>
      </c>
      <c r="AQ750">
        <v>825.476</v>
      </c>
      <c r="AR750">
        <v>56</v>
      </c>
      <c r="AS750">
        <v>566</v>
      </c>
      <c r="AW750" t="s">
        <v>352</v>
      </c>
      <c r="AX750" t="s">
        <v>60</v>
      </c>
    </row>
    <row r="751" spans="1:50" x14ac:dyDescent="0.45">
      <c r="A751">
        <v>10750</v>
      </c>
      <c r="B751">
        <v>1</v>
      </c>
      <c r="C751">
        <v>81.22</v>
      </c>
      <c r="D751">
        <v>0</v>
      </c>
      <c r="E751">
        <v>0</v>
      </c>
      <c r="F751">
        <v>0</v>
      </c>
      <c r="G751">
        <v>0</v>
      </c>
      <c r="H751">
        <v>0</v>
      </c>
      <c r="I751">
        <v>0</v>
      </c>
      <c r="J751">
        <v>3.1300000000000003</v>
      </c>
      <c r="K751">
        <v>9.35</v>
      </c>
      <c r="L751">
        <v>3.16</v>
      </c>
      <c r="M751">
        <v>3.1300000000000003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Y751">
        <v>1</v>
      </c>
      <c r="Z751">
        <v>0</v>
      </c>
      <c r="AA751">
        <v>0</v>
      </c>
      <c r="AB751">
        <v>0</v>
      </c>
      <c r="AC751">
        <v>0</v>
      </c>
      <c r="AI751">
        <v>0</v>
      </c>
      <c r="AO751">
        <v>5.7780000000000005</v>
      </c>
      <c r="AP751">
        <v>1.5650000000000002</v>
      </c>
      <c r="AQ751">
        <v>843.529</v>
      </c>
      <c r="AR751">
        <v>55</v>
      </c>
      <c r="AS751">
        <v>533</v>
      </c>
      <c r="AW751" t="s">
        <v>304</v>
      </c>
      <c r="AX751" t="s">
        <v>60</v>
      </c>
    </row>
    <row r="752" spans="1:50" x14ac:dyDescent="0.45">
      <c r="A752">
        <v>10751</v>
      </c>
      <c r="B752">
        <v>1</v>
      </c>
      <c r="C752">
        <v>79.990000000000009</v>
      </c>
      <c r="D752">
        <v>0</v>
      </c>
      <c r="E752">
        <v>0</v>
      </c>
      <c r="F752">
        <v>0</v>
      </c>
      <c r="G752">
        <v>0</v>
      </c>
      <c r="H752">
        <v>0</v>
      </c>
      <c r="I752">
        <v>0</v>
      </c>
      <c r="J752">
        <v>1.8800000000000001</v>
      </c>
      <c r="K752">
        <v>15.379999999999999</v>
      </c>
      <c r="L752">
        <v>1.79</v>
      </c>
      <c r="M752">
        <v>0.96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1</v>
      </c>
      <c r="Y752">
        <v>0</v>
      </c>
      <c r="Z752">
        <v>1</v>
      </c>
      <c r="AA752">
        <v>0</v>
      </c>
      <c r="AB752">
        <v>0</v>
      </c>
      <c r="AC752">
        <v>1</v>
      </c>
      <c r="AD752">
        <f>AQ752</f>
        <v>856.05500000000006</v>
      </c>
      <c r="AF752">
        <v>0</v>
      </c>
      <c r="AG752">
        <v>1</v>
      </c>
      <c r="AH752">
        <v>0</v>
      </c>
      <c r="AI752">
        <v>0</v>
      </c>
      <c r="AO752">
        <v>6.0964</v>
      </c>
      <c r="AP752">
        <v>0.6333333333333333</v>
      </c>
      <c r="AQ752">
        <v>856.05500000000006</v>
      </c>
      <c r="AR752">
        <v>83</v>
      </c>
      <c r="AS752">
        <v>499.1</v>
      </c>
      <c r="AW752" t="s">
        <v>305</v>
      </c>
      <c r="AX752" t="s">
        <v>60</v>
      </c>
    </row>
    <row r="753" spans="1:50" x14ac:dyDescent="0.45">
      <c r="A753">
        <v>10752</v>
      </c>
      <c r="B753">
        <v>1</v>
      </c>
      <c r="C753">
        <v>80.64</v>
      </c>
      <c r="D753">
        <v>0</v>
      </c>
      <c r="E753">
        <v>0</v>
      </c>
      <c r="F753">
        <v>0</v>
      </c>
      <c r="G753">
        <v>0</v>
      </c>
      <c r="H753">
        <v>0</v>
      </c>
      <c r="I753">
        <v>0</v>
      </c>
      <c r="J753">
        <v>1.7399999999999998</v>
      </c>
      <c r="K753">
        <v>14.93</v>
      </c>
      <c r="L753">
        <v>1.78</v>
      </c>
      <c r="M753">
        <v>0.91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1</v>
      </c>
      <c r="Y753">
        <v>0</v>
      </c>
      <c r="Z753">
        <v>1</v>
      </c>
      <c r="AA753">
        <v>0</v>
      </c>
      <c r="AB753">
        <v>0</v>
      </c>
      <c r="AC753">
        <v>1</v>
      </c>
      <c r="AD753">
        <f>AQ753</f>
        <v>856.90600000000006</v>
      </c>
      <c r="AF753">
        <v>1</v>
      </c>
      <c r="AG753">
        <v>0</v>
      </c>
      <c r="AH753">
        <v>0</v>
      </c>
      <c r="AI753">
        <v>0</v>
      </c>
      <c r="AO753">
        <v>5.9604000000000008</v>
      </c>
      <c r="AP753">
        <v>0.59333333333333327</v>
      </c>
      <c r="AQ753">
        <v>856.90600000000006</v>
      </c>
      <c r="AR753">
        <v>72</v>
      </c>
      <c r="AS753">
        <v>534</v>
      </c>
      <c r="AW753" t="s">
        <v>306</v>
      </c>
      <c r="AX753" t="s">
        <v>60</v>
      </c>
    </row>
    <row r="754" spans="1:50" x14ac:dyDescent="0.45">
      <c r="A754">
        <v>10753</v>
      </c>
      <c r="B754">
        <v>1</v>
      </c>
      <c r="C754">
        <v>78.400000000000006</v>
      </c>
      <c r="D754">
        <v>0</v>
      </c>
      <c r="E754">
        <v>0</v>
      </c>
      <c r="F754">
        <v>0</v>
      </c>
      <c r="G754">
        <v>0</v>
      </c>
      <c r="H754">
        <v>0</v>
      </c>
      <c r="I754">
        <v>0</v>
      </c>
      <c r="J754">
        <v>1.97</v>
      </c>
      <c r="K754">
        <v>15.329999999999998</v>
      </c>
      <c r="L754">
        <v>3.32</v>
      </c>
      <c r="M754">
        <v>0.98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1</v>
      </c>
      <c r="Y754">
        <v>0</v>
      </c>
      <c r="Z754">
        <v>1</v>
      </c>
      <c r="AA754">
        <v>0</v>
      </c>
      <c r="AB754">
        <v>0</v>
      </c>
      <c r="AC754">
        <v>1</v>
      </c>
      <c r="AD754">
        <f>AQ754</f>
        <v>840.98300000000006</v>
      </c>
      <c r="AF754">
        <v>1</v>
      </c>
      <c r="AG754">
        <v>0</v>
      </c>
      <c r="AH754">
        <v>0</v>
      </c>
      <c r="AI754">
        <v>0</v>
      </c>
      <c r="AO754">
        <v>7.6123999999999992</v>
      </c>
      <c r="AP754">
        <v>0.65500000000000003</v>
      </c>
      <c r="AQ754">
        <v>840.98300000000006</v>
      </c>
      <c r="AR754">
        <v>68</v>
      </c>
      <c r="AS754">
        <v>491</v>
      </c>
      <c r="AW754" t="s">
        <v>307</v>
      </c>
      <c r="AX754" t="s">
        <v>60</v>
      </c>
    </row>
    <row r="755" spans="1:50" x14ac:dyDescent="0.45">
      <c r="A755">
        <v>10754</v>
      </c>
      <c r="B755">
        <v>1</v>
      </c>
      <c r="C755">
        <v>81.25</v>
      </c>
      <c r="D755">
        <v>0</v>
      </c>
      <c r="E755">
        <v>0</v>
      </c>
      <c r="F755">
        <v>0</v>
      </c>
      <c r="G755">
        <v>0</v>
      </c>
      <c r="H755">
        <v>0</v>
      </c>
      <c r="I755">
        <v>0</v>
      </c>
      <c r="J755">
        <v>6.25</v>
      </c>
      <c r="K755">
        <v>6.25</v>
      </c>
      <c r="L755">
        <v>3.13</v>
      </c>
      <c r="M755">
        <v>3.12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Y755">
        <v>1</v>
      </c>
      <c r="Z755">
        <v>0</v>
      </c>
      <c r="AA755">
        <v>0</v>
      </c>
      <c r="AB755">
        <v>0</v>
      </c>
      <c r="AC755">
        <v>0</v>
      </c>
      <c r="AI755">
        <v>0</v>
      </c>
      <c r="AO755">
        <v>4.88</v>
      </c>
      <c r="AP755">
        <v>2.081666666666667</v>
      </c>
      <c r="AQ755">
        <v>822.24400000000003</v>
      </c>
      <c r="AR755">
        <v>48</v>
      </c>
      <c r="AW755" t="s">
        <v>308</v>
      </c>
    </row>
    <row r="756" spans="1:50" x14ac:dyDescent="0.45">
      <c r="A756">
        <v>10755</v>
      </c>
      <c r="B756">
        <v>1</v>
      </c>
      <c r="C756">
        <v>75</v>
      </c>
      <c r="D756">
        <v>0</v>
      </c>
      <c r="E756">
        <v>0</v>
      </c>
      <c r="F756">
        <v>0</v>
      </c>
      <c r="G756">
        <v>0</v>
      </c>
      <c r="H756">
        <v>0</v>
      </c>
      <c r="I756">
        <v>0</v>
      </c>
      <c r="J756">
        <v>12.5</v>
      </c>
      <c r="K756">
        <v>6.25</v>
      </c>
      <c r="L756">
        <v>3.13</v>
      </c>
      <c r="M756">
        <v>3.12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Y756">
        <v>1</v>
      </c>
      <c r="Z756">
        <v>0</v>
      </c>
      <c r="AA756">
        <v>0</v>
      </c>
      <c r="AB756">
        <v>0</v>
      </c>
      <c r="AC756">
        <v>0</v>
      </c>
      <c r="AI756">
        <v>0</v>
      </c>
      <c r="AO756">
        <v>4.88</v>
      </c>
      <c r="AP756">
        <v>3.1233333333333335</v>
      </c>
      <c r="AQ756">
        <v>779.11900000000003</v>
      </c>
      <c r="AR756">
        <v>56</v>
      </c>
      <c r="AW756" t="s">
        <v>309</v>
      </c>
    </row>
    <row r="757" spans="1:50" x14ac:dyDescent="0.45">
      <c r="A757">
        <v>10756</v>
      </c>
      <c r="B757">
        <v>1</v>
      </c>
      <c r="C757">
        <v>76.47</v>
      </c>
      <c r="D757">
        <v>0</v>
      </c>
      <c r="E757">
        <v>0</v>
      </c>
      <c r="F757">
        <v>0</v>
      </c>
      <c r="G757">
        <v>0</v>
      </c>
      <c r="H757">
        <v>0</v>
      </c>
      <c r="I757">
        <v>0</v>
      </c>
      <c r="J757">
        <v>5.88</v>
      </c>
      <c r="K757">
        <v>11.76</v>
      </c>
      <c r="L757">
        <v>2.94</v>
      </c>
      <c r="M757">
        <v>2.95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Y757">
        <v>1</v>
      </c>
      <c r="Z757">
        <v>0</v>
      </c>
      <c r="AA757">
        <v>0</v>
      </c>
      <c r="AB757">
        <v>0</v>
      </c>
      <c r="AC757">
        <v>0</v>
      </c>
      <c r="AI757">
        <v>0</v>
      </c>
      <c r="AO757">
        <v>6.2328000000000001</v>
      </c>
      <c r="AP757">
        <v>1.9633333333333334</v>
      </c>
      <c r="AQ757">
        <v>825.88800000000003</v>
      </c>
      <c r="AR757">
        <v>72</v>
      </c>
      <c r="AW757" t="s">
        <v>310</v>
      </c>
    </row>
    <row r="758" spans="1:50" x14ac:dyDescent="0.45">
      <c r="A758">
        <v>10757</v>
      </c>
      <c r="B758">
        <v>1</v>
      </c>
      <c r="C758">
        <v>68.099999999999994</v>
      </c>
      <c r="D758">
        <v>0</v>
      </c>
      <c r="E758">
        <v>0</v>
      </c>
      <c r="F758">
        <v>0</v>
      </c>
      <c r="G758">
        <v>0</v>
      </c>
      <c r="H758">
        <v>0</v>
      </c>
      <c r="I758">
        <v>0</v>
      </c>
      <c r="J758">
        <v>10</v>
      </c>
      <c r="K758">
        <v>10.199999999999999</v>
      </c>
      <c r="L758">
        <v>5.2</v>
      </c>
      <c r="M758">
        <v>6.5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Y758">
        <v>1</v>
      </c>
      <c r="Z758">
        <v>0</v>
      </c>
      <c r="AA758">
        <v>0</v>
      </c>
      <c r="AB758">
        <v>0</v>
      </c>
      <c r="AC758">
        <v>0</v>
      </c>
      <c r="AI758">
        <v>0</v>
      </c>
      <c r="AO758">
        <v>8.0560000000000009</v>
      </c>
      <c r="AP758">
        <v>3.833333333333333</v>
      </c>
      <c r="AQ758">
        <v>790.9</v>
      </c>
      <c r="AR758">
        <v>48</v>
      </c>
      <c r="AW758" t="s">
        <v>311</v>
      </c>
    </row>
    <row r="759" spans="1:50" x14ac:dyDescent="0.45">
      <c r="A759">
        <v>10758</v>
      </c>
      <c r="B759">
        <v>1</v>
      </c>
      <c r="C759">
        <v>60</v>
      </c>
      <c r="D759">
        <v>0</v>
      </c>
      <c r="E759">
        <v>0</v>
      </c>
      <c r="F759">
        <v>0</v>
      </c>
      <c r="G759">
        <v>0</v>
      </c>
      <c r="H759">
        <v>0</v>
      </c>
      <c r="I759">
        <v>0</v>
      </c>
      <c r="J759">
        <v>19.100000000000001</v>
      </c>
      <c r="K759">
        <v>9.6999999999999993</v>
      </c>
      <c r="L759">
        <v>5</v>
      </c>
      <c r="M759">
        <v>6.2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Y759">
        <v>1</v>
      </c>
      <c r="Z759">
        <v>0</v>
      </c>
      <c r="AA759">
        <v>0</v>
      </c>
      <c r="AB759">
        <v>0</v>
      </c>
      <c r="AC759">
        <v>0</v>
      </c>
      <c r="AI759">
        <v>0</v>
      </c>
      <c r="AO759">
        <v>7.7160000000000002</v>
      </c>
      <c r="AP759">
        <v>5.25</v>
      </c>
      <c r="AQ759">
        <v>728.75</v>
      </c>
      <c r="AR759">
        <v>56</v>
      </c>
      <c r="AW759" t="s">
        <v>312</v>
      </c>
    </row>
    <row r="760" spans="1:50" x14ac:dyDescent="0.45">
      <c r="A760">
        <v>10759</v>
      </c>
      <c r="B760">
        <v>1</v>
      </c>
      <c r="C760">
        <v>61.9</v>
      </c>
      <c r="D760">
        <v>0</v>
      </c>
      <c r="E760">
        <v>0</v>
      </c>
      <c r="F760">
        <v>0</v>
      </c>
      <c r="G760">
        <v>0</v>
      </c>
      <c r="H760">
        <v>0</v>
      </c>
      <c r="I760">
        <v>0</v>
      </c>
      <c r="J760">
        <v>9.1</v>
      </c>
      <c r="K760">
        <v>18.5</v>
      </c>
      <c r="L760">
        <v>4.7</v>
      </c>
      <c r="M760">
        <v>5.8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Y760">
        <v>1</v>
      </c>
      <c r="Z760">
        <v>0</v>
      </c>
      <c r="AA760">
        <v>0</v>
      </c>
      <c r="AB760">
        <v>0</v>
      </c>
      <c r="AC760">
        <v>0</v>
      </c>
      <c r="AI760">
        <v>0</v>
      </c>
      <c r="AO760">
        <v>9.8800000000000008</v>
      </c>
      <c r="AP760">
        <v>3.45</v>
      </c>
      <c r="AQ760">
        <v>798.92000000000007</v>
      </c>
      <c r="AR760">
        <v>72</v>
      </c>
      <c r="AW760" t="s">
        <v>313</v>
      </c>
    </row>
    <row r="761" spans="1:50" x14ac:dyDescent="0.45">
      <c r="A761">
        <v>10760</v>
      </c>
      <c r="B761">
        <v>1</v>
      </c>
      <c r="C761">
        <v>54.7</v>
      </c>
      <c r="D761">
        <v>0</v>
      </c>
      <c r="E761">
        <v>0</v>
      </c>
      <c r="F761">
        <v>0</v>
      </c>
      <c r="G761">
        <v>0</v>
      </c>
      <c r="H761">
        <v>0</v>
      </c>
      <c r="I761">
        <v>0</v>
      </c>
      <c r="J761">
        <v>17.399999999999999</v>
      </c>
      <c r="K761">
        <v>17.8</v>
      </c>
      <c r="L761">
        <v>4.5</v>
      </c>
      <c r="M761">
        <v>5.6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Y761">
        <v>1</v>
      </c>
      <c r="Z761">
        <v>0</v>
      </c>
      <c r="AA761">
        <v>0</v>
      </c>
      <c r="AB761">
        <v>0</v>
      </c>
      <c r="AC761">
        <v>0</v>
      </c>
      <c r="AI761">
        <v>0</v>
      </c>
      <c r="AO761">
        <v>9.4840000000000018</v>
      </c>
      <c r="AP761">
        <v>4.7666666666666666</v>
      </c>
      <c r="AQ761">
        <v>742.71</v>
      </c>
      <c r="AR761">
        <v>82</v>
      </c>
      <c r="AW761" t="s">
        <v>314</v>
      </c>
    </row>
    <row r="762" spans="1:50" x14ac:dyDescent="0.45">
      <c r="A762">
        <v>10761</v>
      </c>
      <c r="B762">
        <v>1</v>
      </c>
      <c r="C762">
        <v>56.6</v>
      </c>
      <c r="D762">
        <v>0</v>
      </c>
      <c r="E762">
        <v>0</v>
      </c>
      <c r="F762">
        <v>0</v>
      </c>
      <c r="G762">
        <v>0</v>
      </c>
      <c r="H762">
        <v>0</v>
      </c>
      <c r="I762">
        <v>0</v>
      </c>
      <c r="J762">
        <v>8.1999999999999993</v>
      </c>
      <c r="K762">
        <v>25.4</v>
      </c>
      <c r="L762">
        <v>4.4000000000000004</v>
      </c>
      <c r="M762">
        <v>5.4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Y762">
        <v>1</v>
      </c>
      <c r="Z762">
        <v>0</v>
      </c>
      <c r="AA762">
        <v>0</v>
      </c>
      <c r="AB762">
        <v>0</v>
      </c>
      <c r="AC762">
        <v>0</v>
      </c>
      <c r="AI762">
        <v>0</v>
      </c>
      <c r="AO762">
        <v>11.512</v>
      </c>
      <c r="AP762">
        <v>3.1666666666666665</v>
      </c>
      <c r="AQ762">
        <v>806.3</v>
      </c>
      <c r="AR762">
        <v>66</v>
      </c>
    </row>
    <row r="763" spans="1:50" x14ac:dyDescent="0.45">
      <c r="A763">
        <v>10762</v>
      </c>
      <c r="B763">
        <v>1</v>
      </c>
      <c r="C763">
        <v>50.2</v>
      </c>
      <c r="D763">
        <v>0</v>
      </c>
      <c r="E763">
        <v>0</v>
      </c>
      <c r="F763">
        <v>0</v>
      </c>
      <c r="G763">
        <v>0</v>
      </c>
      <c r="H763">
        <v>0</v>
      </c>
      <c r="I763">
        <v>0</v>
      </c>
      <c r="J763">
        <v>15.9</v>
      </c>
      <c r="K763">
        <v>24.4</v>
      </c>
      <c r="L763">
        <v>4.3</v>
      </c>
      <c r="M763">
        <v>5.2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Y763">
        <v>1</v>
      </c>
      <c r="Z763">
        <v>0</v>
      </c>
      <c r="AA763">
        <v>0</v>
      </c>
      <c r="AB763">
        <v>0</v>
      </c>
      <c r="AC763">
        <v>0</v>
      </c>
      <c r="AI763">
        <v>0</v>
      </c>
      <c r="AO763">
        <v>11.132</v>
      </c>
      <c r="AP763">
        <v>4.3833333333333329</v>
      </c>
      <c r="AQ763">
        <v>753.28</v>
      </c>
      <c r="AR763">
        <v>72</v>
      </c>
    </row>
    <row r="764" spans="1:50" x14ac:dyDescent="0.45">
      <c r="A764">
        <v>10763</v>
      </c>
      <c r="B764">
        <v>1</v>
      </c>
      <c r="C764">
        <v>81.3</v>
      </c>
      <c r="D764">
        <v>0</v>
      </c>
      <c r="E764">
        <v>0</v>
      </c>
      <c r="F764">
        <v>0</v>
      </c>
      <c r="G764">
        <v>0</v>
      </c>
      <c r="H764">
        <v>0</v>
      </c>
      <c r="I764">
        <v>0</v>
      </c>
      <c r="J764">
        <v>7.5</v>
      </c>
      <c r="K764">
        <v>5</v>
      </c>
      <c r="L764">
        <v>3.1</v>
      </c>
      <c r="M764">
        <v>3.1</v>
      </c>
      <c r="N764">
        <v>0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Y764">
        <v>1</v>
      </c>
      <c r="Z764">
        <v>0</v>
      </c>
      <c r="AA764">
        <v>0</v>
      </c>
      <c r="AB764">
        <v>0</v>
      </c>
      <c r="AC764">
        <v>0</v>
      </c>
      <c r="AI764">
        <v>0</v>
      </c>
      <c r="AO764">
        <v>4.5</v>
      </c>
      <c r="AP764">
        <v>2.2833333333333332</v>
      </c>
      <c r="AQ764">
        <v>813.81999999999994</v>
      </c>
      <c r="AR764">
        <v>58</v>
      </c>
    </row>
    <row r="765" spans="1:50" x14ac:dyDescent="0.45">
      <c r="A765">
        <v>10764</v>
      </c>
      <c r="B765">
        <v>1</v>
      </c>
      <c r="C765">
        <v>81.3</v>
      </c>
      <c r="D765">
        <v>0</v>
      </c>
      <c r="E765">
        <v>0</v>
      </c>
      <c r="F765">
        <v>0</v>
      </c>
      <c r="G765">
        <v>0</v>
      </c>
      <c r="H765">
        <v>0</v>
      </c>
      <c r="I765">
        <v>0</v>
      </c>
      <c r="J765">
        <v>9.4</v>
      </c>
      <c r="K765">
        <v>3.1</v>
      </c>
      <c r="L765">
        <v>3.1</v>
      </c>
      <c r="M765">
        <v>3.1</v>
      </c>
      <c r="N765">
        <v>0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Y765">
        <v>1</v>
      </c>
      <c r="Z765">
        <v>0</v>
      </c>
      <c r="AA765">
        <v>0</v>
      </c>
      <c r="AB765">
        <v>0</v>
      </c>
      <c r="AC765">
        <v>0</v>
      </c>
      <c r="AI765">
        <v>0</v>
      </c>
      <c r="AO765">
        <v>3.968</v>
      </c>
      <c r="AP765">
        <v>2.6</v>
      </c>
      <c r="AQ765">
        <v>800.70999999999992</v>
      </c>
      <c r="AR765">
        <v>56</v>
      </c>
    </row>
    <row r="766" spans="1:50" x14ac:dyDescent="0.45">
      <c r="A766">
        <v>10765</v>
      </c>
      <c r="B766">
        <v>1</v>
      </c>
      <c r="C766">
        <v>81.17</v>
      </c>
      <c r="D766">
        <v>0</v>
      </c>
      <c r="E766">
        <v>0</v>
      </c>
      <c r="F766">
        <v>0</v>
      </c>
      <c r="G766">
        <v>0</v>
      </c>
      <c r="H766">
        <v>0</v>
      </c>
      <c r="I766">
        <v>0</v>
      </c>
      <c r="J766">
        <v>6.27</v>
      </c>
      <c r="K766">
        <v>6.27</v>
      </c>
      <c r="L766">
        <v>3.16</v>
      </c>
      <c r="M766">
        <v>3.13</v>
      </c>
      <c r="N766">
        <v>0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Y766">
        <v>1</v>
      </c>
      <c r="Z766">
        <v>0</v>
      </c>
      <c r="AA766">
        <v>0</v>
      </c>
      <c r="AB766">
        <v>0</v>
      </c>
      <c r="AC766">
        <v>0</v>
      </c>
      <c r="AI766">
        <v>0</v>
      </c>
      <c r="AO766">
        <v>4.9156000000000004</v>
      </c>
      <c r="AP766">
        <v>2.0883333333333329</v>
      </c>
      <c r="AQ766">
        <v>821.86299999999994</v>
      </c>
      <c r="AR766">
        <v>48</v>
      </c>
    </row>
    <row r="767" spans="1:50" x14ac:dyDescent="0.45">
      <c r="A767">
        <v>10766</v>
      </c>
      <c r="B767">
        <v>1</v>
      </c>
      <c r="C767">
        <v>76.38</v>
      </c>
      <c r="D767">
        <v>0</v>
      </c>
      <c r="E767">
        <v>0</v>
      </c>
      <c r="F767">
        <v>0</v>
      </c>
      <c r="G767">
        <v>0</v>
      </c>
      <c r="H767">
        <v>0</v>
      </c>
      <c r="I767">
        <v>0</v>
      </c>
      <c r="J767">
        <v>5.91</v>
      </c>
      <c r="K767">
        <v>11.8</v>
      </c>
      <c r="L767">
        <v>2.96</v>
      </c>
      <c r="M767">
        <v>2.95</v>
      </c>
      <c r="N767">
        <v>0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Y767">
        <v>1</v>
      </c>
      <c r="Z767">
        <v>0</v>
      </c>
      <c r="AA767">
        <v>0</v>
      </c>
      <c r="AB767">
        <v>0</v>
      </c>
      <c r="AC767">
        <v>0</v>
      </c>
      <c r="AI767">
        <v>0</v>
      </c>
      <c r="AO767">
        <v>6.2640000000000011</v>
      </c>
      <c r="AP767">
        <v>1.9683333333333333</v>
      </c>
      <c r="AQ767">
        <v>825.49099999999999</v>
      </c>
      <c r="AR767">
        <v>72</v>
      </c>
    </row>
    <row r="768" spans="1:50" x14ac:dyDescent="0.45">
      <c r="A768">
        <v>10767</v>
      </c>
      <c r="B768">
        <v>1</v>
      </c>
      <c r="C768">
        <v>79.36</v>
      </c>
      <c r="D768">
        <v>0</v>
      </c>
      <c r="E768">
        <v>0</v>
      </c>
      <c r="F768">
        <v>0</v>
      </c>
      <c r="G768">
        <v>0</v>
      </c>
      <c r="H768">
        <v>0</v>
      </c>
      <c r="I768">
        <v>0</v>
      </c>
      <c r="J768">
        <v>5.9</v>
      </c>
      <c r="K768">
        <v>8.85</v>
      </c>
      <c r="L768">
        <v>2.96</v>
      </c>
      <c r="M768">
        <v>2.93</v>
      </c>
      <c r="N768">
        <v>0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Y768">
        <v>1</v>
      </c>
      <c r="Z768">
        <v>0</v>
      </c>
      <c r="AA768">
        <v>0</v>
      </c>
      <c r="AB768">
        <v>0</v>
      </c>
      <c r="AC768">
        <v>0</v>
      </c>
      <c r="AI768">
        <v>0</v>
      </c>
      <c r="AO768">
        <v>5.4380000000000006</v>
      </c>
      <c r="AP768">
        <v>1.96</v>
      </c>
      <c r="AQ768">
        <v>825.476</v>
      </c>
      <c r="AR768">
        <v>56</v>
      </c>
    </row>
    <row r="769" spans="1:50" x14ac:dyDescent="0.45">
      <c r="A769">
        <v>10768</v>
      </c>
      <c r="B769">
        <v>1</v>
      </c>
      <c r="C769">
        <v>82.3</v>
      </c>
      <c r="D769">
        <v>0</v>
      </c>
      <c r="E769">
        <v>0</v>
      </c>
      <c r="F769">
        <v>0</v>
      </c>
      <c r="G769">
        <v>0</v>
      </c>
      <c r="H769">
        <v>0</v>
      </c>
      <c r="I769">
        <v>0</v>
      </c>
      <c r="J769">
        <v>5.9</v>
      </c>
      <c r="K769">
        <v>5.9</v>
      </c>
      <c r="L769">
        <v>2.95</v>
      </c>
      <c r="M769">
        <v>2.95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Y769">
        <v>1</v>
      </c>
      <c r="Z769">
        <v>0</v>
      </c>
      <c r="AA769">
        <v>0</v>
      </c>
      <c r="AB769">
        <v>0</v>
      </c>
      <c r="AC769">
        <v>0</v>
      </c>
      <c r="AI769">
        <v>0</v>
      </c>
      <c r="AO769">
        <v>4.6020000000000003</v>
      </c>
      <c r="AP769">
        <v>1.9666666666666668</v>
      </c>
      <c r="AQ769">
        <v>825.65499999999997</v>
      </c>
      <c r="AR769">
        <v>54</v>
      </c>
    </row>
    <row r="770" spans="1:50" x14ac:dyDescent="0.45">
      <c r="A770">
        <v>10769</v>
      </c>
      <c r="B770">
        <v>1</v>
      </c>
      <c r="C770">
        <v>85.25</v>
      </c>
      <c r="D770">
        <v>0</v>
      </c>
      <c r="E770">
        <v>0</v>
      </c>
      <c r="F770">
        <v>0</v>
      </c>
      <c r="G770">
        <v>0</v>
      </c>
      <c r="H770">
        <v>0</v>
      </c>
      <c r="I770">
        <v>0</v>
      </c>
      <c r="J770">
        <v>2.97</v>
      </c>
      <c r="K770">
        <v>5.9</v>
      </c>
      <c r="L770">
        <v>2.94</v>
      </c>
      <c r="M770">
        <v>2.94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Y770">
        <v>1</v>
      </c>
      <c r="Z770">
        <v>0</v>
      </c>
      <c r="AA770">
        <v>0</v>
      </c>
      <c r="AB770">
        <v>0</v>
      </c>
      <c r="AC770">
        <v>0</v>
      </c>
      <c r="AI770">
        <v>0</v>
      </c>
      <c r="AO770">
        <v>4.5920000000000005</v>
      </c>
      <c r="AP770">
        <v>1.4750000000000001</v>
      </c>
      <c r="AQ770">
        <v>845.92499999999995</v>
      </c>
      <c r="AR770">
        <v>59</v>
      </c>
    </row>
    <row r="771" spans="1:50" x14ac:dyDescent="0.45">
      <c r="A771">
        <v>10770</v>
      </c>
      <c r="B771">
        <v>1</v>
      </c>
      <c r="C771">
        <v>81.22</v>
      </c>
      <c r="D771">
        <v>0</v>
      </c>
      <c r="E771">
        <v>0</v>
      </c>
      <c r="F771">
        <v>0</v>
      </c>
      <c r="G771">
        <v>0</v>
      </c>
      <c r="H771">
        <v>0</v>
      </c>
      <c r="I771">
        <v>0</v>
      </c>
      <c r="J771">
        <v>3.13</v>
      </c>
      <c r="K771">
        <v>9.36</v>
      </c>
      <c r="L771">
        <v>3.16</v>
      </c>
      <c r="M771">
        <v>3.13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Y771">
        <v>1</v>
      </c>
      <c r="Z771">
        <v>0</v>
      </c>
      <c r="AA771">
        <v>0</v>
      </c>
      <c r="AB771">
        <v>0</v>
      </c>
      <c r="AC771">
        <v>0</v>
      </c>
      <c r="AI771">
        <v>0</v>
      </c>
      <c r="AO771">
        <v>5.7808000000000002</v>
      </c>
      <c r="AP771">
        <v>1.5649999999999999</v>
      </c>
      <c r="AQ771">
        <v>843.529</v>
      </c>
      <c r="AR771">
        <v>55</v>
      </c>
    </row>
    <row r="772" spans="1:50" x14ac:dyDescent="0.45">
      <c r="A772">
        <v>10771</v>
      </c>
      <c r="B772">
        <v>1</v>
      </c>
      <c r="C772">
        <v>72.22</v>
      </c>
      <c r="D772">
        <v>0</v>
      </c>
      <c r="E772">
        <v>0</v>
      </c>
      <c r="F772">
        <v>0</v>
      </c>
      <c r="G772">
        <v>0</v>
      </c>
      <c r="H772">
        <v>0</v>
      </c>
      <c r="I772">
        <v>0</v>
      </c>
      <c r="J772">
        <v>5.56</v>
      </c>
      <c r="K772">
        <v>16.670000000000002</v>
      </c>
      <c r="L772">
        <v>2.78</v>
      </c>
      <c r="M772">
        <v>2.77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Y772">
        <v>1</v>
      </c>
      <c r="Z772">
        <v>0</v>
      </c>
      <c r="AA772">
        <v>0</v>
      </c>
      <c r="AB772">
        <v>0</v>
      </c>
      <c r="AC772">
        <v>0</v>
      </c>
      <c r="AI772">
        <v>0</v>
      </c>
      <c r="AO772">
        <v>7.4476000000000013</v>
      </c>
      <c r="AP772">
        <v>1.85</v>
      </c>
      <c r="AQ772">
        <v>828.86</v>
      </c>
      <c r="AR772">
        <v>66</v>
      </c>
    </row>
    <row r="773" spans="1:50" x14ac:dyDescent="0.45">
      <c r="A773">
        <v>10772</v>
      </c>
      <c r="B773">
        <v>1</v>
      </c>
      <c r="C773">
        <v>78.92</v>
      </c>
      <c r="D773">
        <v>0</v>
      </c>
      <c r="E773">
        <v>0</v>
      </c>
      <c r="F773">
        <v>0</v>
      </c>
      <c r="G773">
        <v>0</v>
      </c>
      <c r="H773">
        <v>0</v>
      </c>
      <c r="I773">
        <v>0</v>
      </c>
      <c r="J773">
        <v>1.9</v>
      </c>
      <c r="K773">
        <v>14.9</v>
      </c>
      <c r="L773">
        <v>3.31</v>
      </c>
      <c r="M773">
        <v>0.97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Y773">
        <v>1</v>
      </c>
      <c r="Z773">
        <v>0</v>
      </c>
      <c r="AA773">
        <v>0</v>
      </c>
      <c r="AB773">
        <v>0</v>
      </c>
      <c r="AC773">
        <v>0</v>
      </c>
      <c r="AI773">
        <v>0</v>
      </c>
      <c r="AO773">
        <v>7.4820000000000011</v>
      </c>
      <c r="AP773">
        <v>0.6399999999999999</v>
      </c>
      <c r="AQ773">
        <v>841.51899999999989</v>
      </c>
      <c r="AR773">
        <v>63</v>
      </c>
    </row>
    <row r="774" spans="1:50" x14ac:dyDescent="0.45">
      <c r="A774">
        <v>10773</v>
      </c>
      <c r="B774">
        <v>1</v>
      </c>
      <c r="C774">
        <v>80.72</v>
      </c>
      <c r="D774">
        <v>0</v>
      </c>
      <c r="E774">
        <v>0</v>
      </c>
      <c r="F774">
        <v>0</v>
      </c>
      <c r="G774">
        <v>0</v>
      </c>
      <c r="H774">
        <v>0</v>
      </c>
      <c r="I774">
        <v>0</v>
      </c>
      <c r="J774">
        <v>1.87</v>
      </c>
      <c r="K774">
        <v>14.68</v>
      </c>
      <c r="L774">
        <v>1.77</v>
      </c>
      <c r="M774">
        <v>0.96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Y774">
        <v>1</v>
      </c>
      <c r="Z774">
        <v>0</v>
      </c>
      <c r="AA774">
        <v>0</v>
      </c>
      <c r="AB774">
        <v>0</v>
      </c>
      <c r="AC774">
        <v>0</v>
      </c>
      <c r="AI774">
        <v>0</v>
      </c>
      <c r="AO774">
        <v>5.8803999999999998</v>
      </c>
      <c r="AP774">
        <v>0.63166666666666671</v>
      </c>
      <c r="AQ774">
        <v>856.31399999999996</v>
      </c>
      <c r="AR774">
        <v>69</v>
      </c>
    </row>
    <row r="775" spans="1:50" x14ac:dyDescent="0.45">
      <c r="A775">
        <v>10774</v>
      </c>
      <c r="B775">
        <v>1</v>
      </c>
      <c r="C775">
        <v>80.23</v>
      </c>
      <c r="D775">
        <v>0</v>
      </c>
      <c r="E775">
        <v>0</v>
      </c>
      <c r="F775">
        <v>0</v>
      </c>
      <c r="G775">
        <v>0</v>
      </c>
      <c r="H775">
        <v>0</v>
      </c>
      <c r="I775">
        <v>0</v>
      </c>
      <c r="J775">
        <v>0.63</v>
      </c>
      <c r="K775">
        <v>15.42</v>
      </c>
      <c r="L775">
        <v>1.79</v>
      </c>
      <c r="M775">
        <v>1.93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Y775">
        <v>1</v>
      </c>
      <c r="Z775">
        <v>0</v>
      </c>
      <c r="AA775">
        <v>0</v>
      </c>
      <c r="AB775">
        <v>0</v>
      </c>
      <c r="AC775">
        <v>0</v>
      </c>
      <c r="AI775">
        <v>0</v>
      </c>
      <c r="AO775">
        <v>6.1076000000000006</v>
      </c>
      <c r="AP775">
        <v>0.74833333333333329</v>
      </c>
      <c r="AQ775">
        <v>868.75400000000002</v>
      </c>
      <c r="AR775">
        <v>58</v>
      </c>
    </row>
    <row r="776" spans="1:50" x14ac:dyDescent="0.45">
      <c r="A776">
        <v>10775</v>
      </c>
      <c r="B776">
        <v>1</v>
      </c>
      <c r="C776">
        <v>79.989999999999995</v>
      </c>
      <c r="D776">
        <v>0</v>
      </c>
      <c r="E776">
        <v>0</v>
      </c>
      <c r="F776">
        <v>0</v>
      </c>
      <c r="G776">
        <v>0</v>
      </c>
      <c r="H776">
        <v>0</v>
      </c>
      <c r="I776">
        <v>0</v>
      </c>
      <c r="J776">
        <v>1.88</v>
      </c>
      <c r="K776">
        <v>15.38</v>
      </c>
      <c r="L776">
        <v>1.79</v>
      </c>
      <c r="M776">
        <v>0.96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Y776">
        <v>1</v>
      </c>
      <c r="Z776">
        <v>0</v>
      </c>
      <c r="AA776">
        <v>0</v>
      </c>
      <c r="AB776">
        <v>0</v>
      </c>
      <c r="AC776">
        <v>0</v>
      </c>
      <c r="AI776">
        <v>0</v>
      </c>
      <c r="AO776">
        <v>6.0964000000000009</v>
      </c>
      <c r="AP776">
        <v>0.6333333333333333</v>
      </c>
      <c r="AQ776">
        <v>856.05500000000006</v>
      </c>
      <c r="AR776">
        <v>69</v>
      </c>
    </row>
    <row r="777" spans="1:50" x14ac:dyDescent="0.45">
      <c r="A777">
        <v>10776</v>
      </c>
      <c r="B777">
        <v>1</v>
      </c>
      <c r="C777">
        <v>83.67</v>
      </c>
      <c r="D777">
        <v>0</v>
      </c>
      <c r="E777">
        <v>0</v>
      </c>
      <c r="F777">
        <v>0</v>
      </c>
      <c r="G777">
        <v>0</v>
      </c>
      <c r="H777">
        <v>0</v>
      </c>
      <c r="I777">
        <v>0</v>
      </c>
      <c r="J777">
        <v>3.05</v>
      </c>
      <c r="K777">
        <v>8.98</v>
      </c>
      <c r="L777">
        <v>2.9</v>
      </c>
      <c r="M777">
        <v>1.4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Y777">
        <v>1</v>
      </c>
      <c r="Z777">
        <v>0</v>
      </c>
      <c r="AA777">
        <v>0</v>
      </c>
      <c r="AB777">
        <v>0</v>
      </c>
      <c r="AC777">
        <v>0</v>
      </c>
      <c r="AI777">
        <v>0</v>
      </c>
      <c r="AO777">
        <v>5.4144000000000005</v>
      </c>
      <c r="AP777">
        <v>0.97499999999999987</v>
      </c>
      <c r="AQ777">
        <v>839.28500000000008</v>
      </c>
      <c r="AR777">
        <v>65</v>
      </c>
    </row>
    <row r="778" spans="1:50" x14ac:dyDescent="0.45">
      <c r="A778">
        <v>10777</v>
      </c>
      <c r="B778">
        <v>1</v>
      </c>
      <c r="C778">
        <v>80</v>
      </c>
      <c r="D778">
        <v>4</v>
      </c>
      <c r="E778">
        <v>5</v>
      </c>
      <c r="F778">
        <v>6</v>
      </c>
      <c r="G778">
        <v>0</v>
      </c>
      <c r="H778">
        <v>0</v>
      </c>
      <c r="I778">
        <v>0</v>
      </c>
      <c r="J778">
        <v>0</v>
      </c>
      <c r="K778">
        <v>0</v>
      </c>
      <c r="L778">
        <v>5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1</v>
      </c>
      <c r="W778">
        <v>800</v>
      </c>
      <c r="X778">
        <v>65.7</v>
      </c>
      <c r="Y778">
        <v>0</v>
      </c>
      <c r="Z778">
        <v>1</v>
      </c>
      <c r="AA778">
        <v>0</v>
      </c>
      <c r="AB778">
        <v>0</v>
      </c>
      <c r="AC778">
        <v>1</v>
      </c>
      <c r="AD778">
        <v>730</v>
      </c>
      <c r="AE778">
        <v>0.5</v>
      </c>
      <c r="AF778">
        <v>0</v>
      </c>
      <c r="AG778">
        <v>1</v>
      </c>
      <c r="AH778">
        <v>0</v>
      </c>
      <c r="AI778">
        <v>1</v>
      </c>
      <c r="AJ778">
        <f>0.5*AQ781</f>
        <v>355.65</v>
      </c>
      <c r="AL778">
        <v>0</v>
      </c>
      <c r="AM778">
        <v>1</v>
      </c>
      <c r="AN778">
        <v>0</v>
      </c>
      <c r="AO778">
        <v>13.950000000000003</v>
      </c>
      <c r="AP778">
        <v>4</v>
      </c>
      <c r="AQ778">
        <v>711.3</v>
      </c>
      <c r="AT778">
        <v>973</v>
      </c>
      <c r="AU778">
        <v>22</v>
      </c>
      <c r="AX778" t="s">
        <v>165</v>
      </c>
    </row>
    <row r="779" spans="1:50" x14ac:dyDescent="0.45">
      <c r="A779">
        <v>10778</v>
      </c>
      <c r="B779">
        <v>1</v>
      </c>
      <c r="C779">
        <v>80</v>
      </c>
      <c r="D779">
        <v>4</v>
      </c>
      <c r="E779">
        <v>5</v>
      </c>
      <c r="F779">
        <v>6</v>
      </c>
      <c r="G779">
        <v>0</v>
      </c>
      <c r="H779">
        <v>0</v>
      </c>
      <c r="I779">
        <v>0</v>
      </c>
      <c r="J779">
        <v>0</v>
      </c>
      <c r="K779">
        <v>0</v>
      </c>
      <c r="L779">
        <v>5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1</v>
      </c>
      <c r="W779">
        <v>800</v>
      </c>
      <c r="X779">
        <v>65.7</v>
      </c>
      <c r="Y779">
        <v>0</v>
      </c>
      <c r="Z779">
        <v>1</v>
      </c>
      <c r="AA779">
        <v>0</v>
      </c>
      <c r="AB779">
        <v>0</v>
      </c>
      <c r="AC779">
        <v>1</v>
      </c>
      <c r="AD779">
        <v>760</v>
      </c>
      <c r="AE779">
        <v>0.5</v>
      </c>
      <c r="AF779">
        <v>0</v>
      </c>
      <c r="AG779">
        <v>1</v>
      </c>
      <c r="AH779">
        <v>0</v>
      </c>
      <c r="AI779">
        <v>1</v>
      </c>
      <c r="AJ779">
        <f>0.5*AQ782</f>
        <v>355.65</v>
      </c>
      <c r="AL779">
        <v>0</v>
      </c>
      <c r="AM779">
        <v>1</v>
      </c>
      <c r="AN779">
        <v>0</v>
      </c>
      <c r="AO779">
        <v>13.950000000000003</v>
      </c>
      <c r="AP779">
        <v>4</v>
      </c>
      <c r="AQ779">
        <v>711.3</v>
      </c>
      <c r="AT779">
        <v>953.57</v>
      </c>
      <c r="AU779">
        <v>23</v>
      </c>
      <c r="AX779" t="s">
        <v>166</v>
      </c>
    </row>
    <row r="780" spans="1:50" x14ac:dyDescent="0.45">
      <c r="A780">
        <v>10779</v>
      </c>
      <c r="B780">
        <v>1</v>
      </c>
      <c r="C780">
        <v>80</v>
      </c>
      <c r="D780">
        <v>4</v>
      </c>
      <c r="E780">
        <v>5</v>
      </c>
      <c r="F780">
        <v>6</v>
      </c>
      <c r="G780">
        <v>0</v>
      </c>
      <c r="H780">
        <v>0</v>
      </c>
      <c r="I780">
        <v>0</v>
      </c>
      <c r="J780">
        <v>0</v>
      </c>
      <c r="K780">
        <v>0</v>
      </c>
      <c r="L780">
        <v>5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1</v>
      </c>
      <c r="W780">
        <v>800</v>
      </c>
      <c r="X780">
        <v>65.7</v>
      </c>
      <c r="Y780">
        <v>0</v>
      </c>
      <c r="Z780">
        <v>1</v>
      </c>
      <c r="AA780">
        <v>0</v>
      </c>
      <c r="AB780">
        <v>0</v>
      </c>
      <c r="AC780">
        <v>1</v>
      </c>
      <c r="AD780">
        <v>800</v>
      </c>
      <c r="AE780">
        <v>0.5</v>
      </c>
      <c r="AF780">
        <v>0</v>
      </c>
      <c r="AG780">
        <v>1</v>
      </c>
      <c r="AH780">
        <v>0</v>
      </c>
      <c r="AI780">
        <v>1</v>
      </c>
      <c r="AJ780">
        <f>0.5*AQ783</f>
        <v>355.65</v>
      </c>
      <c r="AL780">
        <v>0</v>
      </c>
      <c r="AM780">
        <v>1</v>
      </c>
      <c r="AN780">
        <v>0</v>
      </c>
      <c r="AO780">
        <v>13.950000000000003</v>
      </c>
      <c r="AP780">
        <v>4</v>
      </c>
      <c r="AQ780">
        <v>711.3</v>
      </c>
      <c r="AT780">
        <v>875.28</v>
      </c>
      <c r="AU780">
        <v>21.92</v>
      </c>
      <c r="AX780" t="s">
        <v>167</v>
      </c>
    </row>
    <row r="781" spans="1:50" x14ac:dyDescent="0.45">
      <c r="A781">
        <v>10780</v>
      </c>
      <c r="B781">
        <v>1</v>
      </c>
      <c r="C781">
        <v>80</v>
      </c>
      <c r="D781">
        <v>4</v>
      </c>
      <c r="E781">
        <v>5</v>
      </c>
      <c r="F781">
        <v>6</v>
      </c>
      <c r="G781">
        <v>0</v>
      </c>
      <c r="H781">
        <v>0</v>
      </c>
      <c r="I781">
        <v>0</v>
      </c>
      <c r="J781">
        <v>0</v>
      </c>
      <c r="K781">
        <v>0</v>
      </c>
      <c r="L781">
        <v>5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1</v>
      </c>
      <c r="W781">
        <v>800</v>
      </c>
      <c r="X781">
        <v>65.7</v>
      </c>
      <c r="Y781">
        <v>0</v>
      </c>
      <c r="Z781">
        <v>1</v>
      </c>
      <c r="AA781">
        <v>0</v>
      </c>
      <c r="AB781">
        <v>0</v>
      </c>
      <c r="AC781">
        <v>1</v>
      </c>
      <c r="AD781">
        <v>830</v>
      </c>
      <c r="AE781">
        <v>0.5</v>
      </c>
      <c r="AF781">
        <v>0</v>
      </c>
      <c r="AG781">
        <v>1</v>
      </c>
      <c r="AH781">
        <v>0</v>
      </c>
      <c r="AI781">
        <v>1</v>
      </c>
      <c r="AJ781">
        <f>0.5*AQ784</f>
        <v>355.65</v>
      </c>
      <c r="AL781">
        <v>0</v>
      </c>
      <c r="AM781">
        <v>1</v>
      </c>
      <c r="AN781">
        <v>0</v>
      </c>
      <c r="AO781">
        <v>13.950000000000003</v>
      </c>
      <c r="AP781">
        <v>4</v>
      </c>
      <c r="AQ781">
        <v>711.3</v>
      </c>
      <c r="AT781">
        <v>867.62</v>
      </c>
      <c r="AU781">
        <v>22.9</v>
      </c>
      <c r="AX781" t="s">
        <v>168</v>
      </c>
    </row>
    <row r="782" spans="1:50" x14ac:dyDescent="0.45">
      <c r="A782">
        <v>10781</v>
      </c>
      <c r="B782">
        <v>1</v>
      </c>
      <c r="C782">
        <v>80</v>
      </c>
      <c r="D782">
        <v>4</v>
      </c>
      <c r="E782">
        <v>5</v>
      </c>
      <c r="F782">
        <v>6</v>
      </c>
      <c r="G782">
        <v>0</v>
      </c>
      <c r="H782">
        <v>0</v>
      </c>
      <c r="I782">
        <v>0</v>
      </c>
      <c r="J782">
        <v>0</v>
      </c>
      <c r="K782">
        <v>0</v>
      </c>
      <c r="L782">
        <v>5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1</v>
      </c>
      <c r="W782">
        <v>800</v>
      </c>
      <c r="X782">
        <v>65.7</v>
      </c>
      <c r="Y782">
        <v>0</v>
      </c>
      <c r="Z782">
        <v>1</v>
      </c>
      <c r="AA782">
        <v>0</v>
      </c>
      <c r="AB782">
        <v>0</v>
      </c>
      <c r="AC782">
        <v>1</v>
      </c>
      <c r="AD782">
        <v>730</v>
      </c>
      <c r="AE782">
        <v>0.5</v>
      </c>
      <c r="AF782">
        <v>0</v>
      </c>
      <c r="AG782">
        <v>1</v>
      </c>
      <c r="AH782">
        <v>0</v>
      </c>
      <c r="AI782">
        <v>1</v>
      </c>
      <c r="AJ782">
        <v>460</v>
      </c>
      <c r="AK782">
        <v>6</v>
      </c>
      <c r="AL782">
        <v>0</v>
      </c>
      <c r="AM782">
        <v>1</v>
      </c>
      <c r="AN782">
        <v>0</v>
      </c>
      <c r="AO782">
        <v>13.950000000000003</v>
      </c>
      <c r="AP782">
        <v>4</v>
      </c>
      <c r="AQ782">
        <v>711.3</v>
      </c>
      <c r="AT782">
        <v>1485.34</v>
      </c>
      <c r="AU782">
        <v>10.119999999999999</v>
      </c>
      <c r="AX782" t="s">
        <v>169</v>
      </c>
    </row>
    <row r="783" spans="1:50" x14ac:dyDescent="0.45">
      <c r="A783">
        <v>10782</v>
      </c>
      <c r="B783">
        <v>1</v>
      </c>
      <c r="C783">
        <v>80</v>
      </c>
      <c r="D783">
        <v>4</v>
      </c>
      <c r="E783">
        <v>5</v>
      </c>
      <c r="F783">
        <v>6</v>
      </c>
      <c r="G783">
        <v>0</v>
      </c>
      <c r="H783">
        <v>0</v>
      </c>
      <c r="I783">
        <v>0</v>
      </c>
      <c r="J783">
        <v>0</v>
      </c>
      <c r="K783">
        <v>0</v>
      </c>
      <c r="L783">
        <v>5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1</v>
      </c>
      <c r="W783">
        <v>800</v>
      </c>
      <c r="X783">
        <v>65.7</v>
      </c>
      <c r="Y783">
        <v>0</v>
      </c>
      <c r="Z783">
        <v>1</v>
      </c>
      <c r="AA783">
        <v>0</v>
      </c>
      <c r="AB783">
        <v>0</v>
      </c>
      <c r="AC783">
        <v>1</v>
      </c>
      <c r="AD783">
        <v>760</v>
      </c>
      <c r="AE783">
        <v>0.5</v>
      </c>
      <c r="AF783">
        <v>0</v>
      </c>
      <c r="AG783">
        <v>1</v>
      </c>
      <c r="AH783">
        <v>0</v>
      </c>
      <c r="AI783">
        <v>1</v>
      </c>
      <c r="AJ783">
        <v>460</v>
      </c>
      <c r="AK783">
        <v>6</v>
      </c>
      <c r="AL783">
        <v>0</v>
      </c>
      <c r="AM783">
        <v>1</v>
      </c>
      <c r="AN783">
        <v>0</v>
      </c>
      <c r="AO783">
        <v>13.950000000000003</v>
      </c>
      <c r="AP783">
        <v>4</v>
      </c>
      <c r="AQ783">
        <v>711.3</v>
      </c>
      <c r="AT783">
        <v>1572.56</v>
      </c>
      <c r="AU783">
        <v>6.18</v>
      </c>
      <c r="AX783" t="s">
        <v>170</v>
      </c>
    </row>
    <row r="784" spans="1:50" x14ac:dyDescent="0.45">
      <c r="A784">
        <v>10783</v>
      </c>
      <c r="B784">
        <v>1</v>
      </c>
      <c r="C784">
        <v>80</v>
      </c>
      <c r="D784">
        <v>4</v>
      </c>
      <c r="E784">
        <v>5</v>
      </c>
      <c r="F784">
        <v>6</v>
      </c>
      <c r="G784">
        <v>0</v>
      </c>
      <c r="H784">
        <v>0</v>
      </c>
      <c r="I784">
        <v>0</v>
      </c>
      <c r="J784">
        <v>0</v>
      </c>
      <c r="K784">
        <v>0</v>
      </c>
      <c r="L784">
        <v>5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1</v>
      </c>
      <c r="W784">
        <v>800</v>
      </c>
      <c r="X784">
        <v>65.7</v>
      </c>
      <c r="Y784">
        <v>0</v>
      </c>
      <c r="Z784">
        <v>1</v>
      </c>
      <c r="AA784">
        <v>0</v>
      </c>
      <c r="AB784">
        <v>0</v>
      </c>
      <c r="AC784">
        <v>1</v>
      </c>
      <c r="AD784">
        <v>800</v>
      </c>
      <c r="AE784">
        <v>0.5</v>
      </c>
      <c r="AF784">
        <v>0</v>
      </c>
      <c r="AG784">
        <v>1</v>
      </c>
      <c r="AH784">
        <v>0</v>
      </c>
      <c r="AI784">
        <v>1</v>
      </c>
      <c r="AJ784">
        <v>460</v>
      </c>
      <c r="AK784">
        <v>6</v>
      </c>
      <c r="AL784">
        <v>0</v>
      </c>
      <c r="AM784">
        <v>1</v>
      </c>
      <c r="AN784">
        <v>0</v>
      </c>
      <c r="AO784">
        <v>13.950000000000003</v>
      </c>
      <c r="AP784">
        <v>4</v>
      </c>
      <c r="AQ784">
        <v>711.3</v>
      </c>
      <c r="AT784">
        <v>1208.8</v>
      </c>
      <c r="AU784">
        <v>10.73</v>
      </c>
      <c r="AX784" t="s">
        <v>171</v>
      </c>
    </row>
    <row r="785" spans="1:50" x14ac:dyDescent="0.45">
      <c r="A785">
        <v>10784</v>
      </c>
      <c r="B785">
        <v>1</v>
      </c>
      <c r="C785">
        <v>80</v>
      </c>
      <c r="D785">
        <v>4</v>
      </c>
      <c r="E785">
        <v>5</v>
      </c>
      <c r="F785">
        <v>6</v>
      </c>
      <c r="G785">
        <v>0</v>
      </c>
      <c r="H785">
        <v>0</v>
      </c>
      <c r="I785">
        <v>0</v>
      </c>
      <c r="J785">
        <v>0</v>
      </c>
      <c r="K785">
        <v>0</v>
      </c>
      <c r="L785">
        <v>5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1</v>
      </c>
      <c r="W785">
        <v>800</v>
      </c>
      <c r="X785">
        <v>65.7</v>
      </c>
      <c r="Y785">
        <v>0</v>
      </c>
      <c r="Z785">
        <v>1</v>
      </c>
      <c r="AA785">
        <v>0</v>
      </c>
      <c r="AB785">
        <v>0</v>
      </c>
      <c r="AC785">
        <v>1</v>
      </c>
      <c r="AD785">
        <v>830</v>
      </c>
      <c r="AE785">
        <v>0.5</v>
      </c>
      <c r="AF785">
        <v>0</v>
      </c>
      <c r="AG785">
        <v>1</v>
      </c>
      <c r="AH785">
        <v>0</v>
      </c>
      <c r="AI785">
        <v>1</v>
      </c>
      <c r="AJ785">
        <v>460</v>
      </c>
      <c r="AK785">
        <v>6</v>
      </c>
      <c r="AL785">
        <v>0</v>
      </c>
      <c r="AM785">
        <v>1</v>
      </c>
      <c r="AN785">
        <v>0</v>
      </c>
      <c r="AO785">
        <v>13.950000000000003</v>
      </c>
      <c r="AP785">
        <v>4</v>
      </c>
      <c r="AQ785">
        <v>711.3</v>
      </c>
      <c r="AT785">
        <v>1288.17</v>
      </c>
      <c r="AU785">
        <v>7.72</v>
      </c>
      <c r="AX785" t="s">
        <v>172</v>
      </c>
    </row>
    <row r="786" spans="1:50" x14ac:dyDescent="0.45">
      <c r="A786">
        <v>10785</v>
      </c>
      <c r="B786">
        <v>1</v>
      </c>
      <c r="C786">
        <v>80</v>
      </c>
      <c r="D786">
        <v>4</v>
      </c>
      <c r="E786">
        <v>5</v>
      </c>
      <c r="F786">
        <v>6</v>
      </c>
      <c r="G786">
        <v>0</v>
      </c>
      <c r="H786">
        <v>0</v>
      </c>
      <c r="I786">
        <v>0</v>
      </c>
      <c r="J786">
        <v>0</v>
      </c>
      <c r="K786">
        <v>0</v>
      </c>
      <c r="L786">
        <v>5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1</v>
      </c>
      <c r="W786">
        <v>800</v>
      </c>
      <c r="X786">
        <v>65.7</v>
      </c>
      <c r="Y786">
        <v>0</v>
      </c>
      <c r="Z786">
        <v>1</v>
      </c>
      <c r="AA786">
        <v>0</v>
      </c>
      <c r="AB786">
        <v>0</v>
      </c>
      <c r="AC786">
        <v>1</v>
      </c>
      <c r="AD786">
        <v>730</v>
      </c>
      <c r="AE786">
        <v>0.5</v>
      </c>
      <c r="AF786">
        <v>0</v>
      </c>
      <c r="AG786">
        <v>1</v>
      </c>
      <c r="AH786">
        <v>0</v>
      </c>
      <c r="AI786">
        <v>1</v>
      </c>
      <c r="AJ786">
        <v>480</v>
      </c>
      <c r="AK786">
        <v>6</v>
      </c>
      <c r="AL786">
        <v>0</v>
      </c>
      <c r="AM786">
        <v>1</v>
      </c>
      <c r="AN786">
        <v>0</v>
      </c>
      <c r="AO786">
        <v>13.950000000000003</v>
      </c>
      <c r="AP786">
        <v>4</v>
      </c>
      <c r="AQ786">
        <v>711.3</v>
      </c>
      <c r="AT786">
        <v>1475.41</v>
      </c>
      <c r="AU786">
        <v>10.18</v>
      </c>
      <c r="AX786" t="s">
        <v>173</v>
      </c>
    </row>
    <row r="787" spans="1:50" x14ac:dyDescent="0.45">
      <c r="A787">
        <v>10786</v>
      </c>
      <c r="B787">
        <v>1</v>
      </c>
      <c r="C787">
        <v>80</v>
      </c>
      <c r="D787">
        <v>4</v>
      </c>
      <c r="E787">
        <v>5</v>
      </c>
      <c r="F787">
        <v>6</v>
      </c>
      <c r="G787">
        <v>0</v>
      </c>
      <c r="H787">
        <v>0</v>
      </c>
      <c r="I787">
        <v>0</v>
      </c>
      <c r="J787">
        <v>0</v>
      </c>
      <c r="K787">
        <v>0</v>
      </c>
      <c r="L787">
        <v>5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1</v>
      </c>
      <c r="W787">
        <v>800</v>
      </c>
      <c r="X787">
        <v>65.7</v>
      </c>
      <c r="Y787">
        <v>0</v>
      </c>
      <c r="Z787">
        <v>1</v>
      </c>
      <c r="AA787">
        <v>0</v>
      </c>
      <c r="AB787">
        <v>0</v>
      </c>
      <c r="AC787">
        <v>1</v>
      </c>
      <c r="AD787">
        <v>760</v>
      </c>
      <c r="AE787">
        <v>0.5</v>
      </c>
      <c r="AF787">
        <v>0</v>
      </c>
      <c r="AG787">
        <v>1</v>
      </c>
      <c r="AH787">
        <v>0</v>
      </c>
      <c r="AI787">
        <v>1</v>
      </c>
      <c r="AJ787">
        <v>480</v>
      </c>
      <c r="AK787">
        <v>6</v>
      </c>
      <c r="AL787">
        <v>0</v>
      </c>
      <c r="AM787">
        <v>1</v>
      </c>
      <c r="AN787">
        <v>0</v>
      </c>
      <c r="AO787">
        <v>13.950000000000003</v>
      </c>
      <c r="AP787">
        <v>4</v>
      </c>
      <c r="AQ787">
        <v>711.3</v>
      </c>
      <c r="AT787">
        <v>1474.28</v>
      </c>
      <c r="AU787">
        <v>8.9499999999999993</v>
      </c>
      <c r="AX787" t="s">
        <v>174</v>
      </c>
    </row>
    <row r="788" spans="1:50" x14ac:dyDescent="0.45">
      <c r="A788">
        <v>10787</v>
      </c>
      <c r="B788">
        <v>1</v>
      </c>
      <c r="C788">
        <v>80</v>
      </c>
      <c r="D788">
        <v>4</v>
      </c>
      <c r="E788">
        <v>5</v>
      </c>
      <c r="F788">
        <v>6</v>
      </c>
      <c r="G788">
        <v>0</v>
      </c>
      <c r="H788">
        <v>0</v>
      </c>
      <c r="I788">
        <v>0</v>
      </c>
      <c r="J788">
        <v>0</v>
      </c>
      <c r="K788">
        <v>0</v>
      </c>
      <c r="L788">
        <v>5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1</v>
      </c>
      <c r="W788">
        <v>800</v>
      </c>
      <c r="X788">
        <v>65.7</v>
      </c>
      <c r="Y788">
        <v>0</v>
      </c>
      <c r="Z788">
        <v>1</v>
      </c>
      <c r="AA788">
        <v>0</v>
      </c>
      <c r="AB788">
        <v>0</v>
      </c>
      <c r="AC788">
        <v>1</v>
      </c>
      <c r="AD788">
        <v>800</v>
      </c>
      <c r="AE788">
        <v>0.5</v>
      </c>
      <c r="AF788">
        <v>0</v>
      </c>
      <c r="AG788">
        <v>1</v>
      </c>
      <c r="AH788">
        <v>0</v>
      </c>
      <c r="AI788">
        <v>1</v>
      </c>
      <c r="AJ788">
        <v>480</v>
      </c>
      <c r="AK788">
        <v>6</v>
      </c>
      <c r="AL788">
        <v>0</v>
      </c>
      <c r="AM788">
        <v>1</v>
      </c>
      <c r="AN788">
        <v>0</v>
      </c>
      <c r="AO788">
        <v>13.950000000000003</v>
      </c>
      <c r="AP788">
        <v>4</v>
      </c>
      <c r="AQ788">
        <v>711.3</v>
      </c>
      <c r="AT788">
        <v>1263.42</v>
      </c>
      <c r="AU788">
        <v>9.44</v>
      </c>
      <c r="AX788" t="s">
        <v>175</v>
      </c>
    </row>
    <row r="789" spans="1:50" x14ac:dyDescent="0.45">
      <c r="A789">
        <v>10788</v>
      </c>
      <c r="B789">
        <v>1</v>
      </c>
      <c r="C789">
        <v>80</v>
      </c>
      <c r="D789">
        <v>4</v>
      </c>
      <c r="E789">
        <v>5</v>
      </c>
      <c r="F789">
        <v>6</v>
      </c>
      <c r="G789">
        <v>0</v>
      </c>
      <c r="H789">
        <v>0</v>
      </c>
      <c r="I789">
        <v>0</v>
      </c>
      <c r="J789">
        <v>0</v>
      </c>
      <c r="K789">
        <v>0</v>
      </c>
      <c r="L789">
        <v>5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1</v>
      </c>
      <c r="W789">
        <v>800</v>
      </c>
      <c r="X789">
        <v>65.7</v>
      </c>
      <c r="Y789">
        <v>0</v>
      </c>
      <c r="Z789">
        <v>1</v>
      </c>
      <c r="AA789">
        <v>0</v>
      </c>
      <c r="AB789">
        <v>0</v>
      </c>
      <c r="AC789">
        <v>1</v>
      </c>
      <c r="AD789">
        <v>830</v>
      </c>
      <c r="AE789">
        <v>0.5</v>
      </c>
      <c r="AF789">
        <v>0</v>
      </c>
      <c r="AG789">
        <v>1</v>
      </c>
      <c r="AH789">
        <v>0</v>
      </c>
      <c r="AI789">
        <v>1</v>
      </c>
      <c r="AJ789">
        <v>480</v>
      </c>
      <c r="AK789">
        <v>6</v>
      </c>
      <c r="AL789">
        <v>0</v>
      </c>
      <c r="AM789">
        <v>1</v>
      </c>
      <c r="AN789">
        <v>0</v>
      </c>
      <c r="AO789">
        <v>13.950000000000003</v>
      </c>
      <c r="AP789">
        <v>4</v>
      </c>
      <c r="AQ789">
        <v>711.3</v>
      </c>
      <c r="AT789">
        <v>1216.6300000000001</v>
      </c>
      <c r="AU789">
        <v>9.9</v>
      </c>
      <c r="AX789" t="s">
        <v>176</v>
      </c>
    </row>
    <row r="790" spans="1:50" x14ac:dyDescent="0.45">
      <c r="A790">
        <v>10789</v>
      </c>
      <c r="B790">
        <v>1</v>
      </c>
      <c r="C790">
        <v>80</v>
      </c>
      <c r="D790">
        <v>4</v>
      </c>
      <c r="E790">
        <v>5</v>
      </c>
      <c r="F790">
        <v>6</v>
      </c>
      <c r="G790">
        <v>0</v>
      </c>
      <c r="H790">
        <v>0</v>
      </c>
      <c r="I790">
        <v>0</v>
      </c>
      <c r="J790">
        <v>0</v>
      </c>
      <c r="K790">
        <v>0</v>
      </c>
      <c r="L790">
        <v>5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1</v>
      </c>
      <c r="W790">
        <v>800</v>
      </c>
      <c r="X790">
        <v>65.7</v>
      </c>
      <c r="Y790">
        <v>0</v>
      </c>
      <c r="Z790">
        <v>1</v>
      </c>
      <c r="AA790">
        <v>0</v>
      </c>
      <c r="AB790">
        <v>0</v>
      </c>
      <c r="AC790">
        <v>1</v>
      </c>
      <c r="AD790">
        <v>730</v>
      </c>
      <c r="AE790">
        <v>0.5</v>
      </c>
      <c r="AF790">
        <v>0</v>
      </c>
      <c r="AG790">
        <v>1</v>
      </c>
      <c r="AH790">
        <v>0</v>
      </c>
      <c r="AI790">
        <v>1</v>
      </c>
      <c r="AJ790">
        <v>500</v>
      </c>
      <c r="AK790">
        <v>6</v>
      </c>
      <c r="AL790">
        <v>0</v>
      </c>
      <c r="AM790">
        <v>1</v>
      </c>
      <c r="AN790">
        <v>0</v>
      </c>
      <c r="AO790">
        <v>13.950000000000003</v>
      </c>
      <c r="AP790">
        <v>4</v>
      </c>
      <c r="AQ790">
        <v>711.3</v>
      </c>
      <c r="AT790">
        <v>1383.33</v>
      </c>
      <c r="AU790">
        <v>13.87</v>
      </c>
      <c r="AX790" t="s">
        <v>177</v>
      </c>
    </row>
    <row r="791" spans="1:50" x14ac:dyDescent="0.45">
      <c r="A791">
        <v>10790</v>
      </c>
      <c r="B791">
        <v>1</v>
      </c>
      <c r="C791">
        <v>80</v>
      </c>
      <c r="D791">
        <v>4</v>
      </c>
      <c r="E791">
        <v>5</v>
      </c>
      <c r="F791">
        <v>6</v>
      </c>
      <c r="G791">
        <v>0</v>
      </c>
      <c r="H791">
        <v>0</v>
      </c>
      <c r="I791">
        <v>0</v>
      </c>
      <c r="J791">
        <v>0</v>
      </c>
      <c r="K791">
        <v>0</v>
      </c>
      <c r="L791">
        <v>5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1</v>
      </c>
      <c r="W791">
        <v>800</v>
      </c>
      <c r="X791">
        <v>65.7</v>
      </c>
      <c r="Y791">
        <v>0</v>
      </c>
      <c r="Z791">
        <v>1</v>
      </c>
      <c r="AA791">
        <v>0</v>
      </c>
      <c r="AB791">
        <v>0</v>
      </c>
      <c r="AC791">
        <v>1</v>
      </c>
      <c r="AD791">
        <v>760</v>
      </c>
      <c r="AE791">
        <v>0.5</v>
      </c>
      <c r="AF791">
        <v>0</v>
      </c>
      <c r="AG791">
        <v>1</v>
      </c>
      <c r="AH791">
        <v>0</v>
      </c>
      <c r="AI791">
        <v>1</v>
      </c>
      <c r="AJ791">
        <v>500</v>
      </c>
      <c r="AK791">
        <v>6</v>
      </c>
      <c r="AL791">
        <v>0</v>
      </c>
      <c r="AM791">
        <v>1</v>
      </c>
      <c r="AN791">
        <v>0</v>
      </c>
      <c r="AO791">
        <v>13.950000000000003</v>
      </c>
      <c r="AP791">
        <v>4</v>
      </c>
      <c r="AQ791">
        <v>711.3</v>
      </c>
      <c r="AT791">
        <v>1470.05</v>
      </c>
      <c r="AU791">
        <v>10.4</v>
      </c>
      <c r="AX791" t="s">
        <v>178</v>
      </c>
    </row>
    <row r="792" spans="1:50" x14ac:dyDescent="0.45">
      <c r="A792">
        <v>10791</v>
      </c>
      <c r="B792">
        <v>1</v>
      </c>
      <c r="C792">
        <v>80</v>
      </c>
      <c r="D792">
        <v>4</v>
      </c>
      <c r="E792">
        <v>5</v>
      </c>
      <c r="F792">
        <v>6</v>
      </c>
      <c r="G792">
        <v>0</v>
      </c>
      <c r="H792">
        <v>0</v>
      </c>
      <c r="I792">
        <v>0</v>
      </c>
      <c r="J792">
        <v>0</v>
      </c>
      <c r="K792">
        <v>0</v>
      </c>
      <c r="L792">
        <v>5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1</v>
      </c>
      <c r="W792">
        <v>800</v>
      </c>
      <c r="X792">
        <v>65.7</v>
      </c>
      <c r="Y792">
        <v>0</v>
      </c>
      <c r="Z792">
        <v>1</v>
      </c>
      <c r="AA792">
        <v>0</v>
      </c>
      <c r="AB792">
        <v>0</v>
      </c>
      <c r="AC792">
        <v>1</v>
      </c>
      <c r="AD792">
        <v>800</v>
      </c>
      <c r="AE792">
        <v>0.5</v>
      </c>
      <c r="AF792">
        <v>0</v>
      </c>
      <c r="AG792">
        <v>1</v>
      </c>
      <c r="AH792">
        <v>0</v>
      </c>
      <c r="AI792">
        <v>1</v>
      </c>
      <c r="AJ792">
        <v>500</v>
      </c>
      <c r="AK792">
        <v>6</v>
      </c>
      <c r="AL792">
        <v>0</v>
      </c>
      <c r="AM792">
        <v>1</v>
      </c>
      <c r="AN792">
        <v>0</v>
      </c>
      <c r="AO792">
        <v>13.950000000000003</v>
      </c>
      <c r="AP792">
        <v>4</v>
      </c>
      <c r="AQ792">
        <v>711.3</v>
      </c>
      <c r="AT792">
        <v>1400.15</v>
      </c>
      <c r="AU792">
        <v>7.52</v>
      </c>
      <c r="AX792" t="s">
        <v>179</v>
      </c>
    </row>
    <row r="793" spans="1:50" x14ac:dyDescent="0.45">
      <c r="A793">
        <v>10792</v>
      </c>
      <c r="B793">
        <v>1</v>
      </c>
      <c r="C793">
        <v>80</v>
      </c>
      <c r="D793">
        <v>4</v>
      </c>
      <c r="E793">
        <v>5</v>
      </c>
      <c r="F793">
        <v>6</v>
      </c>
      <c r="G793">
        <v>0</v>
      </c>
      <c r="H793">
        <v>0</v>
      </c>
      <c r="I793">
        <v>0</v>
      </c>
      <c r="J793">
        <v>0</v>
      </c>
      <c r="K793">
        <v>0</v>
      </c>
      <c r="L793">
        <v>5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1</v>
      </c>
      <c r="W793">
        <v>800</v>
      </c>
      <c r="X793">
        <v>65.7</v>
      </c>
      <c r="Y793">
        <v>0</v>
      </c>
      <c r="Z793">
        <v>1</v>
      </c>
      <c r="AA793">
        <v>0</v>
      </c>
      <c r="AB793">
        <v>0</v>
      </c>
      <c r="AC793">
        <v>1</v>
      </c>
      <c r="AD793">
        <v>830</v>
      </c>
      <c r="AE793">
        <v>0.5</v>
      </c>
      <c r="AF793">
        <v>0</v>
      </c>
      <c r="AG793">
        <v>1</v>
      </c>
      <c r="AH793">
        <v>0</v>
      </c>
      <c r="AI793">
        <v>1</v>
      </c>
      <c r="AJ793">
        <v>500</v>
      </c>
      <c r="AK793">
        <v>6</v>
      </c>
      <c r="AL793">
        <v>0</v>
      </c>
      <c r="AM793">
        <v>1</v>
      </c>
      <c r="AN793">
        <v>0</v>
      </c>
      <c r="AO793">
        <v>13.950000000000003</v>
      </c>
      <c r="AP793">
        <v>4</v>
      </c>
      <c r="AQ793">
        <v>711.3</v>
      </c>
      <c r="AT793">
        <v>1305.81</v>
      </c>
      <c r="AU793">
        <v>7.75</v>
      </c>
      <c r="AX793" t="s">
        <v>180</v>
      </c>
    </row>
    <row r="794" spans="1:50" x14ac:dyDescent="0.45">
      <c r="A794">
        <v>10793</v>
      </c>
      <c r="B794">
        <v>1</v>
      </c>
      <c r="C794">
        <v>80</v>
      </c>
      <c r="D794">
        <v>4</v>
      </c>
      <c r="E794">
        <v>5</v>
      </c>
      <c r="F794">
        <v>6</v>
      </c>
      <c r="G794">
        <v>0</v>
      </c>
      <c r="H794">
        <v>0</v>
      </c>
      <c r="I794">
        <v>0</v>
      </c>
      <c r="J794">
        <v>0</v>
      </c>
      <c r="K794">
        <v>0</v>
      </c>
      <c r="L794">
        <v>5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1</v>
      </c>
      <c r="W794">
        <v>800</v>
      </c>
      <c r="X794">
        <v>65.7</v>
      </c>
      <c r="Y794">
        <v>0</v>
      </c>
      <c r="Z794">
        <v>1</v>
      </c>
      <c r="AA794">
        <v>0</v>
      </c>
      <c r="AB794">
        <v>0</v>
      </c>
      <c r="AC794">
        <v>1</v>
      </c>
      <c r="AD794">
        <v>730</v>
      </c>
      <c r="AE794">
        <v>0.5</v>
      </c>
      <c r="AF794">
        <v>0</v>
      </c>
      <c r="AG794">
        <v>1</v>
      </c>
      <c r="AH794">
        <v>0</v>
      </c>
      <c r="AI794">
        <v>1</v>
      </c>
      <c r="AJ794">
        <v>520</v>
      </c>
      <c r="AK794">
        <v>6</v>
      </c>
      <c r="AL794">
        <v>0</v>
      </c>
      <c r="AM794">
        <v>1</v>
      </c>
      <c r="AN794">
        <v>0</v>
      </c>
      <c r="AO794">
        <v>13.950000000000003</v>
      </c>
      <c r="AP794">
        <v>4</v>
      </c>
      <c r="AQ794">
        <v>711.3</v>
      </c>
      <c r="AT794">
        <v>1279.6600000000001</v>
      </c>
      <c r="AU794">
        <v>15.55</v>
      </c>
      <c r="AX794" t="s">
        <v>181</v>
      </c>
    </row>
    <row r="795" spans="1:50" x14ac:dyDescent="0.45">
      <c r="A795">
        <v>10794</v>
      </c>
      <c r="B795">
        <v>1</v>
      </c>
      <c r="C795">
        <v>80</v>
      </c>
      <c r="D795">
        <v>4</v>
      </c>
      <c r="E795">
        <v>5</v>
      </c>
      <c r="F795">
        <v>6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5</v>
      </c>
      <c r="M795">
        <v>0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1</v>
      </c>
      <c r="W795">
        <v>800</v>
      </c>
      <c r="X795">
        <v>65.7</v>
      </c>
      <c r="Y795">
        <v>0</v>
      </c>
      <c r="Z795">
        <v>1</v>
      </c>
      <c r="AA795">
        <v>0</v>
      </c>
      <c r="AB795">
        <v>0</v>
      </c>
      <c r="AC795">
        <v>1</v>
      </c>
      <c r="AD795">
        <v>760</v>
      </c>
      <c r="AE795">
        <v>0.5</v>
      </c>
      <c r="AF795">
        <v>0</v>
      </c>
      <c r="AG795">
        <v>1</v>
      </c>
      <c r="AH795">
        <v>0</v>
      </c>
      <c r="AI795">
        <v>1</v>
      </c>
      <c r="AJ795">
        <v>520</v>
      </c>
      <c r="AK795">
        <v>6</v>
      </c>
      <c r="AL795">
        <v>0</v>
      </c>
      <c r="AM795">
        <v>1</v>
      </c>
      <c r="AN795">
        <v>0</v>
      </c>
      <c r="AO795">
        <v>13.950000000000003</v>
      </c>
      <c r="AP795">
        <v>4</v>
      </c>
      <c r="AQ795">
        <v>711.3</v>
      </c>
      <c r="AT795">
        <v>1366.56</v>
      </c>
      <c r="AU795">
        <v>12.97</v>
      </c>
      <c r="AX795" t="s">
        <v>182</v>
      </c>
    </row>
    <row r="796" spans="1:50" x14ac:dyDescent="0.45">
      <c r="A796">
        <v>10795</v>
      </c>
      <c r="B796">
        <v>1</v>
      </c>
      <c r="C796">
        <v>80</v>
      </c>
      <c r="D796">
        <v>4</v>
      </c>
      <c r="E796">
        <v>5</v>
      </c>
      <c r="F796">
        <v>6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5</v>
      </c>
      <c r="M796">
        <v>0</v>
      </c>
      <c r="N796">
        <v>0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1</v>
      </c>
      <c r="W796">
        <v>800</v>
      </c>
      <c r="X796">
        <v>65.7</v>
      </c>
      <c r="Y796">
        <v>0</v>
      </c>
      <c r="Z796">
        <v>1</v>
      </c>
      <c r="AA796">
        <v>0</v>
      </c>
      <c r="AB796">
        <v>0</v>
      </c>
      <c r="AC796">
        <v>1</v>
      </c>
      <c r="AD796">
        <v>800</v>
      </c>
      <c r="AE796">
        <v>0.5</v>
      </c>
      <c r="AF796">
        <v>0</v>
      </c>
      <c r="AG796">
        <v>1</v>
      </c>
      <c r="AH796">
        <v>0</v>
      </c>
      <c r="AI796">
        <v>1</v>
      </c>
      <c r="AJ796">
        <v>520</v>
      </c>
      <c r="AK796">
        <v>6</v>
      </c>
      <c r="AL796">
        <v>0</v>
      </c>
      <c r="AM796">
        <v>1</v>
      </c>
      <c r="AN796">
        <v>0</v>
      </c>
      <c r="AO796">
        <v>13.950000000000003</v>
      </c>
      <c r="AP796">
        <v>4</v>
      </c>
      <c r="AQ796">
        <v>711.3</v>
      </c>
      <c r="AT796">
        <v>1413.25</v>
      </c>
      <c r="AU796">
        <v>8.1999999999999993</v>
      </c>
      <c r="AX796" t="s">
        <v>183</v>
      </c>
    </row>
    <row r="797" spans="1:50" x14ac:dyDescent="0.45">
      <c r="A797">
        <v>10796</v>
      </c>
      <c r="B797">
        <v>1</v>
      </c>
      <c r="C797">
        <v>80</v>
      </c>
      <c r="D797">
        <v>4</v>
      </c>
      <c r="E797">
        <v>5</v>
      </c>
      <c r="F797">
        <v>6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5</v>
      </c>
      <c r="M797">
        <v>0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1</v>
      </c>
      <c r="W797">
        <v>800</v>
      </c>
      <c r="X797">
        <v>65.7</v>
      </c>
      <c r="Y797">
        <v>0</v>
      </c>
      <c r="Z797">
        <v>1</v>
      </c>
      <c r="AA797">
        <v>0</v>
      </c>
      <c r="AB797">
        <v>0</v>
      </c>
      <c r="AC797">
        <v>1</v>
      </c>
      <c r="AD797">
        <v>830</v>
      </c>
      <c r="AE797">
        <v>0.5</v>
      </c>
      <c r="AF797">
        <v>0</v>
      </c>
      <c r="AG797">
        <v>1</v>
      </c>
      <c r="AH797">
        <v>0</v>
      </c>
      <c r="AI797">
        <v>1</v>
      </c>
      <c r="AJ797">
        <v>520</v>
      </c>
      <c r="AK797">
        <v>6</v>
      </c>
      <c r="AL797">
        <v>0</v>
      </c>
      <c r="AM797">
        <v>1</v>
      </c>
      <c r="AN797">
        <v>0</v>
      </c>
      <c r="AO797">
        <v>13.950000000000003</v>
      </c>
      <c r="AP797">
        <v>4</v>
      </c>
      <c r="AQ797">
        <v>711.3</v>
      </c>
      <c r="AT797">
        <v>1409.09</v>
      </c>
      <c r="AU797">
        <v>6.88</v>
      </c>
      <c r="AX797" t="s">
        <v>184</v>
      </c>
    </row>
    <row r="798" spans="1:50" x14ac:dyDescent="0.45">
      <c r="A798">
        <v>10797</v>
      </c>
      <c r="B798">
        <v>0</v>
      </c>
      <c r="C798">
        <v>88.6</v>
      </c>
      <c r="D798">
        <v>6.1</v>
      </c>
      <c r="E798">
        <v>4</v>
      </c>
      <c r="F798">
        <v>0</v>
      </c>
      <c r="G798">
        <v>0</v>
      </c>
      <c r="H798">
        <v>0</v>
      </c>
      <c r="I798">
        <v>0</v>
      </c>
      <c r="J798">
        <v>0.65</v>
      </c>
      <c r="K798">
        <v>0</v>
      </c>
      <c r="L798">
        <v>0.65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Y798">
        <v>1</v>
      </c>
      <c r="Z798">
        <v>0</v>
      </c>
      <c r="AA798">
        <v>0</v>
      </c>
      <c r="AB798">
        <v>0</v>
      </c>
      <c r="AC798">
        <v>0</v>
      </c>
      <c r="AI798">
        <v>0</v>
      </c>
      <c r="AO798">
        <v>-2.7699999999999996</v>
      </c>
      <c r="AP798">
        <v>6.208333333333333</v>
      </c>
      <c r="AQ798">
        <v>836.94999999999993</v>
      </c>
      <c r="AX798" t="s">
        <v>185</v>
      </c>
    </row>
    <row r="799" spans="1:50" x14ac:dyDescent="0.45">
      <c r="A799">
        <v>10798</v>
      </c>
      <c r="B799">
        <v>0</v>
      </c>
      <c r="C799">
        <v>88.6</v>
      </c>
      <c r="D799">
        <v>6.1</v>
      </c>
      <c r="E799">
        <v>4</v>
      </c>
      <c r="F799">
        <v>0</v>
      </c>
      <c r="G799">
        <v>0</v>
      </c>
      <c r="H799">
        <v>0</v>
      </c>
      <c r="I799">
        <v>0</v>
      </c>
      <c r="J799">
        <v>0.65</v>
      </c>
      <c r="K799">
        <v>0</v>
      </c>
      <c r="L799">
        <v>0.65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Y799">
        <v>1</v>
      </c>
      <c r="Z799">
        <v>0</v>
      </c>
      <c r="AA799">
        <v>0</v>
      </c>
      <c r="AB799">
        <v>0</v>
      </c>
      <c r="AC799">
        <v>1</v>
      </c>
      <c r="AD799">
        <v>910</v>
      </c>
      <c r="AE799">
        <v>2</v>
      </c>
      <c r="AF799">
        <v>0</v>
      </c>
      <c r="AG799">
        <v>1</v>
      </c>
      <c r="AH799">
        <v>0</v>
      </c>
      <c r="AI799">
        <v>0</v>
      </c>
      <c r="AO799">
        <v>-2.7699999999999996</v>
      </c>
      <c r="AP799">
        <v>6.208333333333333</v>
      </c>
      <c r="AQ799">
        <v>836.94999999999993</v>
      </c>
      <c r="AX799" t="s">
        <v>185</v>
      </c>
    </row>
    <row r="800" spans="1:50" x14ac:dyDescent="0.45">
      <c r="A800">
        <v>10799</v>
      </c>
      <c r="B800">
        <v>0</v>
      </c>
      <c r="C800">
        <v>88.6</v>
      </c>
      <c r="D800">
        <v>6.1</v>
      </c>
      <c r="E800">
        <v>4</v>
      </c>
      <c r="F800">
        <v>0</v>
      </c>
      <c r="G800">
        <v>0</v>
      </c>
      <c r="H800">
        <v>0</v>
      </c>
      <c r="I800">
        <v>0</v>
      </c>
      <c r="J800">
        <v>0.65</v>
      </c>
      <c r="K800">
        <v>0</v>
      </c>
      <c r="L800">
        <v>0.65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Y800">
        <v>1</v>
      </c>
      <c r="Z800">
        <v>0</v>
      </c>
      <c r="AA800">
        <v>0</v>
      </c>
      <c r="AB800">
        <v>0</v>
      </c>
      <c r="AC800">
        <v>1</v>
      </c>
      <c r="AD800">
        <v>910</v>
      </c>
      <c r="AE800">
        <v>1</v>
      </c>
      <c r="AF800">
        <v>0</v>
      </c>
      <c r="AG800">
        <v>0</v>
      </c>
      <c r="AH800">
        <v>1</v>
      </c>
      <c r="AI800">
        <v>0</v>
      </c>
      <c r="AO800">
        <v>-2.7699999999999996</v>
      </c>
      <c r="AP800">
        <v>6.208333333333333</v>
      </c>
      <c r="AQ800">
        <v>836.94999999999993</v>
      </c>
      <c r="AX800" t="s">
        <v>185</v>
      </c>
    </row>
    <row r="801" spans="1:50" x14ac:dyDescent="0.45">
      <c r="A801">
        <v>10800</v>
      </c>
      <c r="B801">
        <v>0</v>
      </c>
      <c r="C801">
        <v>88.6</v>
      </c>
      <c r="D801">
        <v>6.1</v>
      </c>
      <c r="E801">
        <v>4</v>
      </c>
      <c r="F801">
        <v>0</v>
      </c>
      <c r="G801">
        <v>0</v>
      </c>
      <c r="H801">
        <v>0</v>
      </c>
      <c r="I801">
        <v>0</v>
      </c>
      <c r="J801">
        <v>0.65</v>
      </c>
      <c r="K801">
        <v>0</v>
      </c>
      <c r="L801">
        <v>0.65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Y801">
        <v>1</v>
      </c>
      <c r="Z801">
        <v>0</v>
      </c>
      <c r="AA801">
        <v>0</v>
      </c>
      <c r="AB801">
        <v>0</v>
      </c>
      <c r="AC801">
        <v>1</v>
      </c>
      <c r="AD801">
        <v>955</v>
      </c>
      <c r="AE801">
        <v>1</v>
      </c>
      <c r="AF801">
        <v>0</v>
      </c>
      <c r="AG801">
        <v>0</v>
      </c>
      <c r="AH801">
        <v>1</v>
      </c>
      <c r="AI801">
        <v>1</v>
      </c>
      <c r="AJ801">
        <v>500</v>
      </c>
      <c r="AK801">
        <v>2</v>
      </c>
      <c r="AL801">
        <v>0</v>
      </c>
      <c r="AM801">
        <v>1</v>
      </c>
      <c r="AN801">
        <v>0</v>
      </c>
      <c r="AO801">
        <v>-2.7699999999999996</v>
      </c>
      <c r="AP801">
        <v>6.208333333333333</v>
      </c>
      <c r="AQ801">
        <v>836.94999999999993</v>
      </c>
      <c r="AX801" t="s">
        <v>185</v>
      </c>
    </row>
    <row r="802" spans="1:50" x14ac:dyDescent="0.45">
      <c r="A802">
        <v>10801</v>
      </c>
      <c r="B802">
        <v>0</v>
      </c>
      <c r="C802">
        <v>88.3</v>
      </c>
      <c r="D802">
        <v>6.1</v>
      </c>
      <c r="E802">
        <v>4</v>
      </c>
      <c r="F802">
        <v>0</v>
      </c>
      <c r="G802">
        <v>0</v>
      </c>
      <c r="H802">
        <v>0</v>
      </c>
      <c r="I802">
        <v>0</v>
      </c>
      <c r="J802">
        <v>0.8</v>
      </c>
      <c r="K802">
        <v>0</v>
      </c>
      <c r="L802">
        <v>0.8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Y802">
        <v>1</v>
      </c>
      <c r="Z802">
        <v>0</v>
      </c>
      <c r="AA802">
        <v>0</v>
      </c>
      <c r="AB802">
        <v>0</v>
      </c>
      <c r="AC802">
        <v>1</v>
      </c>
      <c r="AD802">
        <v>955</v>
      </c>
      <c r="AE802">
        <v>1</v>
      </c>
      <c r="AF802">
        <v>0</v>
      </c>
      <c r="AG802">
        <v>0</v>
      </c>
      <c r="AH802">
        <v>1</v>
      </c>
      <c r="AI802">
        <v>1</v>
      </c>
      <c r="AJ802">
        <v>500</v>
      </c>
      <c r="AK802">
        <v>2</v>
      </c>
      <c r="AL802">
        <v>0</v>
      </c>
      <c r="AM802">
        <v>1</v>
      </c>
      <c r="AN802">
        <v>0</v>
      </c>
      <c r="AO802">
        <v>-2.6199999999999992</v>
      </c>
      <c r="AP802">
        <v>6.2333333333333334</v>
      </c>
      <c r="AQ802">
        <v>834.4899999999999</v>
      </c>
      <c r="AW802" t="s">
        <v>315</v>
      </c>
      <c r="AX802" t="s">
        <v>186</v>
      </c>
    </row>
    <row r="803" spans="1:50" x14ac:dyDescent="0.45">
      <c r="A803">
        <v>10802</v>
      </c>
      <c r="B803">
        <v>0</v>
      </c>
      <c r="C803">
        <v>88</v>
      </c>
      <c r="D803">
        <v>6</v>
      </c>
      <c r="E803">
        <v>0</v>
      </c>
      <c r="F803">
        <v>0</v>
      </c>
      <c r="G803">
        <v>0</v>
      </c>
      <c r="H803">
        <v>0</v>
      </c>
      <c r="I803">
        <v>0</v>
      </c>
      <c r="J803">
        <v>2</v>
      </c>
      <c r="K803">
        <v>3</v>
      </c>
      <c r="L803">
        <v>1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Y803">
        <v>1</v>
      </c>
      <c r="Z803">
        <v>0</v>
      </c>
      <c r="AA803">
        <v>0</v>
      </c>
      <c r="AB803">
        <v>0</v>
      </c>
      <c r="AC803">
        <v>0</v>
      </c>
      <c r="AI803">
        <v>0</v>
      </c>
      <c r="AO803">
        <v>-4.16</v>
      </c>
      <c r="AP803">
        <v>6.333333333333333</v>
      </c>
      <c r="AQ803">
        <v>871.30000000000007</v>
      </c>
      <c r="AW803" t="s">
        <v>316</v>
      </c>
      <c r="AX803" t="s">
        <v>187</v>
      </c>
    </row>
    <row r="804" spans="1:50" x14ac:dyDescent="0.45">
      <c r="A804">
        <v>10803</v>
      </c>
      <c r="B804">
        <v>0</v>
      </c>
      <c r="C804">
        <v>88</v>
      </c>
      <c r="D804">
        <v>6</v>
      </c>
      <c r="E804">
        <v>0</v>
      </c>
      <c r="F804">
        <v>0</v>
      </c>
      <c r="G804">
        <v>0</v>
      </c>
      <c r="H804">
        <v>0</v>
      </c>
      <c r="I804">
        <v>0</v>
      </c>
      <c r="J804">
        <v>2</v>
      </c>
      <c r="K804">
        <v>3</v>
      </c>
      <c r="L804">
        <v>1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Y804">
        <v>1</v>
      </c>
      <c r="Z804">
        <v>0</v>
      </c>
      <c r="AA804">
        <v>0</v>
      </c>
      <c r="AB804">
        <v>0</v>
      </c>
      <c r="AC804">
        <v>0</v>
      </c>
      <c r="AI804">
        <v>0</v>
      </c>
      <c r="AO804">
        <v>-4.16</v>
      </c>
      <c r="AP804">
        <v>6.333333333333333</v>
      </c>
      <c r="AQ804">
        <v>871.30000000000007</v>
      </c>
      <c r="AW804" t="s">
        <v>317</v>
      </c>
      <c r="AX804" t="s">
        <v>187</v>
      </c>
    </row>
    <row r="805" spans="1:50" x14ac:dyDescent="0.45">
      <c r="A805">
        <v>10804</v>
      </c>
      <c r="B805">
        <v>0</v>
      </c>
      <c r="C805">
        <v>88</v>
      </c>
      <c r="D805">
        <v>6</v>
      </c>
      <c r="E805">
        <v>0</v>
      </c>
      <c r="F805">
        <v>0</v>
      </c>
      <c r="G805">
        <v>0</v>
      </c>
      <c r="H805">
        <v>0</v>
      </c>
      <c r="I805">
        <v>0</v>
      </c>
      <c r="J805">
        <v>2</v>
      </c>
      <c r="K805">
        <v>3</v>
      </c>
      <c r="L805">
        <v>1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Y805">
        <v>1</v>
      </c>
      <c r="Z805">
        <v>0</v>
      </c>
      <c r="AA805">
        <v>0</v>
      </c>
      <c r="AB805">
        <v>0</v>
      </c>
      <c r="AC805">
        <v>0</v>
      </c>
      <c r="AI805">
        <v>0</v>
      </c>
      <c r="AO805">
        <v>-4.16</v>
      </c>
      <c r="AP805">
        <v>6.333333333333333</v>
      </c>
      <c r="AQ805">
        <v>871.30000000000007</v>
      </c>
      <c r="AW805" t="s">
        <v>318</v>
      </c>
      <c r="AX805" t="s">
        <v>187</v>
      </c>
    </row>
    <row r="806" spans="1:50" x14ac:dyDescent="0.45">
      <c r="A806">
        <v>10805</v>
      </c>
      <c r="B806">
        <v>0</v>
      </c>
      <c r="C806">
        <v>88</v>
      </c>
      <c r="D806">
        <v>6</v>
      </c>
      <c r="E806">
        <v>0</v>
      </c>
      <c r="F806">
        <v>0</v>
      </c>
      <c r="G806">
        <v>0</v>
      </c>
      <c r="H806">
        <v>0</v>
      </c>
      <c r="I806">
        <v>0</v>
      </c>
      <c r="J806">
        <v>2</v>
      </c>
      <c r="K806">
        <v>3</v>
      </c>
      <c r="L806">
        <v>1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Y806">
        <v>1</v>
      </c>
      <c r="Z806">
        <v>0</v>
      </c>
      <c r="AA806">
        <v>0</v>
      </c>
      <c r="AB806">
        <v>0</v>
      </c>
      <c r="AC806">
        <v>0</v>
      </c>
      <c r="AI806">
        <v>0</v>
      </c>
      <c r="AO806">
        <v>-4.16</v>
      </c>
      <c r="AP806">
        <v>6.333333333333333</v>
      </c>
      <c r="AQ806">
        <v>871.30000000000007</v>
      </c>
      <c r="AW806" t="s">
        <v>319</v>
      </c>
      <c r="AX806" t="s">
        <v>187</v>
      </c>
    </row>
    <row r="807" spans="1:50" x14ac:dyDescent="0.45">
      <c r="A807">
        <v>10806</v>
      </c>
      <c r="B807">
        <v>0</v>
      </c>
      <c r="C807">
        <v>88</v>
      </c>
      <c r="D807">
        <v>6</v>
      </c>
      <c r="E807">
        <v>0</v>
      </c>
      <c r="F807">
        <v>0</v>
      </c>
      <c r="G807">
        <v>0</v>
      </c>
      <c r="H807">
        <v>0</v>
      </c>
      <c r="I807">
        <v>0</v>
      </c>
      <c r="J807">
        <v>2</v>
      </c>
      <c r="K807">
        <v>3</v>
      </c>
      <c r="L807">
        <v>1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Y807">
        <v>1</v>
      </c>
      <c r="Z807">
        <v>0</v>
      </c>
      <c r="AA807">
        <v>0</v>
      </c>
      <c r="AB807">
        <v>0</v>
      </c>
      <c r="AC807">
        <v>0</v>
      </c>
      <c r="AI807">
        <v>0</v>
      </c>
      <c r="AO807">
        <v>-4.16</v>
      </c>
      <c r="AP807">
        <v>6.333333333333333</v>
      </c>
      <c r="AQ807">
        <v>871.30000000000007</v>
      </c>
      <c r="AW807" t="s">
        <v>320</v>
      </c>
      <c r="AX807" t="s">
        <v>187</v>
      </c>
    </row>
    <row r="808" spans="1:50" x14ac:dyDescent="0.45">
      <c r="A808">
        <v>10807</v>
      </c>
      <c r="B808">
        <v>0</v>
      </c>
      <c r="C808">
        <v>88</v>
      </c>
      <c r="D808">
        <v>6</v>
      </c>
      <c r="E808">
        <v>0</v>
      </c>
      <c r="F808">
        <v>0</v>
      </c>
      <c r="G808">
        <v>0</v>
      </c>
      <c r="H808">
        <v>0</v>
      </c>
      <c r="I808">
        <v>0</v>
      </c>
      <c r="J808">
        <v>2</v>
      </c>
      <c r="K808">
        <v>3</v>
      </c>
      <c r="L808">
        <v>1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Y808">
        <v>1</v>
      </c>
      <c r="Z808">
        <v>0</v>
      </c>
      <c r="AA808">
        <v>0</v>
      </c>
      <c r="AB808">
        <v>0</v>
      </c>
      <c r="AC808">
        <v>0</v>
      </c>
      <c r="AI808">
        <v>0</v>
      </c>
      <c r="AO808">
        <v>-4.16</v>
      </c>
      <c r="AP808">
        <v>6.333333333333333</v>
      </c>
      <c r="AQ808">
        <v>871.30000000000007</v>
      </c>
      <c r="AW808" t="s">
        <v>321</v>
      </c>
      <c r="AX808" t="s">
        <v>187</v>
      </c>
    </row>
    <row r="809" spans="1:50" x14ac:dyDescent="0.45">
      <c r="A809">
        <v>10808</v>
      </c>
      <c r="B809">
        <v>1</v>
      </c>
      <c r="C809">
        <v>87.3</v>
      </c>
      <c r="D809">
        <v>6.25</v>
      </c>
      <c r="E809">
        <v>0</v>
      </c>
      <c r="F809">
        <v>0</v>
      </c>
      <c r="G809">
        <v>0</v>
      </c>
      <c r="H809">
        <v>0</v>
      </c>
      <c r="I809">
        <v>0</v>
      </c>
      <c r="J809">
        <v>2.0499999999999998</v>
      </c>
      <c r="K809">
        <v>3.2</v>
      </c>
      <c r="L809">
        <v>1.0900000000000001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Y809">
        <v>1</v>
      </c>
      <c r="Z809">
        <v>0</v>
      </c>
      <c r="AA809">
        <v>0</v>
      </c>
      <c r="AB809">
        <v>0</v>
      </c>
      <c r="AC809">
        <v>1</v>
      </c>
      <c r="AD809">
        <v>970</v>
      </c>
      <c r="AE809">
        <v>2</v>
      </c>
      <c r="AF809">
        <v>0</v>
      </c>
      <c r="AG809">
        <v>1</v>
      </c>
      <c r="AH809">
        <v>0</v>
      </c>
      <c r="AI809">
        <v>1</v>
      </c>
      <c r="AJ809">
        <v>750</v>
      </c>
      <c r="AK809">
        <v>2</v>
      </c>
      <c r="AL809">
        <v>0</v>
      </c>
      <c r="AM809">
        <v>1</v>
      </c>
      <c r="AN809">
        <v>0</v>
      </c>
      <c r="AO809">
        <v>-4.2639999999999993</v>
      </c>
      <c r="AP809">
        <v>6.5916666666666668</v>
      </c>
      <c r="AQ809">
        <v>870.625</v>
      </c>
      <c r="AS809">
        <v>787.51649999999995</v>
      </c>
      <c r="AT809">
        <v>879.67525000000001</v>
      </c>
      <c r="AU809">
        <v>16.701025000000001</v>
      </c>
      <c r="AX809" t="s">
        <v>108</v>
      </c>
    </row>
    <row r="810" spans="1:50" x14ac:dyDescent="0.45">
      <c r="A810">
        <v>10809</v>
      </c>
      <c r="B810">
        <v>1</v>
      </c>
      <c r="C810">
        <v>86.629000000000005</v>
      </c>
      <c r="D810">
        <v>6.75</v>
      </c>
      <c r="E810">
        <v>0</v>
      </c>
      <c r="F810">
        <v>0</v>
      </c>
      <c r="G810">
        <v>0</v>
      </c>
      <c r="H810">
        <v>0</v>
      </c>
      <c r="I810">
        <v>0</v>
      </c>
      <c r="J810">
        <v>2.11</v>
      </c>
      <c r="K810">
        <v>3.1</v>
      </c>
      <c r="L810">
        <v>1.04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Y810">
        <v>1</v>
      </c>
      <c r="Z810">
        <v>0</v>
      </c>
      <c r="AA810">
        <v>0</v>
      </c>
      <c r="AB810">
        <v>0</v>
      </c>
      <c r="AC810">
        <v>1</v>
      </c>
      <c r="AD810">
        <v>965</v>
      </c>
      <c r="AE810">
        <v>1</v>
      </c>
      <c r="AF810">
        <v>1</v>
      </c>
      <c r="AG810">
        <v>0</v>
      </c>
      <c r="AH810">
        <v>0</v>
      </c>
      <c r="AI810">
        <v>0</v>
      </c>
      <c r="AO810">
        <v>-4.8419999999999996</v>
      </c>
      <c r="AP810">
        <v>7.1016666666666666</v>
      </c>
      <c r="AQ810">
        <v>871.73599999999999</v>
      </c>
      <c r="AS810">
        <v>840</v>
      </c>
      <c r="AT810">
        <v>989</v>
      </c>
      <c r="AU810">
        <v>13.4</v>
      </c>
      <c r="AX810" t="s">
        <v>108</v>
      </c>
    </row>
    <row r="811" spans="1:50" x14ac:dyDescent="0.45">
      <c r="A811">
        <v>10810</v>
      </c>
      <c r="B811">
        <v>1</v>
      </c>
      <c r="C811">
        <v>86.629000000000005</v>
      </c>
      <c r="D811">
        <v>6.75</v>
      </c>
      <c r="E811">
        <v>0</v>
      </c>
      <c r="F811">
        <v>0</v>
      </c>
      <c r="G811">
        <v>0</v>
      </c>
      <c r="H811">
        <v>0</v>
      </c>
      <c r="I811">
        <v>0</v>
      </c>
      <c r="J811">
        <v>2.11</v>
      </c>
      <c r="K811">
        <v>3.1</v>
      </c>
      <c r="L811">
        <v>1.04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Y811">
        <v>1</v>
      </c>
      <c r="Z811">
        <v>0</v>
      </c>
      <c r="AA811">
        <v>0</v>
      </c>
      <c r="AB811">
        <v>0</v>
      </c>
      <c r="AC811">
        <v>1</v>
      </c>
      <c r="AD811">
        <v>965</v>
      </c>
      <c r="AE811">
        <v>1</v>
      </c>
      <c r="AF811">
        <v>1</v>
      </c>
      <c r="AG811">
        <v>0</v>
      </c>
      <c r="AH811">
        <v>0</v>
      </c>
      <c r="AI811">
        <v>1</v>
      </c>
      <c r="AJ811">
        <v>900</v>
      </c>
      <c r="AK811">
        <v>1</v>
      </c>
      <c r="AL811">
        <v>1</v>
      </c>
      <c r="AM811">
        <v>0</v>
      </c>
      <c r="AN811">
        <v>0</v>
      </c>
      <c r="AO811">
        <v>-4.8419999999999996</v>
      </c>
      <c r="AP811">
        <v>7.1016666666666666</v>
      </c>
      <c r="AQ811">
        <v>871.73599999999999</v>
      </c>
      <c r="AS811">
        <v>779</v>
      </c>
      <c r="AT811">
        <v>903</v>
      </c>
      <c r="AU811">
        <v>17.100000000000001</v>
      </c>
      <c r="AX811" t="s">
        <v>108</v>
      </c>
    </row>
    <row r="812" spans="1:50" x14ac:dyDescent="0.45">
      <c r="A812">
        <v>10811</v>
      </c>
      <c r="B812">
        <v>1</v>
      </c>
      <c r="C812">
        <v>86.629000000000005</v>
      </c>
      <c r="D812">
        <v>6.75</v>
      </c>
      <c r="E812">
        <v>0</v>
      </c>
      <c r="F812">
        <v>0</v>
      </c>
      <c r="G812">
        <v>0</v>
      </c>
      <c r="H812">
        <v>0</v>
      </c>
      <c r="I812">
        <v>0</v>
      </c>
      <c r="J812">
        <v>2.11</v>
      </c>
      <c r="K812">
        <v>3.1</v>
      </c>
      <c r="L812">
        <v>1.04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Y812">
        <v>1</v>
      </c>
      <c r="Z812">
        <v>0</v>
      </c>
      <c r="AA812">
        <v>0</v>
      </c>
      <c r="AB812">
        <v>0</v>
      </c>
      <c r="AC812">
        <v>1</v>
      </c>
      <c r="AD812">
        <v>980</v>
      </c>
      <c r="AE812">
        <v>1</v>
      </c>
      <c r="AF812">
        <v>1</v>
      </c>
      <c r="AG812">
        <v>0</v>
      </c>
      <c r="AH812">
        <v>0</v>
      </c>
      <c r="AI812">
        <v>0</v>
      </c>
      <c r="AO812">
        <v>-4.8419999999999996</v>
      </c>
      <c r="AP812">
        <v>7.1016666666666666</v>
      </c>
      <c r="AQ812">
        <v>871.73599999999999</v>
      </c>
      <c r="AS812">
        <v>854</v>
      </c>
      <c r="AT812">
        <v>990</v>
      </c>
      <c r="AU812">
        <v>12.6</v>
      </c>
      <c r="AX812" t="s">
        <v>108</v>
      </c>
    </row>
    <row r="813" spans="1:50" x14ac:dyDescent="0.45">
      <c r="A813">
        <v>10812</v>
      </c>
      <c r="B813">
        <v>1</v>
      </c>
      <c r="C813">
        <v>86.629000000000005</v>
      </c>
      <c r="D813">
        <v>6.75</v>
      </c>
      <c r="E813">
        <v>0</v>
      </c>
      <c r="F813">
        <v>0</v>
      </c>
      <c r="G813">
        <v>0</v>
      </c>
      <c r="H813">
        <v>0</v>
      </c>
      <c r="I813">
        <v>0</v>
      </c>
      <c r="J813">
        <v>2.11</v>
      </c>
      <c r="K813">
        <v>3.1</v>
      </c>
      <c r="L813">
        <v>1.04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Y813">
        <v>1</v>
      </c>
      <c r="Z813">
        <v>0</v>
      </c>
      <c r="AA813">
        <v>0</v>
      </c>
      <c r="AB813">
        <v>0</v>
      </c>
      <c r="AC813">
        <v>1</v>
      </c>
      <c r="AD813">
        <v>980</v>
      </c>
      <c r="AE813">
        <v>1</v>
      </c>
      <c r="AF813">
        <v>1</v>
      </c>
      <c r="AG813">
        <v>0</v>
      </c>
      <c r="AH813">
        <v>0</v>
      </c>
      <c r="AI813">
        <v>1</v>
      </c>
      <c r="AJ813">
        <v>900</v>
      </c>
      <c r="AK813">
        <v>1</v>
      </c>
      <c r="AL813">
        <v>1</v>
      </c>
      <c r="AM813">
        <v>0</v>
      </c>
      <c r="AN813">
        <v>0</v>
      </c>
      <c r="AO813">
        <v>-4.8419999999999996</v>
      </c>
      <c r="AP813">
        <v>7.1016666666666666</v>
      </c>
      <c r="AQ813">
        <v>871.73599999999999</v>
      </c>
      <c r="AS813">
        <v>788</v>
      </c>
      <c r="AT813">
        <v>915</v>
      </c>
      <c r="AU813">
        <v>13.6</v>
      </c>
      <c r="AX813" t="s">
        <v>108</v>
      </c>
    </row>
    <row r="814" spans="1:50" x14ac:dyDescent="0.45">
      <c r="A814">
        <v>10813</v>
      </c>
      <c r="B814">
        <v>1</v>
      </c>
      <c r="C814">
        <v>86.629000000000005</v>
      </c>
      <c r="D814">
        <v>6.75</v>
      </c>
      <c r="E814">
        <v>0</v>
      </c>
      <c r="F814">
        <v>0</v>
      </c>
      <c r="G814">
        <v>0</v>
      </c>
      <c r="H814">
        <v>0</v>
      </c>
      <c r="I814">
        <v>0</v>
      </c>
      <c r="J814">
        <v>2.11</v>
      </c>
      <c r="K814">
        <v>3.1</v>
      </c>
      <c r="L814">
        <v>1.04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Y814">
        <v>1</v>
      </c>
      <c r="Z814">
        <v>0</v>
      </c>
      <c r="AA814">
        <v>0</v>
      </c>
      <c r="AB814">
        <v>0</v>
      </c>
      <c r="AC814">
        <v>1</v>
      </c>
      <c r="AD814">
        <v>950</v>
      </c>
      <c r="AE814">
        <v>1</v>
      </c>
      <c r="AF814">
        <v>0</v>
      </c>
      <c r="AG814">
        <v>1</v>
      </c>
      <c r="AH814">
        <v>0</v>
      </c>
      <c r="AI814">
        <v>0</v>
      </c>
      <c r="AO814">
        <v>-4.8419999999999996</v>
      </c>
      <c r="AP814">
        <v>7.1016666666666666</v>
      </c>
      <c r="AQ814">
        <v>871.73599999999999</v>
      </c>
      <c r="AS814">
        <v>771</v>
      </c>
      <c r="AT814">
        <v>874</v>
      </c>
      <c r="AU814">
        <v>14.9</v>
      </c>
      <c r="AX814" t="s">
        <v>108</v>
      </c>
    </row>
    <row r="815" spans="1:50" x14ac:dyDescent="0.45">
      <c r="A815">
        <v>10814</v>
      </c>
      <c r="B815">
        <v>1</v>
      </c>
      <c r="C815">
        <v>86.629000000000005</v>
      </c>
      <c r="D815">
        <v>6.75</v>
      </c>
      <c r="E815">
        <v>0</v>
      </c>
      <c r="F815">
        <v>0</v>
      </c>
      <c r="G815">
        <v>0</v>
      </c>
      <c r="H815">
        <v>0</v>
      </c>
      <c r="I815">
        <v>0</v>
      </c>
      <c r="J815">
        <v>2.11</v>
      </c>
      <c r="K815">
        <v>3.1</v>
      </c>
      <c r="L815">
        <v>1.04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Y815">
        <v>1</v>
      </c>
      <c r="Z815">
        <v>0</v>
      </c>
      <c r="AA815">
        <v>0</v>
      </c>
      <c r="AB815">
        <v>0</v>
      </c>
      <c r="AC815">
        <v>1</v>
      </c>
      <c r="AD815">
        <v>965</v>
      </c>
      <c r="AE815">
        <v>1</v>
      </c>
      <c r="AF815">
        <v>0</v>
      </c>
      <c r="AG815">
        <v>1</v>
      </c>
      <c r="AH815">
        <v>0</v>
      </c>
      <c r="AI815">
        <v>0</v>
      </c>
      <c r="AO815">
        <v>-4.8419999999999996</v>
      </c>
      <c r="AP815">
        <v>7.1016666666666666</v>
      </c>
      <c r="AQ815">
        <v>871.73599999999999</v>
      </c>
      <c r="AS815">
        <v>770</v>
      </c>
      <c r="AT815">
        <v>881</v>
      </c>
      <c r="AU815">
        <v>14.5</v>
      </c>
      <c r="AX815" t="s">
        <v>108</v>
      </c>
    </row>
    <row r="816" spans="1:50" x14ac:dyDescent="0.45">
      <c r="A816">
        <v>10815</v>
      </c>
      <c r="B816">
        <v>1</v>
      </c>
      <c r="C816">
        <v>86.629000000000005</v>
      </c>
      <c r="D816">
        <v>6.75</v>
      </c>
      <c r="E816">
        <v>0</v>
      </c>
      <c r="F816">
        <v>0</v>
      </c>
      <c r="G816">
        <v>0</v>
      </c>
      <c r="H816">
        <v>0</v>
      </c>
      <c r="I816">
        <v>0</v>
      </c>
      <c r="J816">
        <v>2.11</v>
      </c>
      <c r="K816">
        <v>3.1</v>
      </c>
      <c r="L816">
        <v>1.04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Y816">
        <v>1</v>
      </c>
      <c r="Z816">
        <v>0</v>
      </c>
      <c r="AA816">
        <v>0</v>
      </c>
      <c r="AB816">
        <v>0</v>
      </c>
      <c r="AC816">
        <v>1</v>
      </c>
      <c r="AD816">
        <v>980</v>
      </c>
      <c r="AE816">
        <v>1</v>
      </c>
      <c r="AF816">
        <v>0</v>
      </c>
      <c r="AG816">
        <v>1</v>
      </c>
      <c r="AH816">
        <v>0</v>
      </c>
      <c r="AI816">
        <v>0</v>
      </c>
      <c r="AO816">
        <v>-4.8419999999999996</v>
      </c>
      <c r="AP816">
        <v>7.1016666666666666</v>
      </c>
      <c r="AQ816">
        <v>871.73599999999999</v>
      </c>
      <c r="AS816">
        <v>782</v>
      </c>
      <c r="AT816">
        <v>891</v>
      </c>
      <c r="AU816">
        <v>13.4</v>
      </c>
      <c r="AX816" t="s">
        <v>108</v>
      </c>
    </row>
    <row r="817" spans="1:50" x14ac:dyDescent="0.45">
      <c r="A817">
        <v>10816</v>
      </c>
      <c r="B817">
        <v>1</v>
      </c>
      <c r="C817">
        <v>86.629000000000005</v>
      </c>
      <c r="D817">
        <v>6.75</v>
      </c>
      <c r="E817">
        <v>0</v>
      </c>
      <c r="F817">
        <v>0</v>
      </c>
      <c r="G817">
        <v>0</v>
      </c>
      <c r="H817">
        <v>0</v>
      </c>
      <c r="I817">
        <v>0</v>
      </c>
      <c r="J817">
        <v>2.11</v>
      </c>
      <c r="K817">
        <v>3.1</v>
      </c>
      <c r="L817">
        <v>1.04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Y817">
        <v>1</v>
      </c>
      <c r="Z817">
        <v>0</v>
      </c>
      <c r="AA817">
        <v>0</v>
      </c>
      <c r="AB817">
        <v>0</v>
      </c>
      <c r="AC817">
        <v>1</v>
      </c>
      <c r="AD817">
        <v>950</v>
      </c>
      <c r="AE817">
        <v>1</v>
      </c>
      <c r="AF817">
        <v>1</v>
      </c>
      <c r="AG817">
        <v>0</v>
      </c>
      <c r="AH817">
        <v>0</v>
      </c>
      <c r="AI817">
        <v>0</v>
      </c>
      <c r="AO817">
        <v>-4.8419999999999996</v>
      </c>
      <c r="AP817">
        <v>7.1016666666666666</v>
      </c>
      <c r="AQ817">
        <v>871.73599999999999</v>
      </c>
      <c r="AS817">
        <v>830</v>
      </c>
      <c r="AT817">
        <v>950</v>
      </c>
      <c r="AU817">
        <v>15.3</v>
      </c>
      <c r="AX817" t="s">
        <v>108</v>
      </c>
    </row>
    <row r="818" spans="1:50" x14ac:dyDescent="0.45">
      <c r="A818">
        <v>10817</v>
      </c>
      <c r="B818">
        <v>1</v>
      </c>
      <c r="C818">
        <v>86.629000000000005</v>
      </c>
      <c r="D818">
        <v>6.75</v>
      </c>
      <c r="E818">
        <v>0</v>
      </c>
      <c r="F818">
        <v>0</v>
      </c>
      <c r="G818">
        <v>0</v>
      </c>
      <c r="H818">
        <v>0</v>
      </c>
      <c r="I818">
        <v>0</v>
      </c>
      <c r="J818">
        <v>2.11</v>
      </c>
      <c r="K818">
        <v>3.1</v>
      </c>
      <c r="L818">
        <v>1.04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Y818">
        <v>1</v>
      </c>
      <c r="Z818">
        <v>0</v>
      </c>
      <c r="AA818">
        <v>0</v>
      </c>
      <c r="AB818">
        <v>0</v>
      </c>
      <c r="AC818">
        <v>1</v>
      </c>
      <c r="AD818">
        <v>950</v>
      </c>
      <c r="AE818">
        <v>1</v>
      </c>
      <c r="AF818">
        <v>1</v>
      </c>
      <c r="AG818">
        <v>0</v>
      </c>
      <c r="AH818">
        <v>0</v>
      </c>
      <c r="AI818">
        <v>1</v>
      </c>
      <c r="AJ818">
        <v>900</v>
      </c>
      <c r="AK818">
        <v>1</v>
      </c>
      <c r="AL818">
        <v>1</v>
      </c>
      <c r="AM818">
        <v>0</v>
      </c>
      <c r="AN818">
        <v>0</v>
      </c>
      <c r="AO818">
        <v>-4.8419999999999996</v>
      </c>
      <c r="AP818">
        <v>7.1016666666666666</v>
      </c>
      <c r="AQ818">
        <v>871.73599999999999</v>
      </c>
      <c r="AS818">
        <v>776</v>
      </c>
      <c r="AT818">
        <v>872</v>
      </c>
      <c r="AU818">
        <v>15.5</v>
      </c>
      <c r="AX818" t="s">
        <v>108</v>
      </c>
    </row>
    <row r="819" spans="1:50" x14ac:dyDescent="0.45">
      <c r="A819">
        <v>10818</v>
      </c>
      <c r="B819">
        <v>1</v>
      </c>
      <c r="C819">
        <v>86.629000000000005</v>
      </c>
      <c r="D819">
        <v>6.75</v>
      </c>
      <c r="E819">
        <v>0</v>
      </c>
      <c r="F819">
        <v>0</v>
      </c>
      <c r="G819">
        <v>0</v>
      </c>
      <c r="H819">
        <v>0</v>
      </c>
      <c r="I819">
        <v>0</v>
      </c>
      <c r="J819">
        <v>2.11</v>
      </c>
      <c r="K819">
        <v>3.1</v>
      </c>
      <c r="L819">
        <v>1.04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Y819">
        <v>1</v>
      </c>
      <c r="Z819">
        <v>0</v>
      </c>
      <c r="AA819">
        <v>0</v>
      </c>
      <c r="AB819">
        <v>0</v>
      </c>
      <c r="AC819">
        <v>0</v>
      </c>
      <c r="AI819">
        <v>1</v>
      </c>
      <c r="AJ819">
        <v>930</v>
      </c>
      <c r="AK819">
        <v>1</v>
      </c>
      <c r="AL819">
        <v>1</v>
      </c>
      <c r="AM819">
        <v>0</v>
      </c>
      <c r="AN819">
        <v>0</v>
      </c>
      <c r="AO819">
        <v>-4.8419999999999996</v>
      </c>
      <c r="AP819">
        <v>7.1016666666666666</v>
      </c>
      <c r="AQ819">
        <v>871.73599999999999</v>
      </c>
      <c r="AS819">
        <v>784</v>
      </c>
      <c r="AT819">
        <v>884</v>
      </c>
      <c r="AU819">
        <v>14.4</v>
      </c>
      <c r="AX819" t="s">
        <v>108</v>
      </c>
    </row>
    <row r="820" spans="1:50" x14ac:dyDescent="0.45">
      <c r="A820">
        <v>10819</v>
      </c>
      <c r="B820">
        <v>1</v>
      </c>
      <c r="C820">
        <v>86.629000000000005</v>
      </c>
      <c r="D820">
        <v>6.75</v>
      </c>
      <c r="E820">
        <v>0</v>
      </c>
      <c r="F820">
        <v>0</v>
      </c>
      <c r="G820">
        <v>0</v>
      </c>
      <c r="H820">
        <v>0</v>
      </c>
      <c r="I820">
        <v>0</v>
      </c>
      <c r="J820">
        <v>2.11</v>
      </c>
      <c r="K820">
        <v>3.1</v>
      </c>
      <c r="L820">
        <v>1.04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Y820">
        <v>1</v>
      </c>
      <c r="Z820">
        <v>0</v>
      </c>
      <c r="AA820">
        <v>0</v>
      </c>
      <c r="AB820">
        <v>0</v>
      </c>
      <c r="AC820">
        <v>0</v>
      </c>
      <c r="AI820">
        <v>1</v>
      </c>
      <c r="AJ820">
        <v>900</v>
      </c>
      <c r="AK820">
        <v>1</v>
      </c>
      <c r="AL820">
        <v>0</v>
      </c>
      <c r="AM820">
        <v>1</v>
      </c>
      <c r="AN820">
        <v>0</v>
      </c>
      <c r="AO820">
        <v>-4.8419999999999996</v>
      </c>
      <c r="AP820">
        <v>7.1016666666666666</v>
      </c>
      <c r="AQ820">
        <v>871.73599999999999</v>
      </c>
      <c r="AS820">
        <v>766</v>
      </c>
      <c r="AT820">
        <v>869</v>
      </c>
      <c r="AU820">
        <v>16.5</v>
      </c>
      <c r="AX820" t="s">
        <v>108</v>
      </c>
    </row>
    <row r="821" spans="1:50" x14ac:dyDescent="0.45">
      <c r="A821">
        <v>10820</v>
      </c>
      <c r="B821">
        <v>1</v>
      </c>
      <c r="C821">
        <v>86.629000000000005</v>
      </c>
      <c r="D821">
        <v>6.75</v>
      </c>
      <c r="E821">
        <v>0</v>
      </c>
      <c r="F821">
        <v>0</v>
      </c>
      <c r="G821">
        <v>0</v>
      </c>
      <c r="H821">
        <v>0</v>
      </c>
      <c r="I821">
        <v>0</v>
      </c>
      <c r="J821">
        <v>2.11</v>
      </c>
      <c r="K821">
        <v>3.1</v>
      </c>
      <c r="L821">
        <v>1.04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Y821">
        <v>1</v>
      </c>
      <c r="Z821">
        <v>0</v>
      </c>
      <c r="AA821">
        <v>0</v>
      </c>
      <c r="AB821">
        <v>0</v>
      </c>
      <c r="AC821">
        <v>0</v>
      </c>
      <c r="AI821">
        <v>1</v>
      </c>
      <c r="AJ821">
        <v>930</v>
      </c>
      <c r="AK821">
        <v>1</v>
      </c>
      <c r="AL821">
        <v>0</v>
      </c>
      <c r="AM821">
        <v>1</v>
      </c>
      <c r="AN821">
        <v>0</v>
      </c>
      <c r="AO821">
        <v>-4.8419999999999996</v>
      </c>
      <c r="AP821">
        <v>7.1016666666666666</v>
      </c>
      <c r="AQ821">
        <v>871.73599999999999</v>
      </c>
      <c r="AS821">
        <v>776</v>
      </c>
      <c r="AT821">
        <v>876</v>
      </c>
      <c r="AU821">
        <v>16.399999999999999</v>
      </c>
      <c r="AX821" t="s">
        <v>108</v>
      </c>
    </row>
    <row r="822" spans="1:50" x14ac:dyDescent="0.45">
      <c r="A822">
        <v>10821</v>
      </c>
      <c r="B822">
        <v>1</v>
      </c>
      <c r="C822">
        <v>86.629000000000005</v>
      </c>
      <c r="D822">
        <v>6.75</v>
      </c>
      <c r="E822">
        <v>0</v>
      </c>
      <c r="F822">
        <v>0</v>
      </c>
      <c r="G822">
        <v>0</v>
      </c>
      <c r="H822">
        <v>0</v>
      </c>
      <c r="I822">
        <v>0</v>
      </c>
      <c r="J822">
        <v>2.11</v>
      </c>
      <c r="K822">
        <v>3.1</v>
      </c>
      <c r="L822">
        <v>1.04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Y822">
        <v>1</v>
      </c>
      <c r="Z822">
        <v>0</v>
      </c>
      <c r="AA822">
        <v>0</v>
      </c>
      <c r="AB822">
        <v>0</v>
      </c>
      <c r="AC822">
        <v>0</v>
      </c>
      <c r="AI822">
        <v>1</v>
      </c>
      <c r="AJ822">
        <v>930</v>
      </c>
      <c r="AK822">
        <v>1</v>
      </c>
      <c r="AL822">
        <v>1</v>
      </c>
      <c r="AM822">
        <v>0</v>
      </c>
      <c r="AN822">
        <v>0</v>
      </c>
      <c r="AO822">
        <v>-4.8419999999999996</v>
      </c>
      <c r="AP822">
        <v>7.1016666666666666</v>
      </c>
      <c r="AQ822">
        <v>871.73599999999999</v>
      </c>
      <c r="AS822">
        <v>785</v>
      </c>
      <c r="AT822">
        <v>919</v>
      </c>
      <c r="AU822">
        <v>16.899999999999999</v>
      </c>
      <c r="AX822" t="s">
        <v>108</v>
      </c>
    </row>
    <row r="823" spans="1:50" x14ac:dyDescent="0.45">
      <c r="A823">
        <v>10822</v>
      </c>
      <c r="B823">
        <v>1</v>
      </c>
      <c r="C823">
        <v>86.629000000000005</v>
      </c>
      <c r="D823">
        <v>6.75</v>
      </c>
      <c r="E823">
        <v>0</v>
      </c>
      <c r="F823">
        <v>0</v>
      </c>
      <c r="G823">
        <v>0</v>
      </c>
      <c r="H823">
        <v>0</v>
      </c>
      <c r="I823">
        <v>0</v>
      </c>
      <c r="J823">
        <v>2.11</v>
      </c>
      <c r="K823">
        <v>3.1</v>
      </c>
      <c r="L823">
        <v>1.04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Y823">
        <v>1</v>
      </c>
      <c r="Z823">
        <v>0</v>
      </c>
      <c r="AA823">
        <v>0</v>
      </c>
      <c r="AB823">
        <v>0</v>
      </c>
      <c r="AC823">
        <v>0</v>
      </c>
      <c r="AI823">
        <v>1</v>
      </c>
      <c r="AJ823">
        <v>950</v>
      </c>
      <c r="AK823">
        <v>1</v>
      </c>
      <c r="AL823">
        <v>1</v>
      </c>
      <c r="AM823">
        <v>0</v>
      </c>
      <c r="AN823">
        <v>0</v>
      </c>
      <c r="AO823">
        <v>-4.8419999999999996</v>
      </c>
      <c r="AP823">
        <v>7.1016666666666666</v>
      </c>
      <c r="AQ823">
        <v>871.73599999999999</v>
      </c>
      <c r="AS823">
        <v>878</v>
      </c>
      <c r="AT823">
        <v>1017</v>
      </c>
      <c r="AU823">
        <v>16.2</v>
      </c>
      <c r="AX823" t="s">
        <v>108</v>
      </c>
    </row>
    <row r="824" spans="1:50" x14ac:dyDescent="0.45">
      <c r="A824">
        <v>10823</v>
      </c>
      <c r="B824">
        <v>1</v>
      </c>
      <c r="C824">
        <v>86.629000000000005</v>
      </c>
      <c r="D824">
        <v>6.75</v>
      </c>
      <c r="E824">
        <v>0</v>
      </c>
      <c r="F824">
        <v>0</v>
      </c>
      <c r="G824">
        <v>0</v>
      </c>
      <c r="H824">
        <v>0</v>
      </c>
      <c r="I824">
        <v>0</v>
      </c>
      <c r="J824">
        <v>2.11</v>
      </c>
      <c r="K824">
        <v>3.1</v>
      </c>
      <c r="L824">
        <v>1.04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Y824">
        <v>1</v>
      </c>
      <c r="Z824">
        <v>0</v>
      </c>
      <c r="AA824">
        <v>0</v>
      </c>
      <c r="AB824">
        <v>0</v>
      </c>
      <c r="AC824">
        <v>0</v>
      </c>
      <c r="AI824">
        <v>1</v>
      </c>
      <c r="AJ824">
        <v>900</v>
      </c>
      <c r="AK824">
        <v>1</v>
      </c>
      <c r="AL824">
        <v>0</v>
      </c>
      <c r="AM824">
        <v>1</v>
      </c>
      <c r="AN824">
        <v>0</v>
      </c>
      <c r="AO824">
        <v>-4.8419999999999996</v>
      </c>
      <c r="AP824">
        <v>7.1016666666666666</v>
      </c>
      <c r="AQ824">
        <v>871.73599999999999</v>
      </c>
      <c r="AS824">
        <v>765</v>
      </c>
      <c r="AT824">
        <v>873</v>
      </c>
      <c r="AU824">
        <v>17.100000000000001</v>
      </c>
      <c r="AX824" t="s">
        <v>108</v>
      </c>
    </row>
    <row r="825" spans="1:50" x14ac:dyDescent="0.45">
      <c r="A825">
        <v>10824</v>
      </c>
      <c r="B825">
        <v>1</v>
      </c>
      <c r="C825">
        <v>86.629000000000005</v>
      </c>
      <c r="D825">
        <v>6.75</v>
      </c>
      <c r="E825">
        <v>0</v>
      </c>
      <c r="F825">
        <v>0</v>
      </c>
      <c r="G825">
        <v>0</v>
      </c>
      <c r="H825">
        <v>0</v>
      </c>
      <c r="I825">
        <v>0</v>
      </c>
      <c r="J825">
        <v>2.11</v>
      </c>
      <c r="K825">
        <v>3.1</v>
      </c>
      <c r="L825">
        <v>1.04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Y825">
        <v>1</v>
      </c>
      <c r="Z825">
        <v>0</v>
      </c>
      <c r="AA825">
        <v>0</v>
      </c>
      <c r="AB825">
        <v>0</v>
      </c>
      <c r="AC825">
        <v>0</v>
      </c>
      <c r="AI825">
        <v>1</v>
      </c>
      <c r="AJ825">
        <v>930</v>
      </c>
      <c r="AK825">
        <v>1</v>
      </c>
      <c r="AL825">
        <v>0</v>
      </c>
      <c r="AM825">
        <v>1</v>
      </c>
      <c r="AN825">
        <v>0</v>
      </c>
      <c r="AO825">
        <v>-4.8419999999999996</v>
      </c>
      <c r="AP825">
        <v>7.1016666666666666</v>
      </c>
      <c r="AQ825">
        <v>871.73599999999999</v>
      </c>
      <c r="AS825">
        <v>770</v>
      </c>
      <c r="AT825">
        <v>875</v>
      </c>
      <c r="AU825">
        <v>14.5</v>
      </c>
      <c r="AX825" t="s">
        <v>108</v>
      </c>
    </row>
    <row r="826" spans="1:50" x14ac:dyDescent="0.45">
      <c r="A826">
        <v>10825</v>
      </c>
      <c r="B826">
        <v>1</v>
      </c>
      <c r="C826">
        <v>86.629000000000005</v>
      </c>
      <c r="D826">
        <v>6.75</v>
      </c>
      <c r="E826">
        <v>0</v>
      </c>
      <c r="F826">
        <v>0</v>
      </c>
      <c r="G826">
        <v>0</v>
      </c>
      <c r="H826">
        <v>0</v>
      </c>
      <c r="I826">
        <v>0</v>
      </c>
      <c r="J826">
        <v>2.11</v>
      </c>
      <c r="K826">
        <v>3.1</v>
      </c>
      <c r="L826">
        <v>1.04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Y826">
        <v>1</v>
      </c>
      <c r="Z826">
        <v>0</v>
      </c>
      <c r="AA826">
        <v>0</v>
      </c>
      <c r="AB826">
        <v>0</v>
      </c>
      <c r="AC826">
        <v>0</v>
      </c>
      <c r="AI826">
        <v>1</v>
      </c>
      <c r="AJ826">
        <v>950</v>
      </c>
      <c r="AK826">
        <v>1</v>
      </c>
      <c r="AL826">
        <v>0</v>
      </c>
      <c r="AM826">
        <v>1</v>
      </c>
      <c r="AN826">
        <v>0</v>
      </c>
      <c r="AO826">
        <v>-4.8419999999999996</v>
      </c>
      <c r="AP826">
        <v>7.1016666666666666</v>
      </c>
      <c r="AQ826">
        <v>871.73599999999999</v>
      </c>
      <c r="AS826">
        <v>774</v>
      </c>
      <c r="AT826">
        <v>874</v>
      </c>
      <c r="AU826">
        <v>15.8</v>
      </c>
      <c r="AX826" t="s">
        <v>108</v>
      </c>
    </row>
    <row r="827" spans="1:50" x14ac:dyDescent="0.45">
      <c r="A827">
        <v>10826</v>
      </c>
      <c r="B827">
        <v>1</v>
      </c>
      <c r="C827">
        <v>86.629000000000005</v>
      </c>
      <c r="D827">
        <v>6.75</v>
      </c>
      <c r="E827">
        <v>0</v>
      </c>
      <c r="F827">
        <v>0</v>
      </c>
      <c r="G827">
        <v>0</v>
      </c>
      <c r="H827">
        <v>0</v>
      </c>
      <c r="I827">
        <v>0</v>
      </c>
      <c r="J827">
        <v>2.11</v>
      </c>
      <c r="K827">
        <v>3.1</v>
      </c>
      <c r="L827">
        <v>1.04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Y827">
        <v>1</v>
      </c>
      <c r="Z827">
        <v>0</v>
      </c>
      <c r="AA827">
        <v>0</v>
      </c>
      <c r="AB827">
        <v>0</v>
      </c>
      <c r="AC827">
        <v>0</v>
      </c>
      <c r="AI827">
        <v>1</v>
      </c>
      <c r="AJ827">
        <v>930</v>
      </c>
      <c r="AK827">
        <v>1</v>
      </c>
      <c r="AL827">
        <v>1</v>
      </c>
      <c r="AM827">
        <v>0</v>
      </c>
      <c r="AN827">
        <v>0</v>
      </c>
      <c r="AO827">
        <v>-4.8419999999999996</v>
      </c>
      <c r="AP827">
        <v>7.1016666666666666</v>
      </c>
      <c r="AQ827">
        <v>871.73599999999999</v>
      </c>
      <c r="AS827">
        <v>850</v>
      </c>
      <c r="AT827">
        <v>990</v>
      </c>
      <c r="AU827">
        <v>13.4</v>
      </c>
      <c r="AX827" t="s">
        <v>108</v>
      </c>
    </row>
    <row r="828" spans="1:50" x14ac:dyDescent="0.45">
      <c r="A828">
        <v>10827</v>
      </c>
      <c r="B828">
        <v>1</v>
      </c>
      <c r="C828">
        <v>86.629000000000005</v>
      </c>
      <c r="D828">
        <v>6.75</v>
      </c>
      <c r="E828">
        <v>0</v>
      </c>
      <c r="F828">
        <v>0</v>
      </c>
      <c r="G828">
        <v>0</v>
      </c>
      <c r="H828">
        <v>0</v>
      </c>
      <c r="I828">
        <v>0</v>
      </c>
      <c r="J828">
        <v>2.11</v>
      </c>
      <c r="K828">
        <v>3.1</v>
      </c>
      <c r="L828">
        <v>1.04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Y828">
        <v>1</v>
      </c>
      <c r="Z828">
        <v>0</v>
      </c>
      <c r="AA828">
        <v>0</v>
      </c>
      <c r="AB828">
        <v>0</v>
      </c>
      <c r="AC828">
        <v>0</v>
      </c>
      <c r="AI828">
        <v>1</v>
      </c>
      <c r="AJ828">
        <v>950</v>
      </c>
      <c r="AK828">
        <v>1</v>
      </c>
      <c r="AL828">
        <v>1</v>
      </c>
      <c r="AM828">
        <v>0</v>
      </c>
      <c r="AN828">
        <v>0</v>
      </c>
      <c r="AO828">
        <v>-4.8419999999999996</v>
      </c>
      <c r="AP828">
        <v>7.1016666666666666</v>
      </c>
      <c r="AQ828">
        <v>871.73599999999999</v>
      </c>
      <c r="AS828">
        <v>883</v>
      </c>
      <c r="AT828">
        <v>1031</v>
      </c>
      <c r="AU828">
        <v>12.6</v>
      </c>
      <c r="AX828" t="s">
        <v>108</v>
      </c>
    </row>
    <row r="829" spans="1:50" x14ac:dyDescent="0.45">
      <c r="A829">
        <v>10828</v>
      </c>
      <c r="B829">
        <v>1</v>
      </c>
      <c r="C829">
        <v>86.629000000000005</v>
      </c>
      <c r="D829">
        <v>6.75</v>
      </c>
      <c r="E829">
        <v>0</v>
      </c>
      <c r="F829">
        <v>0</v>
      </c>
      <c r="G829">
        <v>0</v>
      </c>
      <c r="H829">
        <v>0</v>
      </c>
      <c r="I829">
        <v>0</v>
      </c>
      <c r="J829">
        <v>2.11</v>
      </c>
      <c r="K829">
        <v>3.1</v>
      </c>
      <c r="L829">
        <v>1.04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Y829">
        <v>1</v>
      </c>
      <c r="Z829">
        <v>0</v>
      </c>
      <c r="AA829">
        <v>0</v>
      </c>
      <c r="AB829">
        <v>0</v>
      </c>
      <c r="AC829">
        <v>0</v>
      </c>
      <c r="AI829">
        <v>1</v>
      </c>
      <c r="AJ829">
        <v>965</v>
      </c>
      <c r="AK829">
        <v>1</v>
      </c>
      <c r="AL829">
        <v>1</v>
      </c>
      <c r="AM829">
        <v>0</v>
      </c>
      <c r="AN829">
        <v>0</v>
      </c>
      <c r="AO829">
        <v>-4.8419999999999996</v>
      </c>
      <c r="AP829">
        <v>7.1016666666666666</v>
      </c>
      <c r="AQ829">
        <v>871.73599999999999</v>
      </c>
      <c r="AS829">
        <v>891</v>
      </c>
      <c r="AT829">
        <v>1037</v>
      </c>
      <c r="AU829">
        <v>12.7</v>
      </c>
      <c r="AX829" t="s">
        <v>108</v>
      </c>
    </row>
    <row r="830" spans="1:50" x14ac:dyDescent="0.45">
      <c r="A830">
        <v>10829</v>
      </c>
      <c r="B830">
        <v>1</v>
      </c>
      <c r="C830">
        <v>86.629000000000005</v>
      </c>
      <c r="D830">
        <v>6.75</v>
      </c>
      <c r="E830">
        <v>0</v>
      </c>
      <c r="F830">
        <v>0</v>
      </c>
      <c r="G830">
        <v>0</v>
      </c>
      <c r="H830">
        <v>0</v>
      </c>
      <c r="I830">
        <v>0</v>
      </c>
      <c r="J830">
        <v>2.11</v>
      </c>
      <c r="K830">
        <v>3.1</v>
      </c>
      <c r="L830">
        <v>1.04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Y830">
        <v>1</v>
      </c>
      <c r="Z830">
        <v>0</v>
      </c>
      <c r="AA830">
        <v>0</v>
      </c>
      <c r="AB830">
        <v>0</v>
      </c>
      <c r="AC830">
        <v>0</v>
      </c>
      <c r="AI830">
        <v>1</v>
      </c>
      <c r="AJ830">
        <v>900</v>
      </c>
      <c r="AK830">
        <v>1</v>
      </c>
      <c r="AL830">
        <v>0</v>
      </c>
      <c r="AM830">
        <v>1</v>
      </c>
      <c r="AN830">
        <v>0</v>
      </c>
      <c r="AO830">
        <v>-4.8419999999999996</v>
      </c>
      <c r="AP830">
        <v>7.1016666666666666</v>
      </c>
      <c r="AQ830">
        <v>871.73599999999999</v>
      </c>
      <c r="AS830">
        <v>783</v>
      </c>
      <c r="AT830">
        <v>894</v>
      </c>
      <c r="AU830">
        <v>17.5</v>
      </c>
      <c r="AX830" t="s">
        <v>108</v>
      </c>
    </row>
    <row r="831" spans="1:50" x14ac:dyDescent="0.45">
      <c r="A831">
        <v>10830</v>
      </c>
      <c r="B831">
        <v>1</v>
      </c>
      <c r="C831">
        <v>86.629000000000005</v>
      </c>
      <c r="D831">
        <v>6.75</v>
      </c>
      <c r="E831">
        <v>0</v>
      </c>
      <c r="F831">
        <v>0</v>
      </c>
      <c r="G831">
        <v>0</v>
      </c>
      <c r="H831">
        <v>0</v>
      </c>
      <c r="I831">
        <v>0</v>
      </c>
      <c r="J831">
        <v>2.11</v>
      </c>
      <c r="K831">
        <v>3.1</v>
      </c>
      <c r="L831">
        <v>1.04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Y831">
        <v>1</v>
      </c>
      <c r="Z831">
        <v>0</v>
      </c>
      <c r="AA831">
        <v>0</v>
      </c>
      <c r="AB831">
        <v>0</v>
      </c>
      <c r="AC831">
        <v>0</v>
      </c>
      <c r="AI831">
        <v>1</v>
      </c>
      <c r="AJ831">
        <v>930</v>
      </c>
      <c r="AK831">
        <v>1</v>
      </c>
      <c r="AL831">
        <v>0</v>
      </c>
      <c r="AM831">
        <v>1</v>
      </c>
      <c r="AN831">
        <v>0</v>
      </c>
      <c r="AO831">
        <v>-4.8419999999999996</v>
      </c>
      <c r="AP831">
        <v>7.1016666666666666</v>
      </c>
      <c r="AQ831">
        <v>871.73599999999999</v>
      </c>
      <c r="AS831">
        <v>743</v>
      </c>
      <c r="AT831">
        <v>864</v>
      </c>
      <c r="AU831">
        <v>14.8</v>
      </c>
      <c r="AX831" t="s">
        <v>108</v>
      </c>
    </row>
    <row r="832" spans="1:50" x14ac:dyDescent="0.45">
      <c r="A832">
        <v>10831</v>
      </c>
      <c r="B832">
        <v>1</v>
      </c>
      <c r="C832">
        <v>86.629000000000005</v>
      </c>
      <c r="D832">
        <v>6.75</v>
      </c>
      <c r="E832">
        <v>0</v>
      </c>
      <c r="F832">
        <v>0</v>
      </c>
      <c r="G832">
        <v>0</v>
      </c>
      <c r="H832">
        <v>0</v>
      </c>
      <c r="I832">
        <v>0</v>
      </c>
      <c r="J832">
        <v>2.11</v>
      </c>
      <c r="K832">
        <v>3.1</v>
      </c>
      <c r="L832">
        <v>1.04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Y832">
        <v>1</v>
      </c>
      <c r="Z832">
        <v>0</v>
      </c>
      <c r="AA832">
        <v>0</v>
      </c>
      <c r="AB832">
        <v>0</v>
      </c>
      <c r="AC832">
        <v>0</v>
      </c>
      <c r="AI832">
        <v>1</v>
      </c>
      <c r="AJ832">
        <v>950</v>
      </c>
      <c r="AK832">
        <v>1</v>
      </c>
      <c r="AL832">
        <v>0</v>
      </c>
      <c r="AM832">
        <v>1</v>
      </c>
      <c r="AN832">
        <v>0</v>
      </c>
      <c r="AO832">
        <v>-4.8419999999999996</v>
      </c>
      <c r="AP832">
        <v>7.1016666666666666</v>
      </c>
      <c r="AQ832">
        <v>871.73599999999999</v>
      </c>
      <c r="AS832">
        <v>755</v>
      </c>
      <c r="AT832">
        <v>857</v>
      </c>
      <c r="AU832">
        <v>15.6</v>
      </c>
      <c r="AX832" t="s">
        <v>108</v>
      </c>
    </row>
    <row r="833" spans="1:50" x14ac:dyDescent="0.45">
      <c r="A833">
        <v>10832</v>
      </c>
      <c r="B833">
        <v>1</v>
      </c>
      <c r="C833">
        <v>86.629000000000005</v>
      </c>
      <c r="D833">
        <v>6.75</v>
      </c>
      <c r="E833">
        <v>0</v>
      </c>
      <c r="F833">
        <v>0</v>
      </c>
      <c r="G833">
        <v>0</v>
      </c>
      <c r="H833">
        <v>0</v>
      </c>
      <c r="I833">
        <v>0</v>
      </c>
      <c r="J833">
        <v>2.11</v>
      </c>
      <c r="K833">
        <v>3.1</v>
      </c>
      <c r="L833">
        <v>1.04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Y833">
        <v>1</v>
      </c>
      <c r="Z833">
        <v>0</v>
      </c>
      <c r="AA833">
        <v>0</v>
      </c>
      <c r="AB833">
        <v>0</v>
      </c>
      <c r="AC833">
        <v>0</v>
      </c>
      <c r="AI833">
        <v>1</v>
      </c>
      <c r="AJ833">
        <v>965</v>
      </c>
      <c r="AK833">
        <v>1</v>
      </c>
      <c r="AL833">
        <v>0</v>
      </c>
      <c r="AM833">
        <v>1</v>
      </c>
      <c r="AN833">
        <v>0</v>
      </c>
      <c r="AO833">
        <v>-4.8419999999999996</v>
      </c>
      <c r="AP833">
        <v>7.1016666666666666</v>
      </c>
      <c r="AQ833">
        <v>871.73599999999999</v>
      </c>
      <c r="AS833">
        <v>796</v>
      </c>
      <c r="AT833">
        <v>896</v>
      </c>
      <c r="AU833">
        <v>15</v>
      </c>
      <c r="AX833" t="s">
        <v>108</v>
      </c>
    </row>
    <row r="834" spans="1:50" x14ac:dyDescent="0.45">
      <c r="A834">
        <v>10833</v>
      </c>
      <c r="B834">
        <v>1</v>
      </c>
      <c r="C834">
        <v>88</v>
      </c>
      <c r="D834">
        <v>5.7</v>
      </c>
      <c r="E834">
        <v>0</v>
      </c>
      <c r="F834">
        <v>0</v>
      </c>
      <c r="G834">
        <v>0</v>
      </c>
      <c r="H834">
        <v>0</v>
      </c>
      <c r="I834">
        <v>0</v>
      </c>
      <c r="J834">
        <v>1.2</v>
      </c>
      <c r="K834">
        <v>0</v>
      </c>
      <c r="L834">
        <v>3.8</v>
      </c>
      <c r="M834">
        <v>1.3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1</v>
      </c>
      <c r="Y834">
        <v>0</v>
      </c>
      <c r="Z834">
        <v>1</v>
      </c>
      <c r="AA834">
        <v>0</v>
      </c>
      <c r="AB834">
        <v>0</v>
      </c>
      <c r="AC834">
        <v>1</v>
      </c>
      <c r="AD834">
        <v>940</v>
      </c>
      <c r="AE834">
        <v>1</v>
      </c>
      <c r="AF834">
        <v>1</v>
      </c>
      <c r="AG834">
        <v>0</v>
      </c>
      <c r="AH834">
        <v>0</v>
      </c>
      <c r="AI834">
        <v>1</v>
      </c>
      <c r="AJ834">
        <v>700</v>
      </c>
      <c r="AK834">
        <v>1</v>
      </c>
      <c r="AL834">
        <v>0</v>
      </c>
      <c r="AM834">
        <v>1</v>
      </c>
      <c r="AN834">
        <v>0</v>
      </c>
      <c r="AO834">
        <v>-1.9000000000000004</v>
      </c>
      <c r="AP834">
        <v>6.3333333333333339</v>
      </c>
      <c r="AQ834">
        <v>855.05000000000007</v>
      </c>
      <c r="AS834">
        <v>970</v>
      </c>
      <c r="AT834">
        <v>1040</v>
      </c>
      <c r="AU834">
        <v>15</v>
      </c>
      <c r="AX834" t="s">
        <v>191</v>
      </c>
    </row>
    <row r="835" spans="1:50" x14ac:dyDescent="0.45">
      <c r="A835">
        <v>10834</v>
      </c>
      <c r="B835">
        <v>1</v>
      </c>
      <c r="C835">
        <v>88</v>
      </c>
      <c r="D835">
        <v>5.7</v>
      </c>
      <c r="E835">
        <v>0</v>
      </c>
      <c r="F835">
        <v>0</v>
      </c>
      <c r="G835">
        <v>0</v>
      </c>
      <c r="H835">
        <v>0</v>
      </c>
      <c r="I835">
        <v>0</v>
      </c>
      <c r="J835">
        <v>1.2</v>
      </c>
      <c r="K835">
        <v>0</v>
      </c>
      <c r="L835">
        <v>3.8</v>
      </c>
      <c r="M835">
        <v>1.3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Y835">
        <v>1</v>
      </c>
      <c r="Z835">
        <v>0</v>
      </c>
      <c r="AA835">
        <v>0</v>
      </c>
      <c r="AB835">
        <v>0</v>
      </c>
      <c r="AC835">
        <v>1</v>
      </c>
      <c r="AD835">
        <v>940</v>
      </c>
      <c r="AF835">
        <v>1</v>
      </c>
      <c r="AG835">
        <v>0</v>
      </c>
      <c r="AH835">
        <v>0</v>
      </c>
      <c r="AI835">
        <v>0</v>
      </c>
      <c r="AO835">
        <v>-1.9000000000000004</v>
      </c>
      <c r="AP835">
        <v>6.3333333333333339</v>
      </c>
      <c r="AQ835">
        <v>855.05000000000007</v>
      </c>
      <c r="AS835">
        <v>1080</v>
      </c>
      <c r="AT835">
        <v>1150</v>
      </c>
      <c r="AU835">
        <v>10</v>
      </c>
      <c r="AX835" t="s">
        <v>191</v>
      </c>
    </row>
    <row r="836" spans="1:50" x14ac:dyDescent="0.45">
      <c r="A836">
        <v>10835</v>
      </c>
      <c r="B836">
        <v>1</v>
      </c>
      <c r="C836">
        <v>88</v>
      </c>
      <c r="D836">
        <v>5.7</v>
      </c>
      <c r="E836">
        <v>0</v>
      </c>
      <c r="F836">
        <v>0</v>
      </c>
      <c r="G836">
        <v>0</v>
      </c>
      <c r="H836">
        <v>0</v>
      </c>
      <c r="I836">
        <v>0</v>
      </c>
      <c r="J836">
        <v>1.2</v>
      </c>
      <c r="K836">
        <v>0</v>
      </c>
      <c r="L836">
        <v>3.8</v>
      </c>
      <c r="M836">
        <v>1.3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Y836">
        <v>1</v>
      </c>
      <c r="Z836">
        <v>0</v>
      </c>
      <c r="AA836">
        <v>0</v>
      </c>
      <c r="AB836">
        <v>0</v>
      </c>
      <c r="AC836">
        <v>1</v>
      </c>
      <c r="AD836">
        <v>940</v>
      </c>
      <c r="AF836">
        <v>1</v>
      </c>
      <c r="AG836">
        <v>0</v>
      </c>
      <c r="AH836">
        <v>0</v>
      </c>
      <c r="AI836">
        <v>0</v>
      </c>
      <c r="AO836">
        <v>-1.9000000000000004</v>
      </c>
      <c r="AP836">
        <v>6.3333333333333339</v>
      </c>
      <c r="AQ836">
        <v>855.05000000000007</v>
      </c>
      <c r="AS836">
        <v>1150</v>
      </c>
      <c r="AT836">
        <v>1230</v>
      </c>
      <c r="AU836">
        <v>11</v>
      </c>
      <c r="AX836" t="s">
        <v>191</v>
      </c>
    </row>
    <row r="837" spans="1:50" x14ac:dyDescent="0.45">
      <c r="A837">
        <v>10836</v>
      </c>
      <c r="B837">
        <v>1</v>
      </c>
      <c r="C837">
        <v>81.3</v>
      </c>
      <c r="D837">
        <v>6.5</v>
      </c>
      <c r="E837">
        <v>0</v>
      </c>
      <c r="F837">
        <v>0</v>
      </c>
      <c r="G837">
        <v>0</v>
      </c>
      <c r="H837">
        <v>0</v>
      </c>
      <c r="I837">
        <v>0</v>
      </c>
      <c r="J837">
        <v>4</v>
      </c>
      <c r="K837">
        <v>0</v>
      </c>
      <c r="L837">
        <v>5</v>
      </c>
      <c r="M837">
        <v>2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Y837">
        <v>1</v>
      </c>
      <c r="Z837">
        <v>0</v>
      </c>
      <c r="AA837">
        <v>0</v>
      </c>
      <c r="AB837">
        <v>0</v>
      </c>
      <c r="AC837">
        <v>1</v>
      </c>
      <c r="AD837">
        <v>958</v>
      </c>
      <c r="AE837">
        <v>2</v>
      </c>
      <c r="AF837">
        <v>0</v>
      </c>
      <c r="AG837">
        <v>1</v>
      </c>
      <c r="AH837">
        <v>0</v>
      </c>
      <c r="AI837">
        <v>1</v>
      </c>
      <c r="AJ837">
        <v>550</v>
      </c>
      <c r="AK837">
        <v>6</v>
      </c>
      <c r="AL837">
        <v>0</v>
      </c>
      <c r="AM837">
        <v>1</v>
      </c>
      <c r="AN837">
        <v>0</v>
      </c>
      <c r="AO837">
        <v>-1.5</v>
      </c>
      <c r="AP837">
        <v>7.8333333333333339</v>
      </c>
      <c r="AQ837">
        <v>828.94999999999993</v>
      </c>
      <c r="AS837">
        <v>1135.5</v>
      </c>
      <c r="AT837">
        <v>1292</v>
      </c>
      <c r="AU837">
        <v>11</v>
      </c>
      <c r="AX837" t="s">
        <v>108</v>
      </c>
    </row>
    <row r="838" spans="1:50" x14ac:dyDescent="0.45">
      <c r="A838">
        <v>10837</v>
      </c>
      <c r="B838">
        <v>1</v>
      </c>
      <c r="C838">
        <v>81.3</v>
      </c>
      <c r="D838">
        <v>6.5</v>
      </c>
      <c r="E838">
        <v>0</v>
      </c>
      <c r="F838">
        <v>0</v>
      </c>
      <c r="G838">
        <v>0</v>
      </c>
      <c r="H838">
        <v>0</v>
      </c>
      <c r="I838">
        <v>0</v>
      </c>
      <c r="J838">
        <v>4</v>
      </c>
      <c r="K838">
        <v>0</v>
      </c>
      <c r="L838">
        <v>5</v>
      </c>
      <c r="M838">
        <v>2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Y838">
        <v>1</v>
      </c>
      <c r="Z838">
        <v>0</v>
      </c>
      <c r="AA838">
        <v>0</v>
      </c>
      <c r="AB838">
        <v>0</v>
      </c>
      <c r="AC838">
        <v>1</v>
      </c>
      <c r="AD838">
        <v>958</v>
      </c>
      <c r="AE838">
        <v>2</v>
      </c>
      <c r="AF838">
        <v>0</v>
      </c>
      <c r="AG838">
        <v>1</v>
      </c>
      <c r="AH838">
        <v>0</v>
      </c>
      <c r="AI838">
        <v>1</v>
      </c>
      <c r="AJ838">
        <v>520</v>
      </c>
      <c r="AK838">
        <v>6</v>
      </c>
      <c r="AL838">
        <v>0</v>
      </c>
      <c r="AM838">
        <v>1</v>
      </c>
      <c r="AN838">
        <v>0</v>
      </c>
      <c r="AO838">
        <v>-1.5</v>
      </c>
      <c r="AP838">
        <v>7.8333333333333339</v>
      </c>
      <c r="AQ838">
        <v>828.94999999999993</v>
      </c>
      <c r="AS838">
        <v>1099</v>
      </c>
      <c r="AT838">
        <v>1261.5</v>
      </c>
      <c r="AU838">
        <v>14</v>
      </c>
      <c r="AX838" t="s">
        <v>108</v>
      </c>
    </row>
    <row r="839" spans="1:50" x14ac:dyDescent="0.45">
      <c r="A839">
        <v>10838</v>
      </c>
      <c r="B839">
        <v>1</v>
      </c>
      <c r="C839">
        <v>81.3</v>
      </c>
      <c r="D839">
        <v>6.5</v>
      </c>
      <c r="E839">
        <v>0</v>
      </c>
      <c r="F839">
        <v>0</v>
      </c>
      <c r="G839">
        <v>0</v>
      </c>
      <c r="H839">
        <v>0</v>
      </c>
      <c r="I839">
        <v>0</v>
      </c>
      <c r="J839">
        <v>4</v>
      </c>
      <c r="K839">
        <v>0</v>
      </c>
      <c r="L839">
        <v>5</v>
      </c>
      <c r="M839">
        <v>2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Y839">
        <v>1</v>
      </c>
      <c r="Z839">
        <v>0</v>
      </c>
      <c r="AA839">
        <v>0</v>
      </c>
      <c r="AB839">
        <v>0</v>
      </c>
      <c r="AC839">
        <v>1</v>
      </c>
      <c r="AD839">
        <v>958</v>
      </c>
      <c r="AE839">
        <v>2</v>
      </c>
      <c r="AF839">
        <v>0</v>
      </c>
      <c r="AG839">
        <v>1</v>
      </c>
      <c r="AH839">
        <v>0</v>
      </c>
      <c r="AI839">
        <v>1</v>
      </c>
      <c r="AJ839">
        <v>540</v>
      </c>
      <c r="AK839">
        <v>6</v>
      </c>
      <c r="AL839">
        <v>0</v>
      </c>
      <c r="AM839">
        <v>1</v>
      </c>
      <c r="AN839">
        <v>0</v>
      </c>
      <c r="AO839">
        <v>-1.5</v>
      </c>
      <c r="AP839">
        <v>7.8333333333333339</v>
      </c>
      <c r="AQ839">
        <v>828.94999999999993</v>
      </c>
      <c r="AS839">
        <v>1171.5</v>
      </c>
      <c r="AT839">
        <v>1279</v>
      </c>
      <c r="AU839">
        <v>13</v>
      </c>
      <c r="AX839" t="s">
        <v>108</v>
      </c>
    </row>
    <row r="840" spans="1:50" x14ac:dyDescent="0.45">
      <c r="A840">
        <v>10839</v>
      </c>
      <c r="B840">
        <v>1</v>
      </c>
      <c r="C840">
        <v>81.3</v>
      </c>
      <c r="D840">
        <v>6.5</v>
      </c>
      <c r="E840">
        <v>0</v>
      </c>
      <c r="F840">
        <v>0</v>
      </c>
      <c r="G840">
        <v>0</v>
      </c>
      <c r="H840">
        <v>0</v>
      </c>
      <c r="I840">
        <v>0</v>
      </c>
      <c r="J840">
        <v>4</v>
      </c>
      <c r="K840">
        <v>0</v>
      </c>
      <c r="L840">
        <v>5</v>
      </c>
      <c r="M840">
        <v>2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Y840">
        <v>1</v>
      </c>
      <c r="Z840">
        <v>0</v>
      </c>
      <c r="AA840">
        <v>0</v>
      </c>
      <c r="AB840">
        <v>0</v>
      </c>
      <c r="AC840">
        <v>1</v>
      </c>
      <c r="AD840">
        <v>958</v>
      </c>
      <c r="AE840">
        <v>2</v>
      </c>
      <c r="AF840">
        <v>0</v>
      </c>
      <c r="AG840">
        <v>1</v>
      </c>
      <c r="AH840">
        <v>0</v>
      </c>
      <c r="AI840">
        <v>1</v>
      </c>
      <c r="AJ840">
        <v>560</v>
      </c>
      <c r="AK840">
        <v>6</v>
      </c>
      <c r="AL840">
        <v>0</v>
      </c>
      <c r="AM840">
        <v>1</v>
      </c>
      <c r="AN840">
        <v>0</v>
      </c>
      <c r="AO840">
        <v>-1.5</v>
      </c>
      <c r="AP840">
        <v>7.8333333333333339</v>
      </c>
      <c r="AQ840">
        <v>828.94999999999993</v>
      </c>
      <c r="AS840">
        <v>1130</v>
      </c>
      <c r="AT840">
        <v>1276.5</v>
      </c>
      <c r="AU840">
        <v>15.3</v>
      </c>
      <c r="AX840" t="s">
        <v>108</v>
      </c>
    </row>
    <row r="841" spans="1:50" x14ac:dyDescent="0.45">
      <c r="A841">
        <v>10840</v>
      </c>
      <c r="B841">
        <v>1</v>
      </c>
      <c r="C841">
        <v>81.3</v>
      </c>
      <c r="D841">
        <v>6.5</v>
      </c>
      <c r="E841">
        <v>0</v>
      </c>
      <c r="F841">
        <v>0</v>
      </c>
      <c r="G841">
        <v>0</v>
      </c>
      <c r="H841">
        <v>0</v>
      </c>
      <c r="I841">
        <v>0</v>
      </c>
      <c r="J841">
        <v>4</v>
      </c>
      <c r="K841">
        <v>0</v>
      </c>
      <c r="L841">
        <v>5</v>
      </c>
      <c r="M841">
        <v>2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Y841">
        <v>1</v>
      </c>
      <c r="Z841">
        <v>0</v>
      </c>
      <c r="AA841">
        <v>0</v>
      </c>
      <c r="AB841">
        <v>0</v>
      </c>
      <c r="AC841">
        <v>1</v>
      </c>
      <c r="AD841">
        <v>958</v>
      </c>
      <c r="AE841">
        <v>2</v>
      </c>
      <c r="AF841">
        <v>0</v>
      </c>
      <c r="AG841">
        <v>1</v>
      </c>
      <c r="AH841">
        <v>0</v>
      </c>
      <c r="AI841">
        <v>1</v>
      </c>
      <c r="AJ841">
        <v>580</v>
      </c>
      <c r="AK841">
        <v>6</v>
      </c>
      <c r="AL841">
        <v>0</v>
      </c>
      <c r="AM841">
        <v>1</v>
      </c>
      <c r="AN841">
        <v>0</v>
      </c>
      <c r="AO841">
        <v>-1.5</v>
      </c>
      <c r="AP841">
        <v>7.8333333333333339</v>
      </c>
      <c r="AQ841">
        <v>828.94999999999993</v>
      </c>
      <c r="AS841">
        <v>1124</v>
      </c>
      <c r="AT841">
        <v>1268</v>
      </c>
      <c r="AU841">
        <v>14</v>
      </c>
      <c r="AX841" t="s">
        <v>108</v>
      </c>
    </row>
    <row r="842" spans="1:50" x14ac:dyDescent="0.45">
      <c r="A842">
        <v>10841</v>
      </c>
      <c r="B842">
        <v>1</v>
      </c>
      <c r="C842">
        <v>81.3</v>
      </c>
      <c r="D842">
        <v>6.5</v>
      </c>
      <c r="E842">
        <v>0</v>
      </c>
      <c r="F842">
        <v>0</v>
      </c>
      <c r="G842">
        <v>0</v>
      </c>
      <c r="H842">
        <v>0</v>
      </c>
      <c r="I842">
        <v>0</v>
      </c>
      <c r="J842">
        <v>4</v>
      </c>
      <c r="K842">
        <v>0</v>
      </c>
      <c r="L842">
        <v>5</v>
      </c>
      <c r="M842">
        <v>2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Y842">
        <v>1</v>
      </c>
      <c r="Z842">
        <v>0</v>
      </c>
      <c r="AA842">
        <v>0</v>
      </c>
      <c r="AB842">
        <v>0</v>
      </c>
      <c r="AC842">
        <v>1</v>
      </c>
      <c r="AD842">
        <v>958</v>
      </c>
      <c r="AE842">
        <v>2</v>
      </c>
      <c r="AF842">
        <v>0</v>
      </c>
      <c r="AG842">
        <v>1</v>
      </c>
      <c r="AH842">
        <v>0</v>
      </c>
      <c r="AI842">
        <v>1</v>
      </c>
      <c r="AJ842">
        <v>600</v>
      </c>
      <c r="AK842">
        <v>6</v>
      </c>
      <c r="AL842">
        <v>0</v>
      </c>
      <c r="AM842">
        <v>1</v>
      </c>
      <c r="AN842">
        <v>0</v>
      </c>
      <c r="AO842">
        <v>-1.5</v>
      </c>
      <c r="AP842">
        <v>7.8333333333333339</v>
      </c>
      <c r="AQ842">
        <v>828.94999999999993</v>
      </c>
      <c r="AS842">
        <v>1129.5</v>
      </c>
      <c r="AT842">
        <v>1293</v>
      </c>
      <c r="AU842">
        <v>13.5</v>
      </c>
      <c r="AX842" t="s">
        <v>108</v>
      </c>
    </row>
    <row r="843" spans="1:50" x14ac:dyDescent="0.45">
      <c r="A843">
        <v>10842</v>
      </c>
      <c r="B843">
        <v>1</v>
      </c>
      <c r="C843">
        <v>83.52</v>
      </c>
      <c r="D843">
        <v>6.44</v>
      </c>
      <c r="E843">
        <v>0</v>
      </c>
      <c r="F843">
        <v>0</v>
      </c>
      <c r="G843">
        <v>0</v>
      </c>
      <c r="H843">
        <v>0</v>
      </c>
      <c r="I843">
        <v>0</v>
      </c>
      <c r="J843">
        <v>3.62</v>
      </c>
      <c r="K843">
        <v>0</v>
      </c>
      <c r="L843">
        <v>3.94</v>
      </c>
      <c r="M843">
        <v>1.68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1</v>
      </c>
      <c r="W843">
        <v>880</v>
      </c>
      <c r="X843">
        <v>60</v>
      </c>
      <c r="Y843">
        <v>0</v>
      </c>
      <c r="Z843">
        <v>1</v>
      </c>
      <c r="AA843">
        <v>0</v>
      </c>
      <c r="AB843">
        <v>0</v>
      </c>
      <c r="AC843">
        <v>0</v>
      </c>
      <c r="AI843">
        <v>0</v>
      </c>
      <c r="AO843">
        <v>-2.5000000000000004</v>
      </c>
      <c r="AP843">
        <v>7.6033333333333335</v>
      </c>
      <c r="AQ843">
        <v>840.17200000000014</v>
      </c>
      <c r="AS843">
        <v>1131.8599999999999</v>
      </c>
      <c r="AT843">
        <v>1217.71</v>
      </c>
      <c r="AU843">
        <v>10.6775</v>
      </c>
      <c r="AX843" t="s">
        <v>108</v>
      </c>
    </row>
    <row r="844" spans="1:50" x14ac:dyDescent="0.45">
      <c r="A844">
        <v>10843</v>
      </c>
      <c r="B844">
        <v>1</v>
      </c>
      <c r="C844">
        <v>83.52</v>
      </c>
      <c r="D844">
        <v>6.44</v>
      </c>
      <c r="E844">
        <v>0</v>
      </c>
      <c r="F844">
        <v>0</v>
      </c>
      <c r="G844">
        <v>0</v>
      </c>
      <c r="H844">
        <v>0</v>
      </c>
      <c r="I844">
        <v>0</v>
      </c>
      <c r="J844">
        <v>3.62</v>
      </c>
      <c r="K844">
        <v>0</v>
      </c>
      <c r="L844">
        <v>3.94</v>
      </c>
      <c r="M844">
        <v>1.68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1</v>
      </c>
      <c r="W844">
        <v>910</v>
      </c>
      <c r="X844">
        <v>60</v>
      </c>
      <c r="Y844">
        <v>0</v>
      </c>
      <c r="Z844">
        <v>1</v>
      </c>
      <c r="AA844">
        <v>0</v>
      </c>
      <c r="AB844">
        <v>0</v>
      </c>
      <c r="AC844">
        <v>0</v>
      </c>
      <c r="AI844">
        <v>0</v>
      </c>
      <c r="AO844">
        <v>-2.5000000000000004</v>
      </c>
      <c r="AP844">
        <v>7.6033333333333335</v>
      </c>
      <c r="AQ844">
        <v>840.17200000000014</v>
      </c>
      <c r="AS844">
        <v>1030.3599999999999</v>
      </c>
      <c r="AT844">
        <v>1086.32</v>
      </c>
      <c r="AU844">
        <v>14.1265</v>
      </c>
      <c r="AX844" t="s">
        <v>108</v>
      </c>
    </row>
    <row r="845" spans="1:50" x14ac:dyDescent="0.45">
      <c r="A845">
        <v>10844</v>
      </c>
      <c r="B845">
        <v>1</v>
      </c>
      <c r="C845">
        <v>83.52</v>
      </c>
      <c r="D845">
        <v>6.44</v>
      </c>
      <c r="E845">
        <v>0</v>
      </c>
      <c r="F845">
        <v>0</v>
      </c>
      <c r="G845">
        <v>0</v>
      </c>
      <c r="H845">
        <v>0</v>
      </c>
      <c r="I845">
        <v>0</v>
      </c>
      <c r="J845">
        <v>3.62</v>
      </c>
      <c r="K845">
        <v>0</v>
      </c>
      <c r="L845">
        <v>3.94</v>
      </c>
      <c r="M845">
        <v>1.68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1</v>
      </c>
      <c r="W845">
        <v>940</v>
      </c>
      <c r="X845">
        <v>60</v>
      </c>
      <c r="Y845">
        <v>0</v>
      </c>
      <c r="Z845">
        <v>1</v>
      </c>
      <c r="AA845">
        <v>0</v>
      </c>
      <c r="AB845">
        <v>0</v>
      </c>
      <c r="AC845">
        <v>1</v>
      </c>
      <c r="AD845">
        <v>900</v>
      </c>
      <c r="AE845">
        <v>1</v>
      </c>
      <c r="AF845">
        <v>0</v>
      </c>
      <c r="AG845">
        <v>1</v>
      </c>
      <c r="AH845">
        <v>0</v>
      </c>
      <c r="AI845">
        <v>0</v>
      </c>
      <c r="AO845">
        <v>-2.5000000000000004</v>
      </c>
      <c r="AP845">
        <v>7.6033333333333335</v>
      </c>
      <c r="AQ845">
        <v>840.17200000000014</v>
      </c>
      <c r="AS845">
        <v>1123.5</v>
      </c>
      <c r="AT845">
        <v>1192</v>
      </c>
      <c r="AU845">
        <v>12</v>
      </c>
      <c r="AX845" t="s">
        <v>108</v>
      </c>
    </row>
    <row r="846" spans="1:50" x14ac:dyDescent="0.45">
      <c r="A846">
        <v>10845</v>
      </c>
      <c r="B846">
        <v>1</v>
      </c>
      <c r="C846">
        <v>83.52</v>
      </c>
      <c r="D846">
        <v>6.44</v>
      </c>
      <c r="E846">
        <v>0</v>
      </c>
      <c r="F846">
        <v>0</v>
      </c>
      <c r="G846">
        <v>0</v>
      </c>
      <c r="H846">
        <v>0</v>
      </c>
      <c r="I846">
        <v>0</v>
      </c>
      <c r="J846">
        <v>3.62</v>
      </c>
      <c r="K846">
        <v>0</v>
      </c>
      <c r="L846">
        <v>3.94</v>
      </c>
      <c r="M846">
        <v>1.68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1</v>
      </c>
      <c r="W846">
        <v>940</v>
      </c>
      <c r="X846">
        <v>60</v>
      </c>
      <c r="Y846">
        <v>0</v>
      </c>
      <c r="Z846">
        <v>1</v>
      </c>
      <c r="AA846">
        <v>0</v>
      </c>
      <c r="AB846">
        <v>0</v>
      </c>
      <c r="AC846">
        <v>1</v>
      </c>
      <c r="AD846">
        <v>930</v>
      </c>
      <c r="AE846">
        <v>1</v>
      </c>
      <c r="AF846">
        <v>1</v>
      </c>
      <c r="AG846">
        <v>0</v>
      </c>
      <c r="AH846">
        <v>0</v>
      </c>
      <c r="AI846">
        <v>0</v>
      </c>
      <c r="AO846">
        <v>-2.5000000000000004</v>
      </c>
      <c r="AP846">
        <v>7.6033333333333335</v>
      </c>
      <c r="AQ846">
        <v>840.17200000000014</v>
      </c>
      <c r="AS846">
        <v>1472.5</v>
      </c>
      <c r="AT846">
        <v>1580.5</v>
      </c>
      <c r="AU846">
        <v>4.75</v>
      </c>
      <c r="AX846" t="s">
        <v>108</v>
      </c>
    </row>
    <row r="847" spans="1:50" x14ac:dyDescent="0.45">
      <c r="A847">
        <v>10846</v>
      </c>
      <c r="B847">
        <v>1</v>
      </c>
      <c r="C847">
        <v>83.52</v>
      </c>
      <c r="D847">
        <v>6.44</v>
      </c>
      <c r="E847">
        <v>0</v>
      </c>
      <c r="F847">
        <v>0</v>
      </c>
      <c r="G847">
        <v>0</v>
      </c>
      <c r="H847">
        <v>0</v>
      </c>
      <c r="I847">
        <v>0</v>
      </c>
      <c r="J847">
        <v>3.62</v>
      </c>
      <c r="K847">
        <v>0</v>
      </c>
      <c r="L847">
        <v>3.94</v>
      </c>
      <c r="M847">
        <v>1.68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1</v>
      </c>
      <c r="W847">
        <v>940</v>
      </c>
      <c r="X847">
        <v>60</v>
      </c>
      <c r="Y847">
        <v>0</v>
      </c>
      <c r="Z847">
        <v>1</v>
      </c>
      <c r="AA847">
        <v>0</v>
      </c>
      <c r="AB847">
        <v>0</v>
      </c>
      <c r="AC847">
        <v>1</v>
      </c>
      <c r="AD847">
        <v>950</v>
      </c>
      <c r="AE847">
        <v>1</v>
      </c>
      <c r="AF847">
        <v>0</v>
      </c>
      <c r="AG847">
        <v>1</v>
      </c>
      <c r="AH847">
        <v>0</v>
      </c>
      <c r="AI847">
        <v>0</v>
      </c>
      <c r="AO847">
        <v>-2.5000000000000004</v>
      </c>
      <c r="AP847">
        <v>7.6033333333333335</v>
      </c>
      <c r="AQ847">
        <v>840.17200000000014</v>
      </c>
      <c r="AS847">
        <v>1029</v>
      </c>
      <c r="AT847">
        <v>1193.5</v>
      </c>
      <c r="AU847">
        <v>7</v>
      </c>
      <c r="AX847" t="s">
        <v>108</v>
      </c>
    </row>
    <row r="848" spans="1:50" x14ac:dyDescent="0.45">
      <c r="A848">
        <v>10847</v>
      </c>
      <c r="B848">
        <v>1</v>
      </c>
      <c r="C848">
        <v>83.52</v>
      </c>
      <c r="D848">
        <v>6.44</v>
      </c>
      <c r="E848">
        <v>0</v>
      </c>
      <c r="F848">
        <v>0</v>
      </c>
      <c r="G848">
        <v>0</v>
      </c>
      <c r="H848">
        <v>0</v>
      </c>
      <c r="I848">
        <v>0</v>
      </c>
      <c r="J848">
        <v>3.62</v>
      </c>
      <c r="K848">
        <v>0</v>
      </c>
      <c r="L848">
        <v>3.94</v>
      </c>
      <c r="M848">
        <v>1.68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1</v>
      </c>
      <c r="W848">
        <v>960</v>
      </c>
      <c r="X848">
        <v>60</v>
      </c>
      <c r="Y848">
        <v>0</v>
      </c>
      <c r="Z848">
        <v>1</v>
      </c>
      <c r="AA848">
        <v>0</v>
      </c>
      <c r="AB848">
        <v>0</v>
      </c>
      <c r="AC848">
        <v>1</v>
      </c>
      <c r="AD848">
        <v>900</v>
      </c>
      <c r="AE848">
        <v>1</v>
      </c>
      <c r="AF848">
        <v>0</v>
      </c>
      <c r="AG848">
        <v>1</v>
      </c>
      <c r="AH848">
        <v>0</v>
      </c>
      <c r="AI848">
        <v>1</v>
      </c>
      <c r="AJ848">
        <v>600</v>
      </c>
      <c r="AK848">
        <v>6</v>
      </c>
      <c r="AL848">
        <v>0</v>
      </c>
      <c r="AM848">
        <v>1</v>
      </c>
      <c r="AN848">
        <v>0</v>
      </c>
      <c r="AO848">
        <v>-2.5000000000000004</v>
      </c>
      <c r="AP848">
        <v>7.6033333333333335</v>
      </c>
      <c r="AQ848">
        <v>840.17200000000014</v>
      </c>
      <c r="AS848">
        <v>1069.25</v>
      </c>
      <c r="AT848">
        <v>1163.1600000000001</v>
      </c>
      <c r="AU848">
        <v>14.0883</v>
      </c>
      <c r="AX848" t="s">
        <v>108</v>
      </c>
    </row>
    <row r="849" spans="1:50" x14ac:dyDescent="0.45">
      <c r="A849">
        <v>10848</v>
      </c>
      <c r="B849">
        <v>1</v>
      </c>
      <c r="C849">
        <v>83.52</v>
      </c>
      <c r="D849">
        <v>6.44</v>
      </c>
      <c r="E849">
        <v>0</v>
      </c>
      <c r="F849">
        <v>0</v>
      </c>
      <c r="G849">
        <v>0</v>
      </c>
      <c r="H849">
        <v>0</v>
      </c>
      <c r="I849">
        <v>0</v>
      </c>
      <c r="J849">
        <v>3.62</v>
      </c>
      <c r="K849">
        <v>0</v>
      </c>
      <c r="L849">
        <v>3.94</v>
      </c>
      <c r="M849">
        <v>1.68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1</v>
      </c>
      <c r="W849">
        <v>990</v>
      </c>
      <c r="X849">
        <v>60</v>
      </c>
      <c r="Y849">
        <v>0</v>
      </c>
      <c r="Z849">
        <v>1</v>
      </c>
      <c r="AA849">
        <v>0</v>
      </c>
      <c r="AB849">
        <v>0</v>
      </c>
      <c r="AC849">
        <v>1</v>
      </c>
      <c r="AD849">
        <v>900</v>
      </c>
      <c r="AE849">
        <v>1</v>
      </c>
      <c r="AF849">
        <v>0</v>
      </c>
      <c r="AG849">
        <v>1</v>
      </c>
      <c r="AH849">
        <v>0</v>
      </c>
      <c r="AI849">
        <v>1</v>
      </c>
      <c r="AJ849">
        <v>600</v>
      </c>
      <c r="AK849">
        <v>6</v>
      </c>
      <c r="AL849">
        <v>0</v>
      </c>
      <c r="AM849">
        <v>1</v>
      </c>
      <c r="AN849">
        <v>0</v>
      </c>
      <c r="AO849">
        <v>-2.5000000000000004</v>
      </c>
      <c r="AP849">
        <v>7.6033333333333335</v>
      </c>
      <c r="AQ849">
        <v>840.17200000000014</v>
      </c>
      <c r="AS849">
        <v>1076.3599999999999</v>
      </c>
      <c r="AT849">
        <v>1180.24</v>
      </c>
      <c r="AU849">
        <v>9.9297699999999995</v>
      </c>
      <c r="AX849" t="s">
        <v>108</v>
      </c>
    </row>
    <row r="850" spans="1:50" x14ac:dyDescent="0.45">
      <c r="A850">
        <v>10849</v>
      </c>
      <c r="B850">
        <v>1</v>
      </c>
      <c r="C850">
        <v>83.52</v>
      </c>
      <c r="D850">
        <v>6.44</v>
      </c>
      <c r="E850">
        <v>0</v>
      </c>
      <c r="F850">
        <v>0</v>
      </c>
      <c r="G850">
        <v>0</v>
      </c>
      <c r="H850">
        <v>0</v>
      </c>
      <c r="I850">
        <v>0</v>
      </c>
      <c r="J850">
        <v>3.62</v>
      </c>
      <c r="K850">
        <v>0</v>
      </c>
      <c r="L850">
        <v>3.94</v>
      </c>
      <c r="M850">
        <v>1.68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1</v>
      </c>
      <c r="W850">
        <v>1005</v>
      </c>
      <c r="X850">
        <v>60</v>
      </c>
      <c r="Y850">
        <v>0</v>
      </c>
      <c r="Z850">
        <v>1</v>
      </c>
      <c r="AA850">
        <v>0</v>
      </c>
      <c r="AB850">
        <v>0</v>
      </c>
      <c r="AC850">
        <v>1</v>
      </c>
      <c r="AD850">
        <v>900</v>
      </c>
      <c r="AE850">
        <v>1</v>
      </c>
      <c r="AF850">
        <v>0</v>
      </c>
      <c r="AG850">
        <v>1</v>
      </c>
      <c r="AH850">
        <v>0</v>
      </c>
      <c r="AI850">
        <v>1</v>
      </c>
      <c r="AJ850">
        <v>600</v>
      </c>
      <c r="AK850">
        <v>6</v>
      </c>
      <c r="AL850">
        <v>0</v>
      </c>
      <c r="AM850">
        <v>1</v>
      </c>
      <c r="AN850">
        <v>0</v>
      </c>
      <c r="AO850">
        <v>-2.5000000000000004</v>
      </c>
      <c r="AP850">
        <v>7.6033333333333335</v>
      </c>
      <c r="AQ850">
        <v>840.17200000000014</v>
      </c>
      <c r="AS850">
        <v>1086.32</v>
      </c>
      <c r="AT850">
        <v>1170.28</v>
      </c>
      <c r="AU850">
        <v>12.206</v>
      </c>
      <c r="AX850" t="s">
        <v>108</v>
      </c>
    </row>
    <row r="851" spans="1:50" x14ac:dyDescent="0.45">
      <c r="A851">
        <v>10850</v>
      </c>
      <c r="B851">
        <v>1</v>
      </c>
      <c r="C851">
        <v>83.52</v>
      </c>
      <c r="D851">
        <v>6.44</v>
      </c>
      <c r="E851">
        <v>0</v>
      </c>
      <c r="F851">
        <v>0</v>
      </c>
      <c r="G851">
        <v>0</v>
      </c>
      <c r="H851">
        <v>0</v>
      </c>
      <c r="I851">
        <v>0</v>
      </c>
      <c r="J851">
        <v>3.62</v>
      </c>
      <c r="K851">
        <v>0</v>
      </c>
      <c r="L851">
        <v>3.94</v>
      </c>
      <c r="M851">
        <v>1.68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1</v>
      </c>
      <c r="W851">
        <v>940</v>
      </c>
      <c r="X851">
        <v>20</v>
      </c>
      <c r="Y851">
        <v>0</v>
      </c>
      <c r="Z851">
        <v>1</v>
      </c>
      <c r="AA851">
        <v>0</v>
      </c>
      <c r="AB851">
        <v>0</v>
      </c>
      <c r="AC851">
        <v>1</v>
      </c>
      <c r="AD851">
        <v>900</v>
      </c>
      <c r="AE851">
        <v>1</v>
      </c>
      <c r="AF851">
        <v>0</v>
      </c>
      <c r="AG851">
        <v>1</v>
      </c>
      <c r="AH851">
        <v>0</v>
      </c>
      <c r="AI851">
        <v>1</v>
      </c>
      <c r="AJ851">
        <v>600</v>
      </c>
      <c r="AK851">
        <v>6</v>
      </c>
      <c r="AL851">
        <v>0</v>
      </c>
      <c r="AM851">
        <v>1</v>
      </c>
      <c r="AN851">
        <v>0</v>
      </c>
      <c r="AO851">
        <v>-2.5000000000000004</v>
      </c>
      <c r="AP851">
        <v>7.6033333333333335</v>
      </c>
      <c r="AQ851">
        <v>840.17200000000014</v>
      </c>
      <c r="AS851">
        <v>1078</v>
      </c>
      <c r="AT851">
        <v>1158</v>
      </c>
      <c r="AU851">
        <v>11.75</v>
      </c>
      <c r="AX851" t="s">
        <v>108</v>
      </c>
    </row>
    <row r="852" spans="1:50" x14ac:dyDescent="0.45">
      <c r="A852">
        <v>10851</v>
      </c>
      <c r="B852">
        <v>1</v>
      </c>
      <c r="C852">
        <v>83.52</v>
      </c>
      <c r="D852">
        <v>6.44</v>
      </c>
      <c r="E852">
        <v>0</v>
      </c>
      <c r="F852">
        <v>0</v>
      </c>
      <c r="G852">
        <v>0</v>
      </c>
      <c r="H852">
        <v>0</v>
      </c>
      <c r="I852">
        <v>0</v>
      </c>
      <c r="J852">
        <v>3.62</v>
      </c>
      <c r="K852">
        <v>0</v>
      </c>
      <c r="L852">
        <v>3.94</v>
      </c>
      <c r="M852">
        <v>1.68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1</v>
      </c>
      <c r="W852">
        <v>940</v>
      </c>
      <c r="X852">
        <v>40</v>
      </c>
      <c r="Y852">
        <v>0</v>
      </c>
      <c r="Z852">
        <v>1</v>
      </c>
      <c r="AA852">
        <v>0</v>
      </c>
      <c r="AB852">
        <v>0</v>
      </c>
      <c r="AC852">
        <v>1</v>
      </c>
      <c r="AD852">
        <v>900</v>
      </c>
      <c r="AE852">
        <v>1</v>
      </c>
      <c r="AF852">
        <v>0</v>
      </c>
      <c r="AG852">
        <v>1</v>
      </c>
      <c r="AH852">
        <v>0</v>
      </c>
      <c r="AI852">
        <v>1</v>
      </c>
      <c r="AJ852">
        <v>600</v>
      </c>
      <c r="AK852">
        <v>6</v>
      </c>
      <c r="AL852">
        <v>0</v>
      </c>
      <c r="AM852">
        <v>1</v>
      </c>
      <c r="AN852">
        <v>0</v>
      </c>
      <c r="AO852">
        <v>-2.5000000000000004</v>
      </c>
      <c r="AP852">
        <v>7.6033333333333335</v>
      </c>
      <c r="AQ852">
        <v>840.17200000000014</v>
      </c>
      <c r="AS852">
        <v>1068</v>
      </c>
      <c r="AT852">
        <v>1158.5</v>
      </c>
      <c r="AU852">
        <v>12.75</v>
      </c>
      <c r="AX852" t="s">
        <v>108</v>
      </c>
    </row>
    <row r="853" spans="1:50" x14ac:dyDescent="0.45">
      <c r="A853">
        <v>10852</v>
      </c>
      <c r="B853">
        <v>1</v>
      </c>
      <c r="C853">
        <v>85.7</v>
      </c>
      <c r="D853">
        <v>6.81</v>
      </c>
      <c r="E853">
        <v>0</v>
      </c>
      <c r="F853">
        <v>0</v>
      </c>
      <c r="G853">
        <v>0</v>
      </c>
      <c r="H853">
        <v>0</v>
      </c>
      <c r="I853">
        <v>0</v>
      </c>
      <c r="J853">
        <v>2.25</v>
      </c>
      <c r="K853">
        <v>0</v>
      </c>
      <c r="L853">
        <v>2.1</v>
      </c>
      <c r="M853">
        <v>2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1</v>
      </c>
      <c r="W853">
        <v>1050</v>
      </c>
      <c r="Y853">
        <v>0</v>
      </c>
      <c r="Z853">
        <v>1</v>
      </c>
      <c r="AA853">
        <v>0</v>
      </c>
      <c r="AB853">
        <v>0</v>
      </c>
      <c r="AC853">
        <v>0</v>
      </c>
      <c r="AI853">
        <v>0</v>
      </c>
      <c r="AO853">
        <v>-4.7099999999999991</v>
      </c>
      <c r="AP853">
        <v>7.8516666666666666</v>
      </c>
      <c r="AQ853">
        <v>869.226</v>
      </c>
      <c r="AS853">
        <v>1059.57</v>
      </c>
      <c r="AT853">
        <v>1187.3900000000001</v>
      </c>
      <c r="AU853">
        <v>9.2331500000000002</v>
      </c>
      <c r="AX853" t="s">
        <v>108</v>
      </c>
    </row>
    <row r="854" spans="1:50" x14ac:dyDescent="0.45">
      <c r="A854">
        <v>10853</v>
      </c>
      <c r="B854">
        <v>1</v>
      </c>
      <c r="C854">
        <v>85.7</v>
      </c>
      <c r="D854">
        <v>6.81</v>
      </c>
      <c r="E854">
        <v>0</v>
      </c>
      <c r="F854">
        <v>0</v>
      </c>
      <c r="G854">
        <v>0</v>
      </c>
      <c r="H854">
        <v>0</v>
      </c>
      <c r="I854">
        <v>0</v>
      </c>
      <c r="J854">
        <v>2.25</v>
      </c>
      <c r="K854">
        <v>0</v>
      </c>
      <c r="L854">
        <v>2.1</v>
      </c>
      <c r="M854">
        <v>2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1</v>
      </c>
      <c r="W854">
        <v>1050</v>
      </c>
      <c r="X854">
        <v>25</v>
      </c>
      <c r="Y854">
        <v>0</v>
      </c>
      <c r="Z854">
        <v>1</v>
      </c>
      <c r="AA854">
        <v>0</v>
      </c>
      <c r="AB854">
        <v>0</v>
      </c>
      <c r="AC854">
        <v>0</v>
      </c>
      <c r="AI854">
        <v>0</v>
      </c>
      <c r="AO854">
        <v>-4.7099999999999991</v>
      </c>
      <c r="AP854">
        <v>7.8516666666666666</v>
      </c>
      <c r="AQ854">
        <v>869.226</v>
      </c>
      <c r="AS854">
        <v>1073.05</v>
      </c>
      <c r="AT854">
        <v>1191.29</v>
      </c>
      <c r="AU854">
        <v>13.033300000000001</v>
      </c>
      <c r="AX854" t="s">
        <v>108</v>
      </c>
    </row>
    <row r="855" spans="1:50" x14ac:dyDescent="0.45">
      <c r="A855">
        <v>10854</v>
      </c>
      <c r="B855">
        <v>1</v>
      </c>
      <c r="C855">
        <v>85.7</v>
      </c>
      <c r="D855">
        <v>6.81</v>
      </c>
      <c r="E855">
        <v>0</v>
      </c>
      <c r="F855">
        <v>0</v>
      </c>
      <c r="G855">
        <v>0</v>
      </c>
      <c r="H855">
        <v>0</v>
      </c>
      <c r="I855">
        <v>0</v>
      </c>
      <c r="J855">
        <v>2.25</v>
      </c>
      <c r="K855">
        <v>0</v>
      </c>
      <c r="L855">
        <v>2.1</v>
      </c>
      <c r="M855">
        <v>2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1</v>
      </c>
      <c r="W855">
        <v>1050</v>
      </c>
      <c r="X855">
        <v>45</v>
      </c>
      <c r="Y855">
        <v>0</v>
      </c>
      <c r="Z855">
        <v>1</v>
      </c>
      <c r="AA855">
        <v>0</v>
      </c>
      <c r="AB855">
        <v>0</v>
      </c>
      <c r="AC855">
        <v>0</v>
      </c>
      <c r="AI855">
        <v>0</v>
      </c>
      <c r="AO855">
        <v>-4.7099999999999991</v>
      </c>
      <c r="AP855">
        <v>7.8516666666666666</v>
      </c>
      <c r="AQ855">
        <v>869.226</v>
      </c>
      <c r="AS855">
        <v>1083.47</v>
      </c>
      <c r="AT855">
        <v>1200</v>
      </c>
      <c r="AU855">
        <v>13.36</v>
      </c>
      <c r="AX855" t="s">
        <v>108</v>
      </c>
    </row>
    <row r="856" spans="1:50" x14ac:dyDescent="0.45">
      <c r="A856">
        <v>10855</v>
      </c>
      <c r="B856">
        <v>1</v>
      </c>
      <c r="C856">
        <v>85.7</v>
      </c>
      <c r="D856">
        <v>6.81</v>
      </c>
      <c r="E856">
        <v>0</v>
      </c>
      <c r="F856">
        <v>0</v>
      </c>
      <c r="G856">
        <v>0</v>
      </c>
      <c r="H856">
        <v>0</v>
      </c>
      <c r="I856">
        <v>0</v>
      </c>
      <c r="J856">
        <v>2.25</v>
      </c>
      <c r="K856">
        <v>0</v>
      </c>
      <c r="L856">
        <v>2.1</v>
      </c>
      <c r="M856">
        <v>2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1</v>
      </c>
      <c r="W856">
        <v>1050</v>
      </c>
      <c r="X856">
        <v>80</v>
      </c>
      <c r="Y856">
        <v>0</v>
      </c>
      <c r="Z856">
        <v>1</v>
      </c>
      <c r="AA856">
        <v>0</v>
      </c>
      <c r="AB856">
        <v>0</v>
      </c>
      <c r="AC856">
        <v>0</v>
      </c>
      <c r="AI856">
        <v>0</v>
      </c>
      <c r="AO856">
        <v>-4.7099999999999991</v>
      </c>
      <c r="AP856">
        <v>7.8516666666666666</v>
      </c>
      <c r="AQ856">
        <v>869.226</v>
      </c>
      <c r="AS856">
        <v>1151.76</v>
      </c>
      <c r="AT856">
        <v>1258.7</v>
      </c>
      <c r="AU856">
        <v>15.1442</v>
      </c>
      <c r="AX856" t="s">
        <v>108</v>
      </c>
    </row>
    <row r="857" spans="1:50" x14ac:dyDescent="0.45">
      <c r="A857">
        <v>10856</v>
      </c>
      <c r="B857">
        <v>1</v>
      </c>
      <c r="C857">
        <v>86.4</v>
      </c>
      <c r="D857">
        <v>6</v>
      </c>
      <c r="E857">
        <v>0</v>
      </c>
      <c r="F857">
        <v>0</v>
      </c>
      <c r="G857">
        <v>0</v>
      </c>
      <c r="H857">
        <v>0</v>
      </c>
      <c r="I857">
        <v>0</v>
      </c>
      <c r="J857">
        <v>4</v>
      </c>
      <c r="K857">
        <v>0</v>
      </c>
      <c r="L857">
        <v>0.4</v>
      </c>
      <c r="M857">
        <v>2.75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Y857">
        <v>1</v>
      </c>
      <c r="Z857">
        <v>0</v>
      </c>
      <c r="AA857">
        <v>0</v>
      </c>
      <c r="AB857">
        <v>0</v>
      </c>
      <c r="AC857">
        <v>1</v>
      </c>
      <c r="AD857">
        <v>950</v>
      </c>
      <c r="AE857">
        <v>1</v>
      </c>
      <c r="AF857">
        <v>1</v>
      </c>
      <c r="AG857">
        <v>0</v>
      </c>
      <c r="AH857">
        <v>0</v>
      </c>
      <c r="AI857">
        <v>1</v>
      </c>
      <c r="AJ857">
        <v>650</v>
      </c>
      <c r="AK857">
        <v>6</v>
      </c>
      <c r="AL857">
        <v>0</v>
      </c>
      <c r="AM857">
        <v>1</v>
      </c>
      <c r="AN857">
        <v>0</v>
      </c>
      <c r="AO857">
        <v>-5.6</v>
      </c>
      <c r="AP857">
        <v>7.5833333333333339</v>
      </c>
      <c r="AQ857">
        <v>874.75</v>
      </c>
      <c r="AS857">
        <v>922</v>
      </c>
      <c r="AT857">
        <v>1026</v>
      </c>
      <c r="AU857">
        <v>3.7</v>
      </c>
      <c r="AX857" t="s">
        <v>108</v>
      </c>
    </row>
    <row r="858" spans="1:50" x14ac:dyDescent="0.45">
      <c r="A858">
        <v>10857</v>
      </c>
      <c r="B858">
        <v>1</v>
      </c>
      <c r="C858">
        <v>85.9</v>
      </c>
      <c r="D858">
        <v>6</v>
      </c>
      <c r="E858">
        <v>0</v>
      </c>
      <c r="F858">
        <v>0</v>
      </c>
      <c r="G858">
        <v>0</v>
      </c>
      <c r="H858">
        <v>0</v>
      </c>
      <c r="I858">
        <v>0</v>
      </c>
      <c r="J858">
        <v>4</v>
      </c>
      <c r="K858">
        <v>0</v>
      </c>
      <c r="L858">
        <v>2</v>
      </c>
      <c r="M858">
        <v>2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Y858">
        <v>1</v>
      </c>
      <c r="Z858">
        <v>0</v>
      </c>
      <c r="AA858">
        <v>0</v>
      </c>
      <c r="AB858">
        <v>0</v>
      </c>
      <c r="AC858">
        <v>1</v>
      </c>
      <c r="AD858">
        <v>900</v>
      </c>
      <c r="AE858">
        <v>1</v>
      </c>
      <c r="AF858">
        <v>0</v>
      </c>
      <c r="AG858">
        <v>1</v>
      </c>
      <c r="AH858">
        <v>0</v>
      </c>
      <c r="AI858">
        <v>1</v>
      </c>
      <c r="AJ858">
        <v>550</v>
      </c>
      <c r="AK858">
        <v>8</v>
      </c>
      <c r="AL858">
        <v>0</v>
      </c>
      <c r="AM858">
        <v>1</v>
      </c>
      <c r="AN858">
        <v>0</v>
      </c>
      <c r="AO858">
        <v>-4</v>
      </c>
      <c r="AP858">
        <v>7.3333333333333339</v>
      </c>
      <c r="AQ858">
        <v>856.4</v>
      </c>
      <c r="AT858">
        <v>1045.31</v>
      </c>
      <c r="AU858">
        <v>17.287199999999999</v>
      </c>
      <c r="AX858" t="s">
        <v>108</v>
      </c>
    </row>
    <row r="859" spans="1:50" x14ac:dyDescent="0.45">
      <c r="A859">
        <v>10858</v>
      </c>
      <c r="B859">
        <v>1</v>
      </c>
      <c r="C859">
        <v>85.9</v>
      </c>
      <c r="D859">
        <v>6</v>
      </c>
      <c r="E859">
        <v>0</v>
      </c>
      <c r="F859">
        <v>0</v>
      </c>
      <c r="G859">
        <v>0</v>
      </c>
      <c r="H859">
        <v>0</v>
      </c>
      <c r="I859">
        <v>0</v>
      </c>
      <c r="J859">
        <v>4</v>
      </c>
      <c r="K859">
        <v>0</v>
      </c>
      <c r="L859">
        <v>2</v>
      </c>
      <c r="M859">
        <v>2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Y859">
        <v>1</v>
      </c>
      <c r="Z859">
        <v>0</v>
      </c>
      <c r="AA859">
        <v>0</v>
      </c>
      <c r="AB859">
        <v>0</v>
      </c>
      <c r="AC859">
        <v>1</v>
      </c>
      <c r="AD859">
        <v>900</v>
      </c>
      <c r="AE859">
        <v>1</v>
      </c>
      <c r="AF859">
        <v>0</v>
      </c>
      <c r="AG859">
        <v>1</v>
      </c>
      <c r="AH859">
        <v>0</v>
      </c>
      <c r="AI859">
        <v>1</v>
      </c>
      <c r="AJ859">
        <v>600</v>
      </c>
      <c r="AK859">
        <v>8</v>
      </c>
      <c r="AL859">
        <v>0</v>
      </c>
      <c r="AM859">
        <v>1</v>
      </c>
      <c r="AN859">
        <v>0</v>
      </c>
      <c r="AO859">
        <v>-4</v>
      </c>
      <c r="AP859">
        <v>7.3333333333333339</v>
      </c>
      <c r="AQ859">
        <v>856.4</v>
      </c>
      <c r="AT859">
        <v>1060.1300000000001</v>
      </c>
      <c r="AU859">
        <v>16.668900000000001</v>
      </c>
      <c r="AX859" t="s">
        <v>108</v>
      </c>
    </row>
    <row r="860" spans="1:50" x14ac:dyDescent="0.45">
      <c r="A860">
        <v>10859</v>
      </c>
      <c r="B860">
        <v>1</v>
      </c>
      <c r="C860">
        <v>85.9</v>
      </c>
      <c r="D860">
        <v>6</v>
      </c>
      <c r="E860">
        <v>0</v>
      </c>
      <c r="F860">
        <v>0</v>
      </c>
      <c r="G860">
        <v>0</v>
      </c>
      <c r="H860">
        <v>0</v>
      </c>
      <c r="I860">
        <v>0</v>
      </c>
      <c r="J860">
        <v>4</v>
      </c>
      <c r="K860">
        <v>0</v>
      </c>
      <c r="L860">
        <v>2</v>
      </c>
      <c r="M860">
        <v>2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Y860">
        <v>1</v>
      </c>
      <c r="Z860">
        <v>0</v>
      </c>
      <c r="AA860">
        <v>0</v>
      </c>
      <c r="AB860">
        <v>0</v>
      </c>
      <c r="AC860">
        <v>1</v>
      </c>
      <c r="AD860">
        <v>900</v>
      </c>
      <c r="AE860">
        <v>1</v>
      </c>
      <c r="AF860">
        <v>0</v>
      </c>
      <c r="AG860">
        <v>1</v>
      </c>
      <c r="AH860">
        <v>0</v>
      </c>
      <c r="AI860">
        <v>1</v>
      </c>
      <c r="AJ860">
        <v>650</v>
      </c>
      <c r="AK860">
        <v>8</v>
      </c>
      <c r="AL860">
        <v>0</v>
      </c>
      <c r="AM860">
        <v>1</v>
      </c>
      <c r="AN860">
        <v>0</v>
      </c>
      <c r="AO860">
        <v>-4</v>
      </c>
      <c r="AP860">
        <v>7.3333333333333339</v>
      </c>
      <c r="AQ860">
        <v>856.4</v>
      </c>
      <c r="AT860">
        <v>1044.27</v>
      </c>
      <c r="AU860">
        <v>13.732100000000001</v>
      </c>
      <c r="AX860" t="s">
        <v>108</v>
      </c>
    </row>
    <row r="861" spans="1:50" x14ac:dyDescent="0.45">
      <c r="A861">
        <v>10860</v>
      </c>
      <c r="B861">
        <v>1</v>
      </c>
      <c r="C861">
        <v>85.9</v>
      </c>
      <c r="D861">
        <v>6</v>
      </c>
      <c r="E861">
        <v>0</v>
      </c>
      <c r="F861">
        <v>0</v>
      </c>
      <c r="G861">
        <v>0</v>
      </c>
      <c r="H861">
        <v>0</v>
      </c>
      <c r="I861">
        <v>0</v>
      </c>
      <c r="J861">
        <v>4</v>
      </c>
      <c r="K861">
        <v>0</v>
      </c>
      <c r="L861">
        <v>2</v>
      </c>
      <c r="M861">
        <v>2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Y861">
        <v>1</v>
      </c>
      <c r="Z861">
        <v>0</v>
      </c>
      <c r="AA861">
        <v>0</v>
      </c>
      <c r="AB861">
        <v>0</v>
      </c>
      <c r="AC861">
        <v>1</v>
      </c>
      <c r="AD861">
        <v>950</v>
      </c>
      <c r="AE861">
        <v>1</v>
      </c>
      <c r="AF861">
        <v>0</v>
      </c>
      <c r="AG861">
        <v>1</v>
      </c>
      <c r="AH861">
        <v>0</v>
      </c>
      <c r="AI861">
        <v>1</v>
      </c>
      <c r="AJ861">
        <v>550</v>
      </c>
      <c r="AK861">
        <v>8</v>
      </c>
      <c r="AL861">
        <v>0</v>
      </c>
      <c r="AM861">
        <v>1</v>
      </c>
      <c r="AN861">
        <v>0</v>
      </c>
      <c r="AO861">
        <v>-4</v>
      </c>
      <c r="AP861">
        <v>7.3333333333333339</v>
      </c>
      <c r="AQ861">
        <v>856.4</v>
      </c>
      <c r="AT861">
        <v>1049</v>
      </c>
      <c r="AU861">
        <v>17.088799999999999</v>
      </c>
      <c r="AX861" t="s">
        <v>108</v>
      </c>
    </row>
    <row r="862" spans="1:50" x14ac:dyDescent="0.45">
      <c r="A862">
        <v>10861</v>
      </c>
      <c r="B862">
        <v>1</v>
      </c>
      <c r="C862">
        <v>85.9</v>
      </c>
      <c r="D862">
        <v>6</v>
      </c>
      <c r="E862">
        <v>0</v>
      </c>
      <c r="F862">
        <v>0</v>
      </c>
      <c r="G862">
        <v>0</v>
      </c>
      <c r="H862">
        <v>0</v>
      </c>
      <c r="I862">
        <v>0</v>
      </c>
      <c r="J862">
        <v>4</v>
      </c>
      <c r="K862">
        <v>0</v>
      </c>
      <c r="L862">
        <v>2</v>
      </c>
      <c r="M862">
        <v>2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Y862">
        <v>1</v>
      </c>
      <c r="Z862">
        <v>0</v>
      </c>
      <c r="AA862">
        <v>0</v>
      </c>
      <c r="AB862">
        <v>0</v>
      </c>
      <c r="AC862">
        <v>1</v>
      </c>
      <c r="AD862">
        <v>950</v>
      </c>
      <c r="AE862">
        <v>1</v>
      </c>
      <c r="AF862">
        <v>0</v>
      </c>
      <c r="AG862">
        <v>1</v>
      </c>
      <c r="AH862">
        <v>0</v>
      </c>
      <c r="AI862">
        <v>1</v>
      </c>
      <c r="AJ862">
        <v>600</v>
      </c>
      <c r="AK862">
        <v>8</v>
      </c>
      <c r="AL862">
        <v>0</v>
      </c>
      <c r="AM862">
        <v>1</v>
      </c>
      <c r="AN862">
        <v>0</v>
      </c>
      <c r="AO862">
        <v>-4</v>
      </c>
      <c r="AP862">
        <v>7.3333333333333339</v>
      </c>
      <c r="AQ862">
        <v>856.4</v>
      </c>
      <c r="AT862">
        <v>1050.3399999999999</v>
      </c>
      <c r="AU862">
        <v>16.192499999999999</v>
      </c>
      <c r="AX862" t="s">
        <v>108</v>
      </c>
    </row>
    <row r="863" spans="1:50" x14ac:dyDescent="0.45">
      <c r="A863">
        <v>10862</v>
      </c>
      <c r="B863">
        <v>1</v>
      </c>
      <c r="C863">
        <v>85.9</v>
      </c>
      <c r="D863">
        <v>6</v>
      </c>
      <c r="E863">
        <v>0</v>
      </c>
      <c r="F863">
        <v>0</v>
      </c>
      <c r="G863">
        <v>0</v>
      </c>
      <c r="H863">
        <v>0</v>
      </c>
      <c r="I863">
        <v>0</v>
      </c>
      <c r="J863">
        <v>4</v>
      </c>
      <c r="K863">
        <v>0</v>
      </c>
      <c r="L863">
        <v>2</v>
      </c>
      <c r="M863">
        <v>2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Y863">
        <v>1</v>
      </c>
      <c r="Z863">
        <v>0</v>
      </c>
      <c r="AA863">
        <v>0</v>
      </c>
      <c r="AB863">
        <v>0</v>
      </c>
      <c r="AC863">
        <v>1</v>
      </c>
      <c r="AD863">
        <v>950</v>
      </c>
      <c r="AE863">
        <v>1</v>
      </c>
      <c r="AF863">
        <v>0</v>
      </c>
      <c r="AG863">
        <v>1</v>
      </c>
      <c r="AH863">
        <v>0</v>
      </c>
      <c r="AI863">
        <v>1</v>
      </c>
      <c r="AJ863">
        <v>650</v>
      </c>
      <c r="AK863">
        <v>8</v>
      </c>
      <c r="AL863">
        <v>0</v>
      </c>
      <c r="AM863">
        <v>1</v>
      </c>
      <c r="AN863">
        <v>0</v>
      </c>
      <c r="AO863">
        <v>-4</v>
      </c>
      <c r="AP863">
        <v>7.3333333333333339</v>
      </c>
      <c r="AQ863">
        <v>856.4</v>
      </c>
      <c r="AT863">
        <v>1044.6500000000001</v>
      </c>
      <c r="AU863">
        <v>13.008599999999999</v>
      </c>
      <c r="AX863" t="s">
        <v>108</v>
      </c>
    </row>
    <row r="864" spans="1:50" x14ac:dyDescent="0.45">
      <c r="A864">
        <v>10863</v>
      </c>
      <c r="B864">
        <v>1</v>
      </c>
      <c r="C864">
        <v>85.9</v>
      </c>
      <c r="D864">
        <v>6</v>
      </c>
      <c r="E864">
        <v>0</v>
      </c>
      <c r="F864">
        <v>0</v>
      </c>
      <c r="G864">
        <v>0</v>
      </c>
      <c r="H864">
        <v>0</v>
      </c>
      <c r="I864">
        <v>0</v>
      </c>
      <c r="J864">
        <v>4</v>
      </c>
      <c r="K864">
        <v>0</v>
      </c>
      <c r="L864">
        <v>2</v>
      </c>
      <c r="M864">
        <v>2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Y864">
        <v>1</v>
      </c>
      <c r="Z864">
        <v>0</v>
      </c>
      <c r="AA864">
        <v>0</v>
      </c>
      <c r="AB864">
        <v>0</v>
      </c>
      <c r="AC864">
        <v>1</v>
      </c>
      <c r="AD864">
        <v>980</v>
      </c>
      <c r="AE864">
        <v>1</v>
      </c>
      <c r="AF864">
        <v>0</v>
      </c>
      <c r="AG864">
        <v>1</v>
      </c>
      <c r="AH864">
        <v>0</v>
      </c>
      <c r="AI864">
        <v>1</v>
      </c>
      <c r="AJ864">
        <v>550</v>
      </c>
      <c r="AK864">
        <v>8</v>
      </c>
      <c r="AL864">
        <v>0</v>
      </c>
      <c r="AM864">
        <v>1</v>
      </c>
      <c r="AN864">
        <v>0</v>
      </c>
      <c r="AO864">
        <v>-4</v>
      </c>
      <c r="AP864">
        <v>7.3333333333333339</v>
      </c>
      <c r="AQ864">
        <v>856.4</v>
      </c>
      <c r="AT864">
        <v>1077.53</v>
      </c>
      <c r="AU864">
        <v>13.6069</v>
      </c>
      <c r="AX864" t="s">
        <v>108</v>
      </c>
    </row>
    <row r="865" spans="1:50" x14ac:dyDescent="0.45">
      <c r="A865">
        <v>10864</v>
      </c>
      <c r="B865">
        <v>1</v>
      </c>
      <c r="C865">
        <v>85.9</v>
      </c>
      <c r="D865">
        <v>6</v>
      </c>
      <c r="E865">
        <v>0</v>
      </c>
      <c r="F865">
        <v>0</v>
      </c>
      <c r="G865">
        <v>0</v>
      </c>
      <c r="H865">
        <v>0</v>
      </c>
      <c r="I865">
        <v>0</v>
      </c>
      <c r="J865">
        <v>4</v>
      </c>
      <c r="K865">
        <v>0</v>
      </c>
      <c r="L865">
        <v>2</v>
      </c>
      <c r="M865">
        <v>2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Y865">
        <v>1</v>
      </c>
      <c r="Z865">
        <v>0</v>
      </c>
      <c r="AA865">
        <v>0</v>
      </c>
      <c r="AB865">
        <v>0</v>
      </c>
      <c r="AC865">
        <v>1</v>
      </c>
      <c r="AD865">
        <v>980</v>
      </c>
      <c r="AE865">
        <v>1</v>
      </c>
      <c r="AF865">
        <v>0</v>
      </c>
      <c r="AG865">
        <v>1</v>
      </c>
      <c r="AH865">
        <v>0</v>
      </c>
      <c r="AI865">
        <v>1</v>
      </c>
      <c r="AJ865">
        <v>600</v>
      </c>
      <c r="AK865">
        <v>8</v>
      </c>
      <c r="AL865">
        <v>0</v>
      </c>
      <c r="AM865">
        <v>1</v>
      </c>
      <c r="AN865">
        <v>0</v>
      </c>
      <c r="AO865">
        <v>-4</v>
      </c>
      <c r="AP865">
        <v>7.3333333333333339</v>
      </c>
      <c r="AQ865">
        <v>856.4</v>
      </c>
      <c r="AT865">
        <v>1052.8699999999999</v>
      </c>
      <c r="AU865">
        <v>15.1525</v>
      </c>
      <c r="AX865" t="s">
        <v>108</v>
      </c>
    </row>
    <row r="866" spans="1:50" x14ac:dyDescent="0.45">
      <c r="A866">
        <v>10865</v>
      </c>
      <c r="B866">
        <v>1</v>
      </c>
      <c r="C866">
        <v>85.9</v>
      </c>
      <c r="D866">
        <v>6</v>
      </c>
      <c r="E866">
        <v>0</v>
      </c>
      <c r="F866">
        <v>0</v>
      </c>
      <c r="G866">
        <v>0</v>
      </c>
      <c r="H866">
        <v>0</v>
      </c>
      <c r="I866">
        <v>0</v>
      </c>
      <c r="J866">
        <v>4</v>
      </c>
      <c r="K866">
        <v>0</v>
      </c>
      <c r="L866">
        <v>2</v>
      </c>
      <c r="M866">
        <v>2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Y866">
        <v>1</v>
      </c>
      <c r="Z866">
        <v>0</v>
      </c>
      <c r="AA866">
        <v>0</v>
      </c>
      <c r="AB866">
        <v>0</v>
      </c>
      <c r="AC866">
        <v>1</v>
      </c>
      <c r="AD866">
        <v>980</v>
      </c>
      <c r="AE866">
        <v>1</v>
      </c>
      <c r="AF866">
        <v>0</v>
      </c>
      <c r="AG866">
        <v>1</v>
      </c>
      <c r="AH866">
        <v>0</v>
      </c>
      <c r="AI866">
        <v>1</v>
      </c>
      <c r="AJ866">
        <v>650</v>
      </c>
      <c r="AK866">
        <v>8</v>
      </c>
      <c r="AL866">
        <v>0</v>
      </c>
      <c r="AM866">
        <v>1</v>
      </c>
      <c r="AN866">
        <v>0</v>
      </c>
      <c r="AO866">
        <v>-4</v>
      </c>
      <c r="AP866">
        <v>7.3333333333333339</v>
      </c>
      <c r="AQ866">
        <v>856.4</v>
      </c>
      <c r="AT866">
        <v>1075.77</v>
      </c>
      <c r="AU866">
        <v>11.288600000000001</v>
      </c>
      <c r="AX866" t="s">
        <v>108</v>
      </c>
    </row>
    <row r="867" spans="1:50" x14ac:dyDescent="0.45">
      <c r="A867">
        <v>10866</v>
      </c>
      <c r="B867">
        <v>1</v>
      </c>
      <c r="C867">
        <v>85.9</v>
      </c>
      <c r="D867">
        <v>6</v>
      </c>
      <c r="E867">
        <v>0</v>
      </c>
      <c r="F867">
        <v>0</v>
      </c>
      <c r="G867">
        <v>0</v>
      </c>
      <c r="H867">
        <v>0</v>
      </c>
      <c r="I867">
        <v>0</v>
      </c>
      <c r="J867">
        <v>4</v>
      </c>
      <c r="K867">
        <v>0</v>
      </c>
      <c r="L867">
        <v>2</v>
      </c>
      <c r="M867">
        <v>2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T867">
        <v>0</v>
      </c>
      <c r="U867">
        <v>0</v>
      </c>
      <c r="V867">
        <v>0</v>
      </c>
      <c r="Y867">
        <v>1</v>
      </c>
      <c r="Z867">
        <v>0</v>
      </c>
      <c r="AA867">
        <v>0</v>
      </c>
      <c r="AB867">
        <v>0</v>
      </c>
      <c r="AC867">
        <v>1</v>
      </c>
      <c r="AD867">
        <v>1000</v>
      </c>
      <c r="AE867">
        <v>1</v>
      </c>
      <c r="AF867">
        <v>0</v>
      </c>
      <c r="AG867">
        <v>1</v>
      </c>
      <c r="AH867">
        <v>0</v>
      </c>
      <c r="AI867">
        <v>1</v>
      </c>
      <c r="AJ867">
        <v>550</v>
      </c>
      <c r="AK867">
        <v>8</v>
      </c>
      <c r="AL867">
        <v>0</v>
      </c>
      <c r="AM867">
        <v>1</v>
      </c>
      <c r="AN867">
        <v>0</v>
      </c>
      <c r="AO867">
        <v>-4</v>
      </c>
      <c r="AP867">
        <v>7.3333333333333339</v>
      </c>
      <c r="AQ867">
        <v>856.4</v>
      </c>
      <c r="AT867">
        <v>1026.78</v>
      </c>
      <c r="AU867">
        <v>11.357799999999999</v>
      </c>
      <c r="AX867" t="s">
        <v>108</v>
      </c>
    </row>
    <row r="868" spans="1:50" x14ac:dyDescent="0.45">
      <c r="A868">
        <v>10867</v>
      </c>
      <c r="B868">
        <v>1</v>
      </c>
      <c r="C868">
        <v>85.9</v>
      </c>
      <c r="D868">
        <v>6</v>
      </c>
      <c r="E868">
        <v>0</v>
      </c>
      <c r="F868">
        <v>0</v>
      </c>
      <c r="G868">
        <v>0</v>
      </c>
      <c r="H868">
        <v>0</v>
      </c>
      <c r="I868">
        <v>0</v>
      </c>
      <c r="J868">
        <v>4</v>
      </c>
      <c r="K868">
        <v>0</v>
      </c>
      <c r="L868">
        <v>2</v>
      </c>
      <c r="M868">
        <v>2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0</v>
      </c>
      <c r="T868">
        <v>0</v>
      </c>
      <c r="U868">
        <v>0</v>
      </c>
      <c r="V868">
        <v>0</v>
      </c>
      <c r="Y868">
        <v>1</v>
      </c>
      <c r="Z868">
        <v>0</v>
      </c>
      <c r="AA868">
        <v>0</v>
      </c>
      <c r="AB868">
        <v>0</v>
      </c>
      <c r="AC868">
        <v>1</v>
      </c>
      <c r="AD868">
        <v>1000</v>
      </c>
      <c r="AE868">
        <v>1</v>
      </c>
      <c r="AF868">
        <v>0</v>
      </c>
      <c r="AG868">
        <v>1</v>
      </c>
      <c r="AH868">
        <v>0</v>
      </c>
      <c r="AI868">
        <v>1</v>
      </c>
      <c r="AJ868">
        <v>600</v>
      </c>
      <c r="AK868">
        <v>8</v>
      </c>
      <c r="AL868">
        <v>0</v>
      </c>
      <c r="AM868">
        <v>1</v>
      </c>
      <c r="AN868">
        <v>0</v>
      </c>
      <c r="AO868">
        <v>-4</v>
      </c>
      <c r="AP868">
        <v>7.3333333333333339</v>
      </c>
      <c r="AQ868">
        <v>856.4</v>
      </c>
      <c r="AT868">
        <v>1047.5</v>
      </c>
      <c r="AU868">
        <v>8.6065799999999992</v>
      </c>
      <c r="AX868" t="s">
        <v>108</v>
      </c>
    </row>
    <row r="869" spans="1:50" x14ac:dyDescent="0.45">
      <c r="A869">
        <v>10868</v>
      </c>
      <c r="B869">
        <v>1</v>
      </c>
      <c r="C869">
        <v>85.9</v>
      </c>
      <c r="D869">
        <v>6</v>
      </c>
      <c r="E869">
        <v>0</v>
      </c>
      <c r="F869">
        <v>0</v>
      </c>
      <c r="G869">
        <v>0</v>
      </c>
      <c r="H869">
        <v>0</v>
      </c>
      <c r="I869">
        <v>0</v>
      </c>
      <c r="J869">
        <v>4</v>
      </c>
      <c r="K869">
        <v>0</v>
      </c>
      <c r="L869">
        <v>2</v>
      </c>
      <c r="M869">
        <v>2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T869">
        <v>0</v>
      </c>
      <c r="U869">
        <v>0</v>
      </c>
      <c r="V869">
        <v>0</v>
      </c>
      <c r="Y869">
        <v>1</v>
      </c>
      <c r="Z869">
        <v>0</v>
      </c>
      <c r="AA869">
        <v>0</v>
      </c>
      <c r="AB869">
        <v>0</v>
      </c>
      <c r="AC869">
        <v>1</v>
      </c>
      <c r="AD869">
        <v>1000</v>
      </c>
      <c r="AE869">
        <v>1</v>
      </c>
      <c r="AF869">
        <v>0</v>
      </c>
      <c r="AG869">
        <v>1</v>
      </c>
      <c r="AH869">
        <v>0</v>
      </c>
      <c r="AI869">
        <v>1</v>
      </c>
      <c r="AJ869">
        <v>650</v>
      </c>
      <c r="AK869">
        <v>8</v>
      </c>
      <c r="AL869">
        <v>0</v>
      </c>
      <c r="AM869">
        <v>1</v>
      </c>
      <c r="AN869">
        <v>0</v>
      </c>
      <c r="AO869">
        <v>-4</v>
      </c>
      <c r="AP869">
        <v>7.3333333333333339</v>
      </c>
      <c r="AQ869">
        <v>856.4</v>
      </c>
      <c r="AT869">
        <v>1036.1099999999999</v>
      </c>
      <c r="AU869">
        <v>6.81332</v>
      </c>
      <c r="AX869" t="s">
        <v>108</v>
      </c>
    </row>
    <row r="870" spans="1:50" x14ac:dyDescent="0.45">
      <c r="A870">
        <v>10869</v>
      </c>
      <c r="B870">
        <v>1</v>
      </c>
      <c r="C870">
        <v>85.9</v>
      </c>
      <c r="D870">
        <v>6</v>
      </c>
      <c r="E870">
        <v>0</v>
      </c>
      <c r="F870">
        <v>0</v>
      </c>
      <c r="G870">
        <v>0</v>
      </c>
      <c r="H870">
        <v>0</v>
      </c>
      <c r="I870">
        <v>0</v>
      </c>
      <c r="J870">
        <v>4</v>
      </c>
      <c r="K870">
        <v>0</v>
      </c>
      <c r="L870">
        <v>2</v>
      </c>
      <c r="M870">
        <v>2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Y870">
        <v>1</v>
      </c>
      <c r="Z870">
        <v>0</v>
      </c>
      <c r="AA870">
        <v>0</v>
      </c>
      <c r="AB870">
        <v>0</v>
      </c>
      <c r="AC870">
        <v>1</v>
      </c>
      <c r="AD870">
        <v>1030</v>
      </c>
      <c r="AE870">
        <v>1</v>
      </c>
      <c r="AF870">
        <v>0</v>
      </c>
      <c r="AG870">
        <v>1</v>
      </c>
      <c r="AH870">
        <v>0</v>
      </c>
      <c r="AI870">
        <v>1</v>
      </c>
      <c r="AJ870">
        <v>550</v>
      </c>
      <c r="AK870">
        <v>8</v>
      </c>
      <c r="AL870">
        <v>0</v>
      </c>
      <c r="AM870">
        <v>1</v>
      </c>
      <c r="AN870">
        <v>0</v>
      </c>
      <c r="AO870">
        <v>-4</v>
      </c>
      <c r="AP870">
        <v>7.3333333333333339</v>
      </c>
      <c r="AQ870">
        <v>856.4</v>
      </c>
      <c r="AT870">
        <v>1030.44</v>
      </c>
      <c r="AU870">
        <v>8.5865899999999993</v>
      </c>
      <c r="AX870" t="s">
        <v>108</v>
      </c>
    </row>
    <row r="871" spans="1:50" x14ac:dyDescent="0.45">
      <c r="A871">
        <v>10870</v>
      </c>
      <c r="B871">
        <v>1</v>
      </c>
      <c r="C871">
        <v>85.9</v>
      </c>
      <c r="D871">
        <v>6</v>
      </c>
      <c r="E871">
        <v>0</v>
      </c>
      <c r="F871">
        <v>0</v>
      </c>
      <c r="G871">
        <v>0</v>
      </c>
      <c r="H871">
        <v>0</v>
      </c>
      <c r="I871">
        <v>0</v>
      </c>
      <c r="J871">
        <v>4</v>
      </c>
      <c r="K871">
        <v>0</v>
      </c>
      <c r="L871">
        <v>2</v>
      </c>
      <c r="M871">
        <v>2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Y871">
        <v>1</v>
      </c>
      <c r="Z871">
        <v>0</v>
      </c>
      <c r="AA871">
        <v>0</v>
      </c>
      <c r="AB871">
        <v>0</v>
      </c>
      <c r="AC871">
        <v>1</v>
      </c>
      <c r="AD871">
        <v>1030</v>
      </c>
      <c r="AE871">
        <v>1</v>
      </c>
      <c r="AF871">
        <v>0</v>
      </c>
      <c r="AG871">
        <v>1</v>
      </c>
      <c r="AH871">
        <v>0</v>
      </c>
      <c r="AI871">
        <v>1</v>
      </c>
      <c r="AJ871">
        <v>600</v>
      </c>
      <c r="AK871">
        <v>8</v>
      </c>
      <c r="AL871">
        <v>0</v>
      </c>
      <c r="AM871">
        <v>1</v>
      </c>
      <c r="AN871">
        <v>0</v>
      </c>
      <c r="AO871">
        <v>-4</v>
      </c>
      <c r="AP871">
        <v>7.3333333333333339</v>
      </c>
      <c r="AQ871">
        <v>856.4</v>
      </c>
      <c r="AT871">
        <v>1043.4000000000001</v>
      </c>
      <c r="AU871">
        <v>7.7517899999999997</v>
      </c>
      <c r="AX871" t="s">
        <v>108</v>
      </c>
    </row>
    <row r="872" spans="1:50" x14ac:dyDescent="0.45">
      <c r="A872">
        <v>10871</v>
      </c>
      <c r="B872">
        <v>1</v>
      </c>
      <c r="C872">
        <v>85.9</v>
      </c>
      <c r="D872">
        <v>6</v>
      </c>
      <c r="E872">
        <v>0</v>
      </c>
      <c r="F872">
        <v>0</v>
      </c>
      <c r="G872">
        <v>0</v>
      </c>
      <c r="H872">
        <v>0</v>
      </c>
      <c r="I872">
        <v>0</v>
      </c>
      <c r="J872">
        <v>4</v>
      </c>
      <c r="K872">
        <v>0</v>
      </c>
      <c r="L872">
        <v>2</v>
      </c>
      <c r="M872">
        <v>2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Y872">
        <v>1</v>
      </c>
      <c r="Z872">
        <v>0</v>
      </c>
      <c r="AA872">
        <v>0</v>
      </c>
      <c r="AB872">
        <v>0</v>
      </c>
      <c r="AC872">
        <v>1</v>
      </c>
      <c r="AD872">
        <v>1030</v>
      </c>
      <c r="AE872">
        <v>1</v>
      </c>
      <c r="AF872">
        <v>0</v>
      </c>
      <c r="AG872">
        <v>1</v>
      </c>
      <c r="AH872">
        <v>0</v>
      </c>
      <c r="AI872">
        <v>1</v>
      </c>
      <c r="AJ872">
        <v>650</v>
      </c>
      <c r="AK872">
        <v>8</v>
      </c>
      <c r="AL872">
        <v>0</v>
      </c>
      <c r="AM872">
        <v>1</v>
      </c>
      <c r="AN872">
        <v>0</v>
      </c>
      <c r="AO872">
        <v>-4</v>
      </c>
      <c r="AP872">
        <v>7.3333333333333339</v>
      </c>
      <c r="AQ872">
        <v>856.4</v>
      </c>
      <c r="AT872">
        <v>1029.2</v>
      </c>
      <c r="AU872">
        <v>7.2576099999999997</v>
      </c>
      <c r="AX872" t="s">
        <v>108</v>
      </c>
    </row>
    <row r="873" spans="1:50" x14ac:dyDescent="0.45">
      <c r="A873">
        <v>10872</v>
      </c>
      <c r="B873">
        <v>0</v>
      </c>
      <c r="C873">
        <v>88.39</v>
      </c>
      <c r="D873">
        <v>6.9</v>
      </c>
      <c r="E873">
        <v>0</v>
      </c>
      <c r="F873">
        <v>0</v>
      </c>
      <c r="G873">
        <v>0</v>
      </c>
      <c r="H873">
        <v>0.03</v>
      </c>
      <c r="I873">
        <v>0</v>
      </c>
      <c r="J873">
        <v>1.6</v>
      </c>
      <c r="K873">
        <v>0</v>
      </c>
      <c r="L873">
        <v>3.08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Y873">
        <v>1</v>
      </c>
      <c r="Z873">
        <v>0</v>
      </c>
      <c r="AA873">
        <v>0</v>
      </c>
      <c r="AB873">
        <v>0</v>
      </c>
      <c r="AC873">
        <v>0</v>
      </c>
      <c r="AI873">
        <v>0</v>
      </c>
      <c r="AO873">
        <v>-3.7330000000000001</v>
      </c>
      <c r="AP873">
        <v>7.166666666666667</v>
      </c>
      <c r="AQ873">
        <v>855.72800000000007</v>
      </c>
      <c r="AX873" t="s">
        <v>192</v>
      </c>
    </row>
    <row r="874" spans="1:50" x14ac:dyDescent="0.45">
      <c r="A874">
        <v>10873</v>
      </c>
      <c r="B874">
        <v>0</v>
      </c>
      <c r="C874">
        <v>88.39</v>
      </c>
      <c r="D874">
        <v>6.9</v>
      </c>
      <c r="E874">
        <v>0</v>
      </c>
      <c r="F874">
        <v>0</v>
      </c>
      <c r="G874">
        <v>0</v>
      </c>
      <c r="H874">
        <v>0.03</v>
      </c>
      <c r="I874">
        <v>0</v>
      </c>
      <c r="J874">
        <v>1.6</v>
      </c>
      <c r="K874">
        <v>0</v>
      </c>
      <c r="L874">
        <v>3.08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Y874">
        <v>1</v>
      </c>
      <c r="Z874">
        <v>0</v>
      </c>
      <c r="AA874">
        <v>0</v>
      </c>
      <c r="AB874">
        <v>0</v>
      </c>
      <c r="AC874">
        <v>0</v>
      </c>
      <c r="AI874">
        <v>0</v>
      </c>
      <c r="AO874">
        <v>-3.7330000000000001</v>
      </c>
      <c r="AP874">
        <v>7.166666666666667</v>
      </c>
      <c r="AQ874">
        <v>855.72800000000007</v>
      </c>
      <c r="AX874" t="s">
        <v>192</v>
      </c>
    </row>
    <row r="875" spans="1:50" x14ac:dyDescent="0.45">
      <c r="A875">
        <v>10874</v>
      </c>
      <c r="B875">
        <v>0</v>
      </c>
      <c r="C875">
        <v>88.39</v>
      </c>
      <c r="D875">
        <v>6.9</v>
      </c>
      <c r="E875">
        <v>0</v>
      </c>
      <c r="F875">
        <v>0</v>
      </c>
      <c r="G875">
        <v>0</v>
      </c>
      <c r="H875">
        <v>0.03</v>
      </c>
      <c r="I875">
        <v>0</v>
      </c>
      <c r="J875">
        <v>1.6</v>
      </c>
      <c r="K875">
        <v>0</v>
      </c>
      <c r="L875">
        <v>3.08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Y875">
        <v>1</v>
      </c>
      <c r="Z875">
        <v>0</v>
      </c>
      <c r="AA875">
        <v>0</v>
      </c>
      <c r="AB875">
        <v>0</v>
      </c>
      <c r="AC875">
        <v>0</v>
      </c>
      <c r="AI875">
        <v>0</v>
      </c>
      <c r="AO875">
        <v>-3.7330000000000001</v>
      </c>
      <c r="AP875">
        <v>7.166666666666667</v>
      </c>
      <c r="AQ875">
        <v>855.72800000000007</v>
      </c>
      <c r="AX875" t="s">
        <v>192</v>
      </c>
    </row>
    <row r="876" spans="1:50" x14ac:dyDescent="0.45">
      <c r="A876">
        <v>10875</v>
      </c>
      <c r="B876">
        <v>1</v>
      </c>
      <c r="C876">
        <v>89.034999999999997</v>
      </c>
      <c r="D876">
        <v>6.2</v>
      </c>
      <c r="E876">
        <v>4.3</v>
      </c>
      <c r="F876">
        <v>0</v>
      </c>
      <c r="G876">
        <v>0</v>
      </c>
      <c r="H876">
        <v>0.16</v>
      </c>
      <c r="I876">
        <v>0</v>
      </c>
      <c r="J876">
        <v>0.02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1</v>
      </c>
      <c r="Y876">
        <v>0</v>
      </c>
      <c r="Z876">
        <v>1</v>
      </c>
      <c r="AA876">
        <v>0</v>
      </c>
      <c r="AB876">
        <v>0</v>
      </c>
      <c r="AC876">
        <v>1</v>
      </c>
      <c r="AD876">
        <v>870</v>
      </c>
      <c r="AE876">
        <v>1</v>
      </c>
      <c r="AF876">
        <v>1</v>
      </c>
      <c r="AG876">
        <v>0</v>
      </c>
      <c r="AH876">
        <v>0</v>
      </c>
      <c r="AI876">
        <v>1</v>
      </c>
      <c r="AJ876">
        <v>675</v>
      </c>
      <c r="AK876">
        <v>4</v>
      </c>
      <c r="AL876">
        <v>0</v>
      </c>
      <c r="AM876">
        <v>1</v>
      </c>
      <c r="AN876">
        <v>0</v>
      </c>
      <c r="AO876">
        <v>-2.855</v>
      </c>
      <c r="AP876">
        <v>6.2033333333333331</v>
      </c>
      <c r="AQ876">
        <v>841.67799999999988</v>
      </c>
      <c r="AS876">
        <v>900</v>
      </c>
      <c r="AT876">
        <v>965</v>
      </c>
      <c r="AU876">
        <v>17</v>
      </c>
      <c r="AX876" t="s">
        <v>193</v>
      </c>
    </row>
    <row r="877" spans="1:50" x14ac:dyDescent="0.45">
      <c r="A877">
        <v>10876</v>
      </c>
      <c r="B877">
        <v>1</v>
      </c>
      <c r="C877">
        <v>89.034999999999997</v>
      </c>
      <c r="D877">
        <v>6.2</v>
      </c>
      <c r="E877">
        <v>4.3</v>
      </c>
      <c r="F877">
        <v>0</v>
      </c>
      <c r="G877">
        <v>0</v>
      </c>
      <c r="H877">
        <v>0.16</v>
      </c>
      <c r="I877">
        <v>0</v>
      </c>
      <c r="J877">
        <v>0.02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1</v>
      </c>
      <c r="Y877">
        <v>0</v>
      </c>
      <c r="Z877">
        <v>0</v>
      </c>
      <c r="AA877">
        <v>0</v>
      </c>
      <c r="AB877">
        <v>1</v>
      </c>
      <c r="AC877">
        <v>0</v>
      </c>
      <c r="AI877">
        <v>1</v>
      </c>
      <c r="AJ877">
        <v>500</v>
      </c>
      <c r="AK877">
        <v>1</v>
      </c>
      <c r="AL877">
        <v>0</v>
      </c>
      <c r="AM877">
        <v>1</v>
      </c>
      <c r="AN877">
        <v>0</v>
      </c>
      <c r="AO877">
        <v>-2.855</v>
      </c>
      <c r="AP877">
        <v>6.2033333333333331</v>
      </c>
      <c r="AQ877">
        <v>841.67799999999988</v>
      </c>
      <c r="AS877">
        <v>1360</v>
      </c>
      <c r="AT877">
        <v>1435</v>
      </c>
      <c r="AU877">
        <v>9</v>
      </c>
      <c r="AX877" t="s">
        <v>193</v>
      </c>
    </row>
    <row r="878" spans="1:50" x14ac:dyDescent="0.45">
      <c r="A878">
        <v>10877</v>
      </c>
      <c r="B878">
        <v>1</v>
      </c>
      <c r="C878">
        <v>68.820000000000007</v>
      </c>
      <c r="D878">
        <v>9.93</v>
      </c>
      <c r="E878">
        <v>3.15</v>
      </c>
      <c r="F878">
        <v>0</v>
      </c>
      <c r="G878">
        <v>0</v>
      </c>
      <c r="H878">
        <v>0.48</v>
      </c>
      <c r="I878">
        <v>0</v>
      </c>
      <c r="J878">
        <v>17.62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1</v>
      </c>
      <c r="Y878">
        <v>0</v>
      </c>
      <c r="Z878">
        <v>1</v>
      </c>
      <c r="AA878">
        <v>0</v>
      </c>
      <c r="AB878">
        <v>0</v>
      </c>
      <c r="AC878">
        <v>1</v>
      </c>
      <c r="AD878">
        <f>AQ878</f>
        <v>736.71299999999997</v>
      </c>
      <c r="AF878">
        <v>0</v>
      </c>
      <c r="AG878">
        <v>1</v>
      </c>
      <c r="AH878">
        <v>0</v>
      </c>
      <c r="AI878">
        <v>0</v>
      </c>
      <c r="AO878">
        <v>-6.4275000000000002</v>
      </c>
      <c r="AP878">
        <v>12.866666666666667</v>
      </c>
      <c r="AQ878">
        <v>736.71299999999997</v>
      </c>
      <c r="AR878">
        <v>92</v>
      </c>
      <c r="AS878">
        <v>1299</v>
      </c>
      <c r="AX878" t="s">
        <v>60</v>
      </c>
    </row>
    <row r="879" spans="1:50" x14ac:dyDescent="0.45">
      <c r="A879">
        <v>10878</v>
      </c>
      <c r="B879">
        <v>1</v>
      </c>
      <c r="C879">
        <v>68.320000000000007</v>
      </c>
      <c r="D879">
        <v>9.93</v>
      </c>
      <c r="E879">
        <v>3.16</v>
      </c>
      <c r="F879">
        <v>0</v>
      </c>
      <c r="G879">
        <v>0</v>
      </c>
      <c r="H879">
        <v>0.96</v>
      </c>
      <c r="I879">
        <v>0</v>
      </c>
      <c r="J879">
        <v>17.630000000000003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1</v>
      </c>
      <c r="Y879">
        <v>0</v>
      </c>
      <c r="Z879">
        <v>1</v>
      </c>
      <c r="AA879">
        <v>0</v>
      </c>
      <c r="AB879">
        <v>0</v>
      </c>
      <c r="AC879">
        <v>1</v>
      </c>
      <c r="AD879">
        <f>AQ879</f>
        <v>729.1339999999999</v>
      </c>
      <c r="AF879">
        <v>0</v>
      </c>
      <c r="AG879">
        <v>1</v>
      </c>
      <c r="AH879">
        <v>0</v>
      </c>
      <c r="AI879">
        <v>0</v>
      </c>
      <c r="AO879">
        <v>-5.0287999999999995</v>
      </c>
      <c r="AP879">
        <v>12.868333333333334</v>
      </c>
      <c r="AQ879">
        <v>729.1339999999999</v>
      </c>
      <c r="AR879">
        <v>100</v>
      </c>
      <c r="AS879">
        <v>1421</v>
      </c>
      <c r="AX879" t="s">
        <v>60</v>
      </c>
    </row>
    <row r="880" spans="1:50" x14ac:dyDescent="0.45">
      <c r="A880">
        <v>10879</v>
      </c>
      <c r="B880">
        <v>1</v>
      </c>
      <c r="C880">
        <v>67.81</v>
      </c>
      <c r="D880">
        <v>9.94</v>
      </c>
      <c r="E880">
        <v>3.16</v>
      </c>
      <c r="F880">
        <v>0</v>
      </c>
      <c r="G880">
        <v>0</v>
      </c>
      <c r="H880">
        <v>1.44</v>
      </c>
      <c r="I880">
        <v>0</v>
      </c>
      <c r="J880">
        <v>17.64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1</v>
      </c>
      <c r="Y880">
        <v>0</v>
      </c>
      <c r="Z880">
        <v>1</v>
      </c>
      <c r="AA880">
        <v>0</v>
      </c>
      <c r="AB880">
        <v>0</v>
      </c>
      <c r="AC880">
        <v>1</v>
      </c>
      <c r="AD880">
        <f>AQ880</f>
        <v>721.69399999999996</v>
      </c>
      <c r="AF880">
        <v>0</v>
      </c>
      <c r="AG880">
        <v>1</v>
      </c>
      <c r="AH880">
        <v>0</v>
      </c>
      <c r="AI880">
        <v>0</v>
      </c>
      <c r="AO880">
        <v>-3.6467999999999989</v>
      </c>
      <c r="AP880">
        <v>12.879999999999999</v>
      </c>
      <c r="AQ880">
        <v>721.69399999999996</v>
      </c>
      <c r="AR880">
        <v>96</v>
      </c>
      <c r="AS880">
        <v>1553</v>
      </c>
      <c r="AX880" t="s">
        <v>60</v>
      </c>
    </row>
    <row r="881" spans="1:50" x14ac:dyDescent="0.45">
      <c r="A881">
        <v>10880</v>
      </c>
      <c r="B881">
        <v>1</v>
      </c>
      <c r="C881">
        <v>67.31</v>
      </c>
      <c r="D881">
        <v>9.9500000000000011</v>
      </c>
      <c r="E881">
        <v>3.16</v>
      </c>
      <c r="F881">
        <v>0</v>
      </c>
      <c r="G881">
        <v>0</v>
      </c>
      <c r="H881">
        <v>1.92</v>
      </c>
      <c r="I881">
        <v>0</v>
      </c>
      <c r="J881">
        <v>17.66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1</v>
      </c>
      <c r="Y881">
        <v>0</v>
      </c>
      <c r="Z881">
        <v>1</v>
      </c>
      <c r="AA881">
        <v>0</v>
      </c>
      <c r="AB881">
        <v>0</v>
      </c>
      <c r="AC881">
        <v>1</v>
      </c>
      <c r="AD881">
        <f>AQ881</f>
        <v>714.18499999999995</v>
      </c>
      <c r="AF881">
        <v>0</v>
      </c>
      <c r="AG881">
        <v>1</v>
      </c>
      <c r="AH881">
        <v>0</v>
      </c>
      <c r="AI881">
        <v>0</v>
      </c>
      <c r="AO881">
        <v>-2.264800000000001</v>
      </c>
      <c r="AP881">
        <v>12.893333333333334</v>
      </c>
      <c r="AQ881">
        <v>714.18499999999995</v>
      </c>
      <c r="AR881">
        <v>103</v>
      </c>
      <c r="AS881">
        <v>1399</v>
      </c>
      <c r="AX881" t="s">
        <v>60</v>
      </c>
    </row>
    <row r="882" spans="1:50" x14ac:dyDescent="0.45">
      <c r="A882">
        <v>10881</v>
      </c>
      <c r="B882">
        <v>1</v>
      </c>
      <c r="C882">
        <v>66.8</v>
      </c>
      <c r="D882">
        <v>9.9599999999999991</v>
      </c>
      <c r="E882">
        <v>3.16</v>
      </c>
      <c r="F882">
        <v>0</v>
      </c>
      <c r="G882">
        <v>0</v>
      </c>
      <c r="H882">
        <v>2.41</v>
      </c>
      <c r="I882">
        <v>0</v>
      </c>
      <c r="J882">
        <v>17.669999999999998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1</v>
      </c>
      <c r="Y882">
        <v>0</v>
      </c>
      <c r="Z882">
        <v>1</v>
      </c>
      <c r="AA882">
        <v>0</v>
      </c>
      <c r="AB882">
        <v>0</v>
      </c>
      <c r="AC882">
        <v>1</v>
      </c>
      <c r="AD882">
        <f>AQ882</f>
        <v>706.59100000000001</v>
      </c>
      <c r="AF882">
        <v>0</v>
      </c>
      <c r="AG882">
        <v>1</v>
      </c>
      <c r="AH882">
        <v>0</v>
      </c>
      <c r="AI882">
        <v>0</v>
      </c>
      <c r="AO882">
        <v>-0.85379999999999789</v>
      </c>
      <c r="AP882">
        <v>12.904999999999999</v>
      </c>
      <c r="AQ882">
        <v>706.59100000000001</v>
      </c>
      <c r="AR882">
        <v>79</v>
      </c>
      <c r="AS882">
        <v>1068</v>
      </c>
      <c r="AX882" t="s">
        <v>60</v>
      </c>
    </row>
    <row r="883" spans="1:50" x14ac:dyDescent="0.45">
      <c r="A883">
        <v>10882</v>
      </c>
      <c r="B883">
        <v>1</v>
      </c>
      <c r="C883">
        <v>84.68</v>
      </c>
      <c r="D883">
        <v>3.01</v>
      </c>
      <c r="E883">
        <v>0</v>
      </c>
      <c r="F883">
        <v>2.65</v>
      </c>
      <c r="G883">
        <v>0</v>
      </c>
      <c r="H883">
        <v>0</v>
      </c>
      <c r="I883">
        <v>0</v>
      </c>
      <c r="J883">
        <v>0</v>
      </c>
      <c r="K883">
        <v>2.8</v>
      </c>
      <c r="L883">
        <v>6.63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Y883">
        <v>1</v>
      </c>
      <c r="Z883">
        <v>0</v>
      </c>
      <c r="AA883">
        <v>0</v>
      </c>
      <c r="AB883">
        <v>0</v>
      </c>
      <c r="AC883">
        <v>1</v>
      </c>
      <c r="AD883">
        <v>880</v>
      </c>
      <c r="AE883">
        <v>0.5</v>
      </c>
      <c r="AF883">
        <v>1</v>
      </c>
      <c r="AG883">
        <v>0</v>
      </c>
      <c r="AH883">
        <v>0</v>
      </c>
      <c r="AI883">
        <v>0</v>
      </c>
      <c r="AO883">
        <v>8.6440000000000001</v>
      </c>
      <c r="AP883">
        <v>3.01</v>
      </c>
      <c r="AQ883">
        <v>793.27099999999996</v>
      </c>
      <c r="AS883">
        <v>687</v>
      </c>
      <c r="AT883">
        <v>903</v>
      </c>
      <c r="AU883">
        <v>24</v>
      </c>
      <c r="AX883" t="s">
        <v>108</v>
      </c>
    </row>
    <row r="884" spans="1:50" x14ac:dyDescent="0.45">
      <c r="A884">
        <v>10883</v>
      </c>
      <c r="B884">
        <v>1</v>
      </c>
      <c r="C884">
        <v>84.68</v>
      </c>
      <c r="D884">
        <v>3.01</v>
      </c>
      <c r="E884">
        <v>0</v>
      </c>
      <c r="F884">
        <v>2.65</v>
      </c>
      <c r="G884">
        <v>0</v>
      </c>
      <c r="H884">
        <v>0</v>
      </c>
      <c r="I884">
        <v>0</v>
      </c>
      <c r="J884">
        <v>0</v>
      </c>
      <c r="K884">
        <v>2.8</v>
      </c>
      <c r="L884">
        <v>6.63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Y884">
        <v>1</v>
      </c>
      <c r="Z884">
        <v>0</v>
      </c>
      <c r="AA884">
        <v>0</v>
      </c>
      <c r="AB884">
        <v>0</v>
      </c>
      <c r="AC884">
        <v>1</v>
      </c>
      <c r="AD884">
        <v>820</v>
      </c>
      <c r="AE884">
        <v>0.5</v>
      </c>
      <c r="AF884">
        <v>1</v>
      </c>
      <c r="AG884">
        <v>0</v>
      </c>
      <c r="AH884">
        <v>0</v>
      </c>
      <c r="AI884">
        <v>0</v>
      </c>
      <c r="AO884">
        <v>8.6440000000000001</v>
      </c>
      <c r="AP884">
        <v>3.01</v>
      </c>
      <c r="AQ884">
        <v>793.27099999999996</v>
      </c>
      <c r="AS884">
        <v>811</v>
      </c>
      <c r="AT884">
        <v>965</v>
      </c>
      <c r="AU884">
        <v>10.9</v>
      </c>
      <c r="AX884" t="s">
        <v>108</v>
      </c>
    </row>
    <row r="885" spans="1:50" x14ac:dyDescent="0.45">
      <c r="A885">
        <v>10884</v>
      </c>
      <c r="B885">
        <v>1</v>
      </c>
      <c r="C885">
        <v>84.68</v>
      </c>
      <c r="D885">
        <v>3.01</v>
      </c>
      <c r="E885">
        <v>0</v>
      </c>
      <c r="F885">
        <v>2.65</v>
      </c>
      <c r="G885">
        <v>0</v>
      </c>
      <c r="H885">
        <v>0</v>
      </c>
      <c r="I885">
        <v>0</v>
      </c>
      <c r="J885">
        <v>0</v>
      </c>
      <c r="K885">
        <v>2.8</v>
      </c>
      <c r="L885">
        <v>6.63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Y885">
        <v>1</v>
      </c>
      <c r="Z885">
        <v>0</v>
      </c>
      <c r="AA885">
        <v>0</v>
      </c>
      <c r="AB885">
        <v>0</v>
      </c>
      <c r="AC885">
        <v>1</v>
      </c>
      <c r="AD885">
        <v>880</v>
      </c>
      <c r="AE885">
        <v>0.5</v>
      </c>
      <c r="AF885">
        <v>1</v>
      </c>
      <c r="AG885">
        <v>0</v>
      </c>
      <c r="AH885">
        <v>0</v>
      </c>
      <c r="AI885">
        <v>1</v>
      </c>
      <c r="AJ885">
        <v>530</v>
      </c>
      <c r="AK885">
        <v>6</v>
      </c>
      <c r="AL885">
        <v>0</v>
      </c>
      <c r="AM885">
        <v>1</v>
      </c>
      <c r="AN885">
        <v>0</v>
      </c>
      <c r="AO885">
        <v>8.6440000000000001</v>
      </c>
      <c r="AP885">
        <v>3.01</v>
      </c>
      <c r="AQ885">
        <v>793.27099999999996</v>
      </c>
      <c r="AS885">
        <v>987</v>
      </c>
      <c r="AT885">
        <v>1311</v>
      </c>
      <c r="AU885">
        <v>2.1</v>
      </c>
      <c r="AX885" t="s">
        <v>108</v>
      </c>
    </row>
    <row r="886" spans="1:50" x14ac:dyDescent="0.45">
      <c r="A886">
        <v>10885</v>
      </c>
      <c r="B886">
        <v>1</v>
      </c>
      <c r="C886">
        <v>84.68</v>
      </c>
      <c r="D886">
        <v>3.01</v>
      </c>
      <c r="E886">
        <v>0</v>
      </c>
      <c r="F886">
        <v>2.65</v>
      </c>
      <c r="G886">
        <v>0</v>
      </c>
      <c r="H886">
        <v>0</v>
      </c>
      <c r="I886">
        <v>0</v>
      </c>
      <c r="J886">
        <v>0</v>
      </c>
      <c r="K886">
        <v>2.8</v>
      </c>
      <c r="L886">
        <v>6.63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Y886">
        <v>1</v>
      </c>
      <c r="Z886">
        <v>0</v>
      </c>
      <c r="AA886">
        <v>0</v>
      </c>
      <c r="AB886">
        <v>0</v>
      </c>
      <c r="AC886">
        <v>1</v>
      </c>
      <c r="AD886">
        <v>820</v>
      </c>
      <c r="AE886">
        <v>0.5</v>
      </c>
      <c r="AF886">
        <v>1</v>
      </c>
      <c r="AG886">
        <v>0</v>
      </c>
      <c r="AH886">
        <v>0</v>
      </c>
      <c r="AI886">
        <v>1</v>
      </c>
      <c r="AJ886">
        <v>530</v>
      </c>
      <c r="AK886">
        <v>6</v>
      </c>
      <c r="AL886">
        <v>0</v>
      </c>
      <c r="AM886">
        <v>1</v>
      </c>
      <c r="AN886">
        <v>0</v>
      </c>
      <c r="AO886">
        <v>8.6440000000000001</v>
      </c>
      <c r="AP886">
        <v>3.01</v>
      </c>
      <c r="AQ886">
        <v>793.27099999999996</v>
      </c>
      <c r="AS886">
        <v>963</v>
      </c>
      <c r="AT886">
        <v>1296</v>
      </c>
      <c r="AU886">
        <v>4.7</v>
      </c>
      <c r="AX886" t="s">
        <v>108</v>
      </c>
    </row>
    <row r="887" spans="1:50" x14ac:dyDescent="0.45">
      <c r="A887">
        <v>10886</v>
      </c>
      <c r="B887">
        <v>1</v>
      </c>
      <c r="C887">
        <v>82.19</v>
      </c>
      <c r="D887">
        <v>4.22</v>
      </c>
      <c r="E887">
        <v>0</v>
      </c>
      <c r="F887">
        <v>3.9</v>
      </c>
      <c r="G887">
        <v>0</v>
      </c>
      <c r="H887">
        <v>0</v>
      </c>
      <c r="I887">
        <v>0</v>
      </c>
      <c r="J887">
        <v>0</v>
      </c>
      <c r="K887">
        <v>2.86</v>
      </c>
      <c r="L887">
        <v>6.62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Y887">
        <v>1</v>
      </c>
      <c r="Z887">
        <v>0</v>
      </c>
      <c r="AA887">
        <v>0</v>
      </c>
      <c r="AB887">
        <v>0</v>
      </c>
      <c r="AC887">
        <v>1</v>
      </c>
      <c r="AD887">
        <v>890</v>
      </c>
      <c r="AE887">
        <v>0.5</v>
      </c>
      <c r="AF887">
        <v>1</v>
      </c>
      <c r="AG887">
        <v>0</v>
      </c>
      <c r="AH887">
        <v>0</v>
      </c>
      <c r="AI887">
        <v>0</v>
      </c>
      <c r="AO887">
        <v>9.4407999999999994</v>
      </c>
      <c r="AP887">
        <v>4.22</v>
      </c>
      <c r="AQ887">
        <v>780.78199999999993</v>
      </c>
      <c r="AS887">
        <v>726</v>
      </c>
      <c r="AT887">
        <v>893</v>
      </c>
      <c r="AU887">
        <v>19.5</v>
      </c>
      <c r="AX887" t="s">
        <v>108</v>
      </c>
    </row>
    <row r="888" spans="1:50" x14ac:dyDescent="0.45">
      <c r="A888">
        <v>10887</v>
      </c>
      <c r="B888">
        <v>1</v>
      </c>
      <c r="C888">
        <v>82.19</v>
      </c>
      <c r="D888">
        <v>4.22</v>
      </c>
      <c r="E888">
        <v>0</v>
      </c>
      <c r="F888">
        <v>3.9</v>
      </c>
      <c r="G888">
        <v>0</v>
      </c>
      <c r="H888">
        <v>0</v>
      </c>
      <c r="I888">
        <v>0</v>
      </c>
      <c r="J888">
        <v>0</v>
      </c>
      <c r="K888">
        <v>2.86</v>
      </c>
      <c r="L888">
        <v>6.62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Y888">
        <v>1</v>
      </c>
      <c r="Z888">
        <v>0</v>
      </c>
      <c r="AA888">
        <v>0</v>
      </c>
      <c r="AB888">
        <v>0</v>
      </c>
      <c r="AC888">
        <v>1</v>
      </c>
      <c r="AD888">
        <v>830</v>
      </c>
      <c r="AE888">
        <v>0.5</v>
      </c>
      <c r="AF888">
        <v>1</v>
      </c>
      <c r="AG888">
        <v>0</v>
      </c>
      <c r="AH888">
        <v>0</v>
      </c>
      <c r="AI888">
        <v>0</v>
      </c>
      <c r="AO888">
        <v>9.4407999999999994</v>
      </c>
      <c r="AP888">
        <v>4.22</v>
      </c>
      <c r="AQ888">
        <v>780.78199999999993</v>
      </c>
      <c r="AS888">
        <v>908</v>
      </c>
      <c r="AT888">
        <v>942</v>
      </c>
      <c r="AU888">
        <v>9.1</v>
      </c>
      <c r="AX888" t="s">
        <v>108</v>
      </c>
    </row>
    <row r="889" spans="1:50" x14ac:dyDescent="0.45">
      <c r="A889">
        <v>10888</v>
      </c>
      <c r="B889">
        <v>1</v>
      </c>
      <c r="C889">
        <v>82.19</v>
      </c>
      <c r="D889">
        <v>4.22</v>
      </c>
      <c r="E889">
        <v>0</v>
      </c>
      <c r="F889">
        <v>3.9</v>
      </c>
      <c r="G889">
        <v>0</v>
      </c>
      <c r="H889">
        <v>0</v>
      </c>
      <c r="I889">
        <v>0</v>
      </c>
      <c r="J889">
        <v>0</v>
      </c>
      <c r="K889">
        <v>2.86</v>
      </c>
      <c r="L889">
        <v>6.62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Y889">
        <v>1</v>
      </c>
      <c r="Z889">
        <v>0</v>
      </c>
      <c r="AA889">
        <v>0</v>
      </c>
      <c r="AB889">
        <v>0</v>
      </c>
      <c r="AC889">
        <v>1</v>
      </c>
      <c r="AD889">
        <v>890</v>
      </c>
      <c r="AE889">
        <v>0.5</v>
      </c>
      <c r="AF889">
        <v>1</v>
      </c>
      <c r="AG889">
        <v>0</v>
      </c>
      <c r="AH889">
        <v>0</v>
      </c>
      <c r="AI889">
        <v>1</v>
      </c>
      <c r="AJ889">
        <v>540</v>
      </c>
      <c r="AK889">
        <v>6</v>
      </c>
      <c r="AL889">
        <v>0</v>
      </c>
      <c r="AM889">
        <v>1</v>
      </c>
      <c r="AN889">
        <v>0</v>
      </c>
      <c r="AO889">
        <v>9.4407999999999994</v>
      </c>
      <c r="AP889">
        <v>4.22</v>
      </c>
      <c r="AQ889">
        <v>780.78199999999993</v>
      </c>
      <c r="AS889">
        <v>1058</v>
      </c>
      <c r="AT889">
        <v>1378</v>
      </c>
      <c r="AU889">
        <v>1.5</v>
      </c>
      <c r="AX889" t="s">
        <v>108</v>
      </c>
    </row>
    <row r="890" spans="1:50" x14ac:dyDescent="0.45">
      <c r="A890">
        <v>10889</v>
      </c>
      <c r="B890">
        <v>1</v>
      </c>
      <c r="C890">
        <v>82.19</v>
      </c>
      <c r="D890">
        <v>4.22</v>
      </c>
      <c r="E890">
        <v>0</v>
      </c>
      <c r="F890">
        <v>3.9</v>
      </c>
      <c r="G890">
        <v>0</v>
      </c>
      <c r="H890">
        <v>0</v>
      </c>
      <c r="I890">
        <v>0</v>
      </c>
      <c r="J890">
        <v>0</v>
      </c>
      <c r="K890">
        <v>2.86</v>
      </c>
      <c r="L890">
        <v>6.62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Y890">
        <v>1</v>
      </c>
      <c r="Z890">
        <v>0</v>
      </c>
      <c r="AA890">
        <v>0</v>
      </c>
      <c r="AB890">
        <v>0</v>
      </c>
      <c r="AC890">
        <v>1</v>
      </c>
      <c r="AD890">
        <v>830</v>
      </c>
      <c r="AE890">
        <v>0.5</v>
      </c>
      <c r="AF890">
        <v>1</v>
      </c>
      <c r="AG890">
        <v>0</v>
      </c>
      <c r="AH890">
        <v>0</v>
      </c>
      <c r="AI890">
        <v>1</v>
      </c>
      <c r="AJ890">
        <v>540</v>
      </c>
      <c r="AK890">
        <v>6</v>
      </c>
      <c r="AL890">
        <v>0</v>
      </c>
      <c r="AM890">
        <v>1</v>
      </c>
      <c r="AN890">
        <v>0</v>
      </c>
      <c r="AO890">
        <v>9.4407999999999994</v>
      </c>
      <c r="AP890">
        <v>4.22</v>
      </c>
      <c r="AQ890">
        <v>780.78199999999993</v>
      </c>
      <c r="AS890">
        <v>1094</v>
      </c>
      <c r="AT890">
        <v>1308</v>
      </c>
      <c r="AU890">
        <v>5.2</v>
      </c>
      <c r="AX890" t="s">
        <v>108</v>
      </c>
    </row>
    <row r="891" spans="1:50" x14ac:dyDescent="0.45">
      <c r="A891">
        <v>10890</v>
      </c>
      <c r="B891">
        <v>1</v>
      </c>
      <c r="C891">
        <v>88.21</v>
      </c>
      <c r="D891">
        <v>5.13</v>
      </c>
      <c r="E891">
        <v>3.03</v>
      </c>
      <c r="F891">
        <v>0.76</v>
      </c>
      <c r="G891">
        <v>0</v>
      </c>
      <c r="H891">
        <v>0</v>
      </c>
      <c r="I891">
        <v>0</v>
      </c>
      <c r="J891">
        <v>2.87</v>
      </c>
      <c r="K891">
        <v>0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1</v>
      </c>
      <c r="Y891">
        <v>0</v>
      </c>
      <c r="Z891">
        <v>1</v>
      </c>
      <c r="AA891">
        <v>0</v>
      </c>
      <c r="AB891">
        <v>0</v>
      </c>
      <c r="AC891">
        <v>1</v>
      </c>
      <c r="AD891">
        <v>700</v>
      </c>
      <c r="AE891">
        <v>1</v>
      </c>
      <c r="AF891">
        <v>0</v>
      </c>
      <c r="AG891">
        <v>1</v>
      </c>
      <c r="AH891">
        <v>0</v>
      </c>
      <c r="AI891">
        <v>0</v>
      </c>
      <c r="AO891">
        <v>-1.8838999999999997</v>
      </c>
      <c r="AP891">
        <v>5.6083333333333334</v>
      </c>
      <c r="AQ891">
        <v>828.02</v>
      </c>
      <c r="AS891">
        <v>847.19100000000003</v>
      </c>
      <c r="AT891">
        <v>878.65200000000004</v>
      </c>
      <c r="AU891">
        <v>17.7578</v>
      </c>
      <c r="AX891" t="s">
        <v>108</v>
      </c>
    </row>
    <row r="892" spans="1:50" x14ac:dyDescent="0.45">
      <c r="A892">
        <v>10891</v>
      </c>
      <c r="B892">
        <v>1</v>
      </c>
      <c r="C892">
        <v>88.21</v>
      </c>
      <c r="D892">
        <v>5.13</v>
      </c>
      <c r="E892">
        <v>3.03</v>
      </c>
      <c r="F892">
        <v>0.76</v>
      </c>
      <c r="G892">
        <v>0</v>
      </c>
      <c r="H892">
        <v>0</v>
      </c>
      <c r="I892">
        <v>0</v>
      </c>
      <c r="J892">
        <v>2.87</v>
      </c>
      <c r="K892">
        <v>0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1</v>
      </c>
      <c r="W892">
        <v>950</v>
      </c>
      <c r="Y892">
        <v>0</v>
      </c>
      <c r="Z892">
        <v>1</v>
      </c>
      <c r="AA892">
        <v>0</v>
      </c>
      <c r="AB892">
        <v>0</v>
      </c>
      <c r="AC892">
        <v>1</v>
      </c>
      <c r="AD892">
        <v>700</v>
      </c>
      <c r="AE892">
        <v>1</v>
      </c>
      <c r="AF892">
        <v>0</v>
      </c>
      <c r="AG892">
        <v>1</v>
      </c>
      <c r="AH892">
        <v>0</v>
      </c>
      <c r="AI892">
        <v>0</v>
      </c>
      <c r="AO892">
        <v>-1.8838999999999997</v>
      </c>
      <c r="AP892">
        <v>5.6083333333333334</v>
      </c>
      <c r="AQ892">
        <v>828.02</v>
      </c>
      <c r="AS892">
        <v>942.07500000000005</v>
      </c>
      <c r="AT892">
        <v>973.76400000000001</v>
      </c>
      <c r="AU892">
        <v>14.257300000000001</v>
      </c>
      <c r="AX892" t="s">
        <v>108</v>
      </c>
    </row>
    <row r="893" spans="1:50" x14ac:dyDescent="0.45">
      <c r="A893">
        <v>10892</v>
      </c>
      <c r="B893">
        <v>1</v>
      </c>
      <c r="C893">
        <v>88.21</v>
      </c>
      <c r="D893">
        <v>5.13</v>
      </c>
      <c r="E893">
        <v>3.03</v>
      </c>
      <c r="F893">
        <v>0.76</v>
      </c>
      <c r="G893">
        <v>0</v>
      </c>
      <c r="H893">
        <v>0</v>
      </c>
      <c r="I893">
        <v>0</v>
      </c>
      <c r="J893">
        <v>2.87</v>
      </c>
      <c r="K893">
        <v>0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1</v>
      </c>
      <c r="W893">
        <v>890</v>
      </c>
      <c r="Y893">
        <v>0</v>
      </c>
      <c r="Z893">
        <v>1</v>
      </c>
      <c r="AA893">
        <v>0</v>
      </c>
      <c r="AB893">
        <v>0</v>
      </c>
      <c r="AC893">
        <v>1</v>
      </c>
      <c r="AD893">
        <v>700</v>
      </c>
      <c r="AE893">
        <v>1</v>
      </c>
      <c r="AF893">
        <v>0</v>
      </c>
      <c r="AG893">
        <v>1</v>
      </c>
      <c r="AH893">
        <v>0</v>
      </c>
      <c r="AI893">
        <v>0</v>
      </c>
      <c r="AO893">
        <v>-1.8838999999999997</v>
      </c>
      <c r="AP893">
        <v>5.6083333333333334</v>
      </c>
      <c r="AQ893">
        <v>828.02</v>
      </c>
      <c r="AS893">
        <v>893.92100000000005</v>
      </c>
      <c r="AT893">
        <v>961.47699999999998</v>
      </c>
      <c r="AU893">
        <v>15.7849</v>
      </c>
      <c r="AX893" t="s">
        <v>108</v>
      </c>
    </row>
    <row r="894" spans="1:50" x14ac:dyDescent="0.45">
      <c r="A894">
        <v>10893</v>
      </c>
      <c r="B894">
        <v>1</v>
      </c>
      <c r="C894">
        <v>88.21</v>
      </c>
      <c r="D894">
        <v>5.13</v>
      </c>
      <c r="E894">
        <v>3.03</v>
      </c>
      <c r="F894">
        <v>0.76</v>
      </c>
      <c r="G894">
        <v>0</v>
      </c>
      <c r="H894">
        <v>0</v>
      </c>
      <c r="I894">
        <v>0</v>
      </c>
      <c r="J894">
        <v>2.87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1</v>
      </c>
      <c r="W894">
        <v>840</v>
      </c>
      <c r="Y894">
        <v>0</v>
      </c>
      <c r="Z894">
        <v>1</v>
      </c>
      <c r="AA894">
        <v>0</v>
      </c>
      <c r="AB894">
        <v>0</v>
      </c>
      <c r="AC894">
        <v>1</v>
      </c>
      <c r="AD894">
        <v>700</v>
      </c>
      <c r="AE894">
        <v>1</v>
      </c>
      <c r="AF894">
        <v>0</v>
      </c>
      <c r="AG894">
        <v>1</v>
      </c>
      <c r="AH894">
        <v>0</v>
      </c>
      <c r="AI894">
        <v>0</v>
      </c>
      <c r="AO894">
        <v>-1.8838999999999997</v>
      </c>
      <c r="AP894">
        <v>5.6083333333333334</v>
      </c>
      <c r="AQ894">
        <v>828.02</v>
      </c>
      <c r="AS894">
        <v>1007.72</v>
      </c>
      <c r="AT894">
        <v>1023.63</v>
      </c>
      <c r="AU894">
        <v>13.2879</v>
      </c>
      <c r="AX894" t="s">
        <v>108</v>
      </c>
    </row>
    <row r="895" spans="1:50" x14ac:dyDescent="0.45">
      <c r="A895">
        <v>10894</v>
      </c>
      <c r="B895">
        <v>1</v>
      </c>
      <c r="C895">
        <v>88.21</v>
      </c>
      <c r="D895">
        <v>5.13</v>
      </c>
      <c r="E895">
        <v>3.03</v>
      </c>
      <c r="F895">
        <v>0.76</v>
      </c>
      <c r="G895">
        <v>0</v>
      </c>
      <c r="H895">
        <v>0</v>
      </c>
      <c r="I895">
        <v>0</v>
      </c>
      <c r="J895">
        <v>2.87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1</v>
      </c>
      <c r="Y895">
        <v>0</v>
      </c>
      <c r="Z895">
        <v>1</v>
      </c>
      <c r="AA895">
        <v>0</v>
      </c>
      <c r="AB895">
        <v>0</v>
      </c>
      <c r="AC895">
        <v>1</v>
      </c>
      <c r="AD895">
        <v>800</v>
      </c>
      <c r="AE895">
        <v>1</v>
      </c>
      <c r="AF895">
        <v>0</v>
      </c>
      <c r="AG895">
        <v>1</v>
      </c>
      <c r="AH895">
        <v>0</v>
      </c>
      <c r="AI895">
        <v>0</v>
      </c>
      <c r="AO895">
        <v>-1.8838999999999997</v>
      </c>
      <c r="AP895">
        <v>5.6083333333333334</v>
      </c>
      <c r="AQ895">
        <v>828.02</v>
      </c>
      <c r="AS895">
        <v>820.22500000000002</v>
      </c>
      <c r="AT895">
        <v>862.92100000000005</v>
      </c>
      <c r="AU895">
        <v>19.103100000000001</v>
      </c>
      <c r="AX895" t="s">
        <v>108</v>
      </c>
    </row>
    <row r="896" spans="1:50" x14ac:dyDescent="0.45">
      <c r="A896">
        <v>10895</v>
      </c>
      <c r="B896">
        <v>1</v>
      </c>
      <c r="C896">
        <v>88.21</v>
      </c>
      <c r="D896">
        <v>5.13</v>
      </c>
      <c r="E896">
        <v>3.03</v>
      </c>
      <c r="F896">
        <v>0.76</v>
      </c>
      <c r="G896">
        <v>0</v>
      </c>
      <c r="H896">
        <v>0</v>
      </c>
      <c r="I896">
        <v>0</v>
      </c>
      <c r="J896">
        <v>2.87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1</v>
      </c>
      <c r="W896">
        <v>950</v>
      </c>
      <c r="Y896">
        <v>0</v>
      </c>
      <c r="Z896">
        <v>1</v>
      </c>
      <c r="AA896">
        <v>0</v>
      </c>
      <c r="AB896">
        <v>0</v>
      </c>
      <c r="AC896">
        <v>1</v>
      </c>
      <c r="AD896">
        <v>800</v>
      </c>
      <c r="AE896">
        <v>1</v>
      </c>
      <c r="AF896">
        <v>0</v>
      </c>
      <c r="AG896">
        <v>1</v>
      </c>
      <c r="AH896">
        <v>0</v>
      </c>
      <c r="AI896">
        <v>0</v>
      </c>
      <c r="AO896">
        <v>-1.8838999999999997</v>
      </c>
      <c r="AP896">
        <v>5.6083333333333334</v>
      </c>
      <c r="AQ896">
        <v>828.02</v>
      </c>
      <c r="AS896">
        <v>892.16399999999999</v>
      </c>
      <c r="AT896">
        <v>945.31299999999999</v>
      </c>
      <c r="AU896">
        <v>17.601400000000002</v>
      </c>
      <c r="AX896" t="s">
        <v>108</v>
      </c>
    </row>
    <row r="897" spans="1:50" x14ac:dyDescent="0.45">
      <c r="A897">
        <v>10896</v>
      </c>
      <c r="B897">
        <v>1</v>
      </c>
      <c r="C897">
        <v>88.21</v>
      </c>
      <c r="D897">
        <v>5.13</v>
      </c>
      <c r="E897">
        <v>3.03</v>
      </c>
      <c r="F897">
        <v>0.76</v>
      </c>
      <c r="G897">
        <v>0</v>
      </c>
      <c r="H897">
        <v>0</v>
      </c>
      <c r="I897">
        <v>0</v>
      </c>
      <c r="J897">
        <v>2.87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1</v>
      </c>
      <c r="W897">
        <v>890</v>
      </c>
      <c r="Y897">
        <v>0</v>
      </c>
      <c r="Z897">
        <v>1</v>
      </c>
      <c r="AA897">
        <v>0</v>
      </c>
      <c r="AB897">
        <v>0</v>
      </c>
      <c r="AC897">
        <v>1</v>
      </c>
      <c r="AD897">
        <v>800</v>
      </c>
      <c r="AE897">
        <v>1</v>
      </c>
      <c r="AF897">
        <v>0</v>
      </c>
      <c r="AG897">
        <v>1</v>
      </c>
      <c r="AH897">
        <v>0</v>
      </c>
      <c r="AI897">
        <v>0</v>
      </c>
      <c r="AO897">
        <v>-1.8838999999999997</v>
      </c>
      <c r="AP897">
        <v>5.6083333333333334</v>
      </c>
      <c r="AQ897">
        <v>828.02</v>
      </c>
      <c r="AS897">
        <v>771.59400000000005</v>
      </c>
      <c r="AT897">
        <v>880.61400000000003</v>
      </c>
      <c r="AU897">
        <v>18.973199999999999</v>
      </c>
      <c r="AX897" t="s">
        <v>108</v>
      </c>
    </row>
    <row r="898" spans="1:50" x14ac:dyDescent="0.45">
      <c r="A898">
        <v>10897</v>
      </c>
      <c r="B898">
        <v>1</v>
      </c>
      <c r="C898">
        <v>88.21</v>
      </c>
      <c r="D898">
        <v>5.13</v>
      </c>
      <c r="E898">
        <v>3.03</v>
      </c>
      <c r="F898">
        <v>0.76</v>
      </c>
      <c r="G898">
        <v>0</v>
      </c>
      <c r="H898">
        <v>0</v>
      </c>
      <c r="I898">
        <v>0</v>
      </c>
      <c r="J898">
        <v>2.87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1</v>
      </c>
      <c r="W898">
        <v>840</v>
      </c>
      <c r="Y898">
        <v>0</v>
      </c>
      <c r="Z898">
        <v>1</v>
      </c>
      <c r="AA898">
        <v>0</v>
      </c>
      <c r="AB898">
        <v>0</v>
      </c>
      <c r="AC898">
        <v>1</v>
      </c>
      <c r="AD898">
        <v>800</v>
      </c>
      <c r="AE898">
        <v>1</v>
      </c>
      <c r="AF898">
        <v>0</v>
      </c>
      <c r="AG898">
        <v>1</v>
      </c>
      <c r="AH898">
        <v>0</v>
      </c>
      <c r="AI898">
        <v>0</v>
      </c>
      <c r="AO898">
        <v>-1.8838999999999997</v>
      </c>
      <c r="AP898">
        <v>5.6083333333333334</v>
      </c>
      <c r="AQ898">
        <v>828.02</v>
      </c>
      <c r="AS898">
        <v>949.90099999999995</v>
      </c>
      <c r="AT898">
        <v>964.53</v>
      </c>
      <c r="AU898">
        <v>14.9915</v>
      </c>
      <c r="AX898" t="s">
        <v>108</v>
      </c>
    </row>
    <row r="899" spans="1:50" x14ac:dyDescent="0.45">
      <c r="A899">
        <v>10898</v>
      </c>
      <c r="B899">
        <v>1</v>
      </c>
      <c r="C899">
        <v>88.21</v>
      </c>
      <c r="D899">
        <v>5.13</v>
      </c>
      <c r="E899">
        <v>3.03</v>
      </c>
      <c r="F899">
        <v>0.76</v>
      </c>
      <c r="G899">
        <v>0</v>
      </c>
      <c r="H899">
        <v>0</v>
      </c>
      <c r="I899">
        <v>0</v>
      </c>
      <c r="J899">
        <v>2.87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1</v>
      </c>
      <c r="Y899">
        <v>0</v>
      </c>
      <c r="Z899">
        <v>1</v>
      </c>
      <c r="AA899">
        <v>0</v>
      </c>
      <c r="AB899">
        <v>0</v>
      </c>
      <c r="AC899">
        <v>1</v>
      </c>
      <c r="AD899">
        <v>900</v>
      </c>
      <c r="AE899">
        <v>1</v>
      </c>
      <c r="AF899">
        <v>0</v>
      </c>
      <c r="AG899">
        <v>1</v>
      </c>
      <c r="AH899">
        <v>0</v>
      </c>
      <c r="AI899">
        <v>0</v>
      </c>
      <c r="AO899">
        <v>-1.8838999999999997</v>
      </c>
      <c r="AP899">
        <v>5.6083333333333334</v>
      </c>
      <c r="AQ899">
        <v>828.02</v>
      </c>
      <c r="AS899">
        <v>786.51700000000005</v>
      </c>
      <c r="AT899">
        <v>856.18</v>
      </c>
      <c r="AU899">
        <v>19.372199999999999</v>
      </c>
      <c r="AX899" t="s">
        <v>108</v>
      </c>
    </row>
    <row r="900" spans="1:50" x14ac:dyDescent="0.45">
      <c r="A900">
        <v>10899</v>
      </c>
      <c r="B900">
        <v>1</v>
      </c>
      <c r="C900">
        <v>88.21</v>
      </c>
      <c r="D900">
        <v>5.13</v>
      </c>
      <c r="E900">
        <v>3.03</v>
      </c>
      <c r="F900">
        <v>0.76</v>
      </c>
      <c r="G900">
        <v>0</v>
      </c>
      <c r="H900">
        <v>0</v>
      </c>
      <c r="I900">
        <v>0</v>
      </c>
      <c r="J900">
        <v>2.87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1</v>
      </c>
      <c r="W900">
        <v>950</v>
      </c>
      <c r="Y900">
        <v>0</v>
      </c>
      <c r="Z900">
        <v>1</v>
      </c>
      <c r="AA900">
        <v>0</v>
      </c>
      <c r="AB900">
        <v>0</v>
      </c>
      <c r="AC900">
        <v>1</v>
      </c>
      <c r="AD900">
        <v>900</v>
      </c>
      <c r="AE900">
        <v>1</v>
      </c>
      <c r="AF900">
        <v>0</v>
      </c>
      <c r="AG900">
        <v>1</v>
      </c>
      <c r="AH900">
        <v>0</v>
      </c>
      <c r="AI900">
        <v>0</v>
      </c>
      <c r="AO900">
        <v>-1.8838999999999997</v>
      </c>
      <c r="AP900">
        <v>5.6083333333333334</v>
      </c>
      <c r="AQ900">
        <v>828.02</v>
      </c>
      <c r="AS900">
        <v>864.73</v>
      </c>
      <c r="AT900">
        <v>934.75099999999998</v>
      </c>
      <c r="AU900">
        <v>17.8843</v>
      </c>
      <c r="AX900" t="s">
        <v>108</v>
      </c>
    </row>
    <row r="901" spans="1:50" x14ac:dyDescent="0.45">
      <c r="A901">
        <v>10900</v>
      </c>
      <c r="B901">
        <v>1</v>
      </c>
      <c r="C901">
        <v>88.21</v>
      </c>
      <c r="D901">
        <v>5.13</v>
      </c>
      <c r="E901">
        <v>3.03</v>
      </c>
      <c r="F901">
        <v>0.76</v>
      </c>
      <c r="G901">
        <v>0</v>
      </c>
      <c r="H901">
        <v>0</v>
      </c>
      <c r="I901">
        <v>0</v>
      </c>
      <c r="J901">
        <v>2.87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1</v>
      </c>
      <c r="W901">
        <v>890</v>
      </c>
      <c r="Y901">
        <v>0</v>
      </c>
      <c r="Z901">
        <v>1</v>
      </c>
      <c r="AA901">
        <v>0</v>
      </c>
      <c r="AB901">
        <v>0</v>
      </c>
      <c r="AC901">
        <v>1</v>
      </c>
      <c r="AD901">
        <v>900</v>
      </c>
      <c r="AE901">
        <v>1</v>
      </c>
      <c r="AF901">
        <v>0</v>
      </c>
      <c r="AG901">
        <v>1</v>
      </c>
      <c r="AH901">
        <v>0</v>
      </c>
      <c r="AI901">
        <v>0</v>
      </c>
      <c r="AO901">
        <v>-1.8838999999999997</v>
      </c>
      <c r="AP901">
        <v>5.6083333333333334</v>
      </c>
      <c r="AQ901">
        <v>828.02</v>
      </c>
      <c r="AS901">
        <v>746.005</v>
      </c>
      <c r="AT901">
        <v>870.37199999999996</v>
      </c>
      <c r="AU901">
        <v>17.207699999999999</v>
      </c>
      <c r="AX901" t="s">
        <v>108</v>
      </c>
    </row>
    <row r="902" spans="1:50" x14ac:dyDescent="0.45">
      <c r="A902">
        <v>10901</v>
      </c>
      <c r="B902">
        <v>1</v>
      </c>
      <c r="C902">
        <v>88.21</v>
      </c>
      <c r="D902">
        <v>5.13</v>
      </c>
      <c r="E902">
        <v>3.03</v>
      </c>
      <c r="F902">
        <v>0.76</v>
      </c>
      <c r="G902">
        <v>0</v>
      </c>
      <c r="H902">
        <v>0</v>
      </c>
      <c r="I902">
        <v>0</v>
      </c>
      <c r="J902">
        <v>2.87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1</v>
      </c>
      <c r="W902">
        <v>840</v>
      </c>
      <c r="Y902">
        <v>0</v>
      </c>
      <c r="Z902">
        <v>1</v>
      </c>
      <c r="AA902">
        <v>0</v>
      </c>
      <c r="AB902">
        <v>0</v>
      </c>
      <c r="AC902">
        <v>1</v>
      </c>
      <c r="AD902">
        <v>900</v>
      </c>
      <c r="AE902">
        <v>1</v>
      </c>
      <c r="AF902">
        <v>0</v>
      </c>
      <c r="AG902">
        <v>1</v>
      </c>
      <c r="AH902">
        <v>0</v>
      </c>
      <c r="AI902">
        <v>0</v>
      </c>
      <c r="AO902">
        <v>-1.8838999999999997</v>
      </c>
      <c r="AP902">
        <v>5.6083333333333334</v>
      </c>
      <c r="AQ902">
        <v>828.02</v>
      </c>
      <c r="AS902">
        <v>935.35400000000004</v>
      </c>
      <c r="AT902">
        <v>969.71199999999999</v>
      </c>
      <c r="AU902">
        <v>15.3322</v>
      </c>
      <c r="AX902" t="s">
        <v>108</v>
      </c>
    </row>
    <row r="903" spans="1:50" x14ac:dyDescent="0.45">
      <c r="A903">
        <v>10902</v>
      </c>
      <c r="B903">
        <v>1</v>
      </c>
      <c r="C903">
        <v>88.21</v>
      </c>
      <c r="D903">
        <v>5.13</v>
      </c>
      <c r="E903">
        <v>3.03</v>
      </c>
      <c r="F903">
        <v>0.76</v>
      </c>
      <c r="G903">
        <v>0</v>
      </c>
      <c r="H903">
        <v>0</v>
      </c>
      <c r="I903">
        <v>0</v>
      </c>
      <c r="J903">
        <v>2.87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1</v>
      </c>
      <c r="Y903">
        <v>0</v>
      </c>
      <c r="Z903">
        <v>1</v>
      </c>
      <c r="AA903">
        <v>0</v>
      </c>
      <c r="AB903">
        <v>0</v>
      </c>
      <c r="AC903">
        <v>1</v>
      </c>
      <c r="AD903">
        <v>950</v>
      </c>
      <c r="AE903">
        <v>1</v>
      </c>
      <c r="AF903">
        <v>0</v>
      </c>
      <c r="AG903">
        <v>1</v>
      </c>
      <c r="AH903">
        <v>0</v>
      </c>
      <c r="AI903">
        <v>0</v>
      </c>
      <c r="AO903">
        <v>-1.8838999999999997</v>
      </c>
      <c r="AP903">
        <v>5.6083333333333334</v>
      </c>
      <c r="AQ903">
        <v>828.02</v>
      </c>
      <c r="AS903">
        <v>730.33699999999999</v>
      </c>
      <c r="AT903">
        <v>874.15700000000004</v>
      </c>
      <c r="AU903">
        <v>15.605399999999999</v>
      </c>
      <c r="AX903" t="s">
        <v>108</v>
      </c>
    </row>
    <row r="904" spans="1:50" x14ac:dyDescent="0.45">
      <c r="A904">
        <v>10903</v>
      </c>
      <c r="B904">
        <v>1</v>
      </c>
      <c r="C904">
        <v>88.21</v>
      </c>
      <c r="D904">
        <v>5.13</v>
      </c>
      <c r="E904">
        <v>3.03</v>
      </c>
      <c r="F904">
        <v>0.76</v>
      </c>
      <c r="G904">
        <v>0</v>
      </c>
      <c r="H904">
        <v>0</v>
      </c>
      <c r="I904">
        <v>0</v>
      </c>
      <c r="J904">
        <v>2.87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1</v>
      </c>
      <c r="W904">
        <v>840</v>
      </c>
      <c r="Y904">
        <v>0</v>
      </c>
      <c r="Z904">
        <v>1</v>
      </c>
      <c r="AA904">
        <v>0</v>
      </c>
      <c r="AB904">
        <v>0</v>
      </c>
      <c r="AC904">
        <v>1</v>
      </c>
      <c r="AD904">
        <v>950</v>
      </c>
      <c r="AE904">
        <v>1</v>
      </c>
      <c r="AF904">
        <v>0</v>
      </c>
      <c r="AG904">
        <v>1</v>
      </c>
      <c r="AH904">
        <v>0</v>
      </c>
      <c r="AI904">
        <v>0</v>
      </c>
      <c r="AO904">
        <v>-1.8838999999999997</v>
      </c>
      <c r="AP904">
        <v>5.6083333333333334</v>
      </c>
      <c r="AQ904">
        <v>828.02</v>
      </c>
      <c r="AS904">
        <v>833.26900000000001</v>
      </c>
      <c r="AT904">
        <v>912.81700000000001</v>
      </c>
      <c r="AU904">
        <v>13.1175</v>
      </c>
      <c r="AX904" t="s">
        <v>108</v>
      </c>
    </row>
    <row r="905" spans="1:50" x14ac:dyDescent="0.45">
      <c r="A905">
        <v>10904</v>
      </c>
      <c r="B905">
        <v>1</v>
      </c>
      <c r="C905">
        <v>87.57</v>
      </c>
      <c r="D905">
        <v>4.97</v>
      </c>
      <c r="E905">
        <v>3.11</v>
      </c>
      <c r="F905">
        <v>1.52</v>
      </c>
      <c r="G905">
        <v>0</v>
      </c>
      <c r="H905">
        <v>0</v>
      </c>
      <c r="I905">
        <v>0</v>
      </c>
      <c r="J905">
        <v>2.83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Y905">
        <v>1</v>
      </c>
      <c r="Z905">
        <v>0</v>
      </c>
      <c r="AA905">
        <v>0</v>
      </c>
      <c r="AB905">
        <v>0</v>
      </c>
      <c r="AC905">
        <v>1</v>
      </c>
      <c r="AD905">
        <v>700</v>
      </c>
      <c r="AE905">
        <v>1</v>
      </c>
      <c r="AF905">
        <v>0</v>
      </c>
      <c r="AG905">
        <v>1</v>
      </c>
      <c r="AH905">
        <v>0</v>
      </c>
      <c r="AI905">
        <v>0</v>
      </c>
      <c r="AO905">
        <v>-0.45429999999999904</v>
      </c>
      <c r="AP905">
        <v>5.4416666666666664</v>
      </c>
      <c r="AQ905">
        <v>817.81999999999994</v>
      </c>
      <c r="AS905">
        <v>865.71100000000001</v>
      </c>
      <c r="AT905">
        <v>901.26700000000005</v>
      </c>
      <c r="AU905">
        <v>18.482099999999999</v>
      </c>
      <c r="AX905" t="s">
        <v>108</v>
      </c>
    </row>
    <row r="906" spans="1:50" x14ac:dyDescent="0.45">
      <c r="A906">
        <v>10905</v>
      </c>
      <c r="B906">
        <v>1</v>
      </c>
      <c r="C906">
        <v>87.57</v>
      </c>
      <c r="D906">
        <v>4.97</v>
      </c>
      <c r="E906">
        <v>3.11</v>
      </c>
      <c r="F906">
        <v>1.52</v>
      </c>
      <c r="G906">
        <v>0</v>
      </c>
      <c r="H906">
        <v>0</v>
      </c>
      <c r="I906">
        <v>0</v>
      </c>
      <c r="J906">
        <v>2.83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Y906">
        <v>1</v>
      </c>
      <c r="Z906">
        <v>0</v>
      </c>
      <c r="AA906">
        <v>0</v>
      </c>
      <c r="AB906">
        <v>0</v>
      </c>
      <c r="AC906">
        <v>1</v>
      </c>
      <c r="AD906">
        <v>800</v>
      </c>
      <c r="AE906">
        <v>1</v>
      </c>
      <c r="AF906">
        <v>0</v>
      </c>
      <c r="AG906">
        <v>1</v>
      </c>
      <c r="AH906">
        <v>0</v>
      </c>
      <c r="AI906">
        <v>0</v>
      </c>
      <c r="AO906">
        <v>-0.45429999999999904</v>
      </c>
      <c r="AP906">
        <v>5.4416666666666664</v>
      </c>
      <c r="AQ906">
        <v>817.81999999999994</v>
      </c>
      <c r="AS906">
        <v>843.803</v>
      </c>
      <c r="AT906">
        <v>903.82600000000002</v>
      </c>
      <c r="AU906">
        <v>19.017900000000001</v>
      </c>
      <c r="AX906" t="s">
        <v>108</v>
      </c>
    </row>
    <row r="907" spans="1:50" x14ac:dyDescent="0.45">
      <c r="A907">
        <v>10906</v>
      </c>
      <c r="B907">
        <v>1</v>
      </c>
      <c r="C907">
        <v>87.57</v>
      </c>
      <c r="D907">
        <v>4.97</v>
      </c>
      <c r="E907">
        <v>3.11</v>
      </c>
      <c r="F907">
        <v>1.52</v>
      </c>
      <c r="G907">
        <v>0</v>
      </c>
      <c r="H907">
        <v>0</v>
      </c>
      <c r="I907">
        <v>0</v>
      </c>
      <c r="J907">
        <v>2.83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Y907">
        <v>1</v>
      </c>
      <c r="Z907">
        <v>0</v>
      </c>
      <c r="AA907">
        <v>0</v>
      </c>
      <c r="AB907">
        <v>0</v>
      </c>
      <c r="AC907">
        <v>1</v>
      </c>
      <c r="AD907">
        <v>900</v>
      </c>
      <c r="AE907">
        <v>1</v>
      </c>
      <c r="AF907">
        <v>0</v>
      </c>
      <c r="AG907">
        <v>1</v>
      </c>
      <c r="AH907">
        <v>0</v>
      </c>
      <c r="AI907">
        <v>0</v>
      </c>
      <c r="AO907">
        <v>-0.45429999999999904</v>
      </c>
      <c r="AP907">
        <v>5.4416666666666664</v>
      </c>
      <c r="AQ907">
        <v>817.81999999999994</v>
      </c>
      <c r="AS907">
        <v>806.33900000000006</v>
      </c>
      <c r="AT907">
        <v>893.01800000000003</v>
      </c>
      <c r="AU907">
        <v>18.75</v>
      </c>
      <c r="AX907" t="s">
        <v>108</v>
      </c>
    </row>
    <row r="908" spans="1:50" x14ac:dyDescent="0.45">
      <c r="A908">
        <v>10907</v>
      </c>
      <c r="B908">
        <v>1</v>
      </c>
      <c r="C908">
        <v>87.57</v>
      </c>
      <c r="D908">
        <v>4.97</v>
      </c>
      <c r="E908">
        <v>3.11</v>
      </c>
      <c r="F908">
        <v>1.52</v>
      </c>
      <c r="G908">
        <v>0</v>
      </c>
      <c r="H908">
        <v>0</v>
      </c>
      <c r="I908">
        <v>0</v>
      </c>
      <c r="J908">
        <v>2.83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Y908">
        <v>1</v>
      </c>
      <c r="Z908">
        <v>0</v>
      </c>
      <c r="AA908">
        <v>0</v>
      </c>
      <c r="AB908">
        <v>0</v>
      </c>
      <c r="AC908">
        <v>1</v>
      </c>
      <c r="AD908">
        <v>950</v>
      </c>
      <c r="AE908">
        <v>1</v>
      </c>
      <c r="AF908">
        <v>0</v>
      </c>
      <c r="AG908">
        <v>1</v>
      </c>
      <c r="AH908">
        <v>0</v>
      </c>
      <c r="AI908">
        <v>0</v>
      </c>
      <c r="AO908">
        <v>-0.45429999999999904</v>
      </c>
      <c r="AP908">
        <v>5.4416666666666664</v>
      </c>
      <c r="AQ908">
        <v>817.81999999999994</v>
      </c>
      <c r="AS908">
        <v>727.65</v>
      </c>
      <c r="AT908">
        <v>883.16399999999999</v>
      </c>
      <c r="AU908">
        <v>18.214300000000001</v>
      </c>
      <c r="AX908" t="s">
        <v>108</v>
      </c>
    </row>
    <row r="909" spans="1:50" x14ac:dyDescent="0.45">
      <c r="A909">
        <v>10908</v>
      </c>
      <c r="B909">
        <v>1</v>
      </c>
      <c r="C909">
        <v>84.62</v>
      </c>
      <c r="D909">
        <v>5.21</v>
      </c>
      <c r="E909">
        <v>0</v>
      </c>
      <c r="F909">
        <v>4.05</v>
      </c>
      <c r="G909">
        <v>0</v>
      </c>
      <c r="H909">
        <v>0</v>
      </c>
      <c r="I909">
        <v>0</v>
      </c>
      <c r="J909">
        <v>0</v>
      </c>
      <c r="K909">
        <v>0</v>
      </c>
      <c r="L909">
        <v>4.0599999999999996</v>
      </c>
      <c r="M909">
        <v>2.06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1</v>
      </c>
      <c r="W909">
        <v>908</v>
      </c>
      <c r="X909">
        <v>60</v>
      </c>
      <c r="Y909">
        <v>0</v>
      </c>
      <c r="Z909">
        <v>0</v>
      </c>
      <c r="AA909">
        <v>0</v>
      </c>
      <c r="AB909">
        <v>0</v>
      </c>
      <c r="AC909">
        <v>1</v>
      </c>
      <c r="AD909">
        <v>800</v>
      </c>
      <c r="AE909">
        <v>4</v>
      </c>
      <c r="AF909">
        <v>1</v>
      </c>
      <c r="AG909">
        <v>0</v>
      </c>
      <c r="AH909">
        <v>0</v>
      </c>
      <c r="AI909">
        <v>1</v>
      </c>
      <c r="AJ909">
        <v>640</v>
      </c>
      <c r="AK909">
        <v>8</v>
      </c>
      <c r="AL909">
        <v>0</v>
      </c>
      <c r="AM909">
        <v>1</v>
      </c>
      <c r="AN909">
        <v>0</v>
      </c>
      <c r="AO909">
        <v>5.3299999999999992</v>
      </c>
      <c r="AP909">
        <v>5.8966666666666665</v>
      </c>
      <c r="AQ909">
        <v>814.01800000000014</v>
      </c>
      <c r="AS909">
        <v>1184.5</v>
      </c>
      <c r="AT909">
        <v>1220</v>
      </c>
      <c r="AU909">
        <v>11.75</v>
      </c>
      <c r="AX909" t="s">
        <v>108</v>
      </c>
    </row>
    <row r="910" spans="1:50" x14ac:dyDescent="0.45">
      <c r="A910">
        <v>10909</v>
      </c>
      <c r="B910">
        <v>1</v>
      </c>
      <c r="C910">
        <v>84.62</v>
      </c>
      <c r="D910">
        <v>5.21</v>
      </c>
      <c r="E910">
        <v>0</v>
      </c>
      <c r="F910">
        <v>4.05</v>
      </c>
      <c r="G910">
        <v>0</v>
      </c>
      <c r="H910">
        <v>0</v>
      </c>
      <c r="I910">
        <v>0</v>
      </c>
      <c r="J910">
        <v>0</v>
      </c>
      <c r="K910">
        <v>0</v>
      </c>
      <c r="L910">
        <v>4.0599999999999996</v>
      </c>
      <c r="M910">
        <v>2.06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1</v>
      </c>
      <c r="W910">
        <v>918</v>
      </c>
      <c r="X910">
        <v>60</v>
      </c>
      <c r="Y910">
        <v>0</v>
      </c>
      <c r="Z910">
        <v>0</v>
      </c>
      <c r="AA910">
        <v>0</v>
      </c>
      <c r="AB910">
        <v>0</v>
      </c>
      <c r="AC910">
        <v>1</v>
      </c>
      <c r="AD910">
        <v>800</v>
      </c>
      <c r="AE910">
        <v>4</v>
      </c>
      <c r="AF910">
        <v>1</v>
      </c>
      <c r="AG910">
        <v>0</v>
      </c>
      <c r="AH910">
        <v>0</v>
      </c>
      <c r="AI910">
        <v>1</v>
      </c>
      <c r="AJ910">
        <v>640</v>
      </c>
      <c r="AK910">
        <v>8</v>
      </c>
      <c r="AL910">
        <v>0</v>
      </c>
      <c r="AM910">
        <v>1</v>
      </c>
      <c r="AN910">
        <v>0</v>
      </c>
      <c r="AO910">
        <v>5.3299999999999992</v>
      </c>
      <c r="AP910">
        <v>5.8966666666666665</v>
      </c>
      <c r="AQ910">
        <v>814.01800000000014</v>
      </c>
      <c r="AS910">
        <v>1176</v>
      </c>
      <c r="AT910">
        <v>1208</v>
      </c>
      <c r="AU910">
        <v>12.25</v>
      </c>
      <c r="AX910" t="s">
        <v>108</v>
      </c>
    </row>
    <row r="911" spans="1:50" x14ac:dyDescent="0.45">
      <c r="A911">
        <v>10910</v>
      </c>
      <c r="B911">
        <v>1</v>
      </c>
      <c r="C911">
        <v>84.62</v>
      </c>
      <c r="D911">
        <v>5.21</v>
      </c>
      <c r="E911">
        <v>0</v>
      </c>
      <c r="F911">
        <v>4.05</v>
      </c>
      <c r="G911">
        <v>0</v>
      </c>
      <c r="H911">
        <v>0</v>
      </c>
      <c r="I911">
        <v>0</v>
      </c>
      <c r="J911">
        <v>0</v>
      </c>
      <c r="K911">
        <v>0</v>
      </c>
      <c r="L911">
        <v>4.0599999999999996</v>
      </c>
      <c r="M911">
        <v>2.06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1</v>
      </c>
      <c r="W911">
        <v>928</v>
      </c>
      <c r="X911">
        <v>60</v>
      </c>
      <c r="Y911">
        <v>0</v>
      </c>
      <c r="Z911">
        <v>0</v>
      </c>
      <c r="AA911">
        <v>0</v>
      </c>
      <c r="AB911">
        <v>0</v>
      </c>
      <c r="AC911">
        <v>1</v>
      </c>
      <c r="AD911">
        <v>800</v>
      </c>
      <c r="AE911">
        <v>4</v>
      </c>
      <c r="AF911">
        <v>1</v>
      </c>
      <c r="AG911">
        <v>0</v>
      </c>
      <c r="AH911">
        <v>0</v>
      </c>
      <c r="AI911">
        <v>1</v>
      </c>
      <c r="AJ911">
        <v>640</v>
      </c>
      <c r="AK911">
        <v>8</v>
      </c>
      <c r="AL911">
        <v>0</v>
      </c>
      <c r="AM911">
        <v>1</v>
      </c>
      <c r="AN911">
        <v>0</v>
      </c>
      <c r="AO911">
        <v>5.3299999999999992</v>
      </c>
      <c r="AP911">
        <v>5.8966666666666665</v>
      </c>
      <c r="AQ911">
        <v>814.01800000000014</v>
      </c>
      <c r="AS911">
        <v>1224.5</v>
      </c>
      <c r="AT911">
        <v>1256.5</v>
      </c>
      <c r="AU911">
        <v>9.75</v>
      </c>
      <c r="AX911" t="s">
        <v>108</v>
      </c>
    </row>
    <row r="912" spans="1:50" x14ac:dyDescent="0.45">
      <c r="A912">
        <v>10911</v>
      </c>
      <c r="B912">
        <v>1</v>
      </c>
      <c r="C912">
        <v>84.62</v>
      </c>
      <c r="D912">
        <v>5.21</v>
      </c>
      <c r="E912">
        <v>0</v>
      </c>
      <c r="F912">
        <v>4.05</v>
      </c>
      <c r="G912">
        <v>0</v>
      </c>
      <c r="H912">
        <v>0</v>
      </c>
      <c r="I912">
        <v>0</v>
      </c>
      <c r="J912">
        <v>0</v>
      </c>
      <c r="K912">
        <v>0</v>
      </c>
      <c r="L912">
        <v>4.0599999999999996</v>
      </c>
      <c r="M912">
        <v>2.06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1</v>
      </c>
      <c r="W912">
        <v>918</v>
      </c>
      <c r="X912">
        <v>30</v>
      </c>
      <c r="Y912">
        <v>0</v>
      </c>
      <c r="Z912">
        <v>0</v>
      </c>
      <c r="AA912">
        <v>0</v>
      </c>
      <c r="AB912">
        <v>0</v>
      </c>
      <c r="AC912">
        <v>1</v>
      </c>
      <c r="AD912">
        <v>800</v>
      </c>
      <c r="AE912">
        <v>4</v>
      </c>
      <c r="AF912">
        <v>1</v>
      </c>
      <c r="AG912">
        <v>0</v>
      </c>
      <c r="AH912">
        <v>0</v>
      </c>
      <c r="AI912">
        <v>1</v>
      </c>
      <c r="AJ912">
        <v>640</v>
      </c>
      <c r="AK912">
        <v>8</v>
      </c>
      <c r="AL912">
        <v>0</v>
      </c>
      <c r="AM912">
        <v>1</v>
      </c>
      <c r="AN912">
        <v>0</v>
      </c>
      <c r="AO912">
        <v>5.3299999999999992</v>
      </c>
      <c r="AP912">
        <v>5.8966666666666665</v>
      </c>
      <c r="AQ912">
        <v>814.01800000000014</v>
      </c>
      <c r="AS912">
        <v>1178</v>
      </c>
      <c r="AT912">
        <v>1212.5</v>
      </c>
      <c r="AU912">
        <v>12.75</v>
      </c>
      <c r="AX912" t="s">
        <v>108</v>
      </c>
    </row>
    <row r="913" spans="1:50" x14ac:dyDescent="0.45">
      <c r="A913">
        <v>10912</v>
      </c>
      <c r="B913">
        <v>1</v>
      </c>
      <c r="C913">
        <v>84.62</v>
      </c>
      <c r="D913">
        <v>5.21</v>
      </c>
      <c r="E913">
        <v>0</v>
      </c>
      <c r="F913">
        <v>4.05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4.0599999999999996</v>
      </c>
      <c r="M913">
        <v>2.06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1</v>
      </c>
      <c r="W913">
        <v>918</v>
      </c>
      <c r="X913">
        <v>45</v>
      </c>
      <c r="Y913">
        <v>0</v>
      </c>
      <c r="Z913">
        <v>0</v>
      </c>
      <c r="AA913">
        <v>0</v>
      </c>
      <c r="AB913">
        <v>0</v>
      </c>
      <c r="AC913">
        <v>1</v>
      </c>
      <c r="AD913">
        <v>800</v>
      </c>
      <c r="AE913">
        <v>4</v>
      </c>
      <c r="AF913">
        <v>1</v>
      </c>
      <c r="AG913">
        <v>0</v>
      </c>
      <c r="AH913">
        <v>0</v>
      </c>
      <c r="AI913">
        <v>1</v>
      </c>
      <c r="AJ913">
        <v>640</v>
      </c>
      <c r="AK913">
        <v>8</v>
      </c>
      <c r="AL913">
        <v>0</v>
      </c>
      <c r="AM913">
        <v>1</v>
      </c>
      <c r="AN913">
        <v>0</v>
      </c>
      <c r="AO913">
        <v>5.3299999999999992</v>
      </c>
      <c r="AP913">
        <v>5.8966666666666665</v>
      </c>
      <c r="AQ913">
        <v>814.01800000000014</v>
      </c>
      <c r="AS913">
        <v>1226.5</v>
      </c>
      <c r="AT913">
        <v>1258</v>
      </c>
      <c r="AU913">
        <v>12</v>
      </c>
      <c r="AX913" t="s">
        <v>108</v>
      </c>
    </row>
    <row r="914" spans="1:50" x14ac:dyDescent="0.45">
      <c r="A914">
        <v>10913</v>
      </c>
      <c r="B914">
        <v>1</v>
      </c>
      <c r="C914">
        <v>84.62</v>
      </c>
      <c r="D914">
        <v>5.21</v>
      </c>
      <c r="E914">
        <v>0</v>
      </c>
      <c r="F914">
        <v>4.05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4.0599999999999996</v>
      </c>
      <c r="M914">
        <v>2.06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1</v>
      </c>
      <c r="W914">
        <v>918</v>
      </c>
      <c r="X914">
        <v>60</v>
      </c>
      <c r="Y914">
        <v>0</v>
      </c>
      <c r="Z914">
        <v>0</v>
      </c>
      <c r="AA914">
        <v>0</v>
      </c>
      <c r="AB914">
        <v>0</v>
      </c>
      <c r="AC914">
        <v>1</v>
      </c>
      <c r="AD914">
        <v>800</v>
      </c>
      <c r="AE914">
        <v>4</v>
      </c>
      <c r="AF914">
        <v>1</v>
      </c>
      <c r="AG914">
        <v>0</v>
      </c>
      <c r="AH914">
        <v>0</v>
      </c>
      <c r="AI914">
        <v>1</v>
      </c>
      <c r="AJ914">
        <v>620</v>
      </c>
      <c r="AK914">
        <v>8</v>
      </c>
      <c r="AL914">
        <v>0</v>
      </c>
      <c r="AM914">
        <v>1</v>
      </c>
      <c r="AN914">
        <v>0</v>
      </c>
      <c r="AO914">
        <v>5.3299999999999992</v>
      </c>
      <c r="AP914">
        <v>5.8966666666666665</v>
      </c>
      <c r="AQ914">
        <v>814.01800000000014</v>
      </c>
      <c r="AS914">
        <v>1259.5</v>
      </c>
      <c r="AT914">
        <v>1296.5</v>
      </c>
      <c r="AU914">
        <v>10.5</v>
      </c>
      <c r="AX914" t="s">
        <v>108</v>
      </c>
    </row>
    <row r="915" spans="1:50" x14ac:dyDescent="0.45">
      <c r="A915">
        <v>10914</v>
      </c>
      <c r="B915">
        <v>1</v>
      </c>
      <c r="C915">
        <v>84.62</v>
      </c>
      <c r="D915">
        <v>5.21</v>
      </c>
      <c r="E915">
        <v>0</v>
      </c>
      <c r="F915">
        <v>4.05</v>
      </c>
      <c r="G915">
        <v>0</v>
      </c>
      <c r="H915">
        <v>0</v>
      </c>
      <c r="I915">
        <v>0</v>
      </c>
      <c r="J915">
        <v>0</v>
      </c>
      <c r="K915">
        <v>0</v>
      </c>
      <c r="L915">
        <v>4.0599999999999996</v>
      </c>
      <c r="M915">
        <v>2.06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1</v>
      </c>
      <c r="W915">
        <v>918</v>
      </c>
      <c r="X915">
        <v>60</v>
      </c>
      <c r="Y915">
        <v>0</v>
      </c>
      <c r="Z915">
        <v>0</v>
      </c>
      <c r="AA915">
        <v>0</v>
      </c>
      <c r="AB915">
        <v>0</v>
      </c>
      <c r="AC915">
        <v>1</v>
      </c>
      <c r="AD915">
        <v>800</v>
      </c>
      <c r="AE915">
        <v>4</v>
      </c>
      <c r="AF915">
        <v>1</v>
      </c>
      <c r="AG915">
        <v>0</v>
      </c>
      <c r="AH915">
        <v>0</v>
      </c>
      <c r="AI915">
        <v>1</v>
      </c>
      <c r="AJ915">
        <v>680</v>
      </c>
      <c r="AK915">
        <v>8</v>
      </c>
      <c r="AL915">
        <v>0</v>
      </c>
      <c r="AM915">
        <v>1</v>
      </c>
      <c r="AN915">
        <v>0</v>
      </c>
      <c r="AO915">
        <v>5.3299999999999992</v>
      </c>
      <c r="AP915">
        <v>5.8966666666666665</v>
      </c>
      <c r="AQ915">
        <v>814.01800000000014</v>
      </c>
      <c r="AS915">
        <v>1151.5</v>
      </c>
      <c r="AT915">
        <v>1176</v>
      </c>
      <c r="AU915">
        <v>15</v>
      </c>
      <c r="AX915" t="s">
        <v>108</v>
      </c>
    </row>
    <row r="916" spans="1:50" x14ac:dyDescent="0.45">
      <c r="A916">
        <v>10915</v>
      </c>
      <c r="B916">
        <v>1</v>
      </c>
      <c r="C916">
        <v>91.5</v>
      </c>
      <c r="D916">
        <v>4</v>
      </c>
      <c r="E916">
        <v>2</v>
      </c>
      <c r="F916">
        <v>0</v>
      </c>
      <c r="G916">
        <v>0</v>
      </c>
      <c r="H916">
        <v>1</v>
      </c>
      <c r="I916">
        <v>0</v>
      </c>
      <c r="J916">
        <v>0</v>
      </c>
      <c r="K916">
        <v>0</v>
      </c>
      <c r="L916">
        <v>1.5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Y916">
        <v>1</v>
      </c>
      <c r="Z916">
        <v>0</v>
      </c>
      <c r="AA916">
        <v>0</v>
      </c>
      <c r="AB916">
        <v>0</v>
      </c>
      <c r="AC916">
        <v>1</v>
      </c>
      <c r="AD916">
        <v>750</v>
      </c>
      <c r="AE916">
        <v>3</v>
      </c>
      <c r="AF916">
        <v>0</v>
      </c>
      <c r="AG916">
        <v>1</v>
      </c>
      <c r="AH916">
        <v>0</v>
      </c>
      <c r="AI916">
        <v>0</v>
      </c>
      <c r="AO916">
        <v>1.7400000000000002</v>
      </c>
      <c r="AP916">
        <v>4</v>
      </c>
      <c r="AQ916">
        <v>837.15</v>
      </c>
      <c r="AS916">
        <v>864</v>
      </c>
      <c r="AT916">
        <v>927</v>
      </c>
      <c r="AU916">
        <v>20</v>
      </c>
      <c r="AX916" t="s">
        <v>108</v>
      </c>
    </row>
    <row r="917" spans="1:50" x14ac:dyDescent="0.45">
      <c r="A917">
        <v>10916</v>
      </c>
      <c r="B917">
        <v>1</v>
      </c>
      <c r="C917">
        <v>91.5</v>
      </c>
      <c r="D917">
        <v>4</v>
      </c>
      <c r="E917">
        <v>2</v>
      </c>
      <c r="F917">
        <v>0</v>
      </c>
      <c r="G917">
        <v>0</v>
      </c>
      <c r="H917">
        <v>1</v>
      </c>
      <c r="I917">
        <v>0</v>
      </c>
      <c r="J917">
        <v>0</v>
      </c>
      <c r="K917">
        <v>0</v>
      </c>
      <c r="L917">
        <v>1.5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Y917">
        <v>1</v>
      </c>
      <c r="Z917">
        <v>0</v>
      </c>
      <c r="AA917">
        <v>0</v>
      </c>
      <c r="AB917">
        <v>0</v>
      </c>
      <c r="AC917">
        <v>1</v>
      </c>
      <c r="AD917">
        <v>800</v>
      </c>
      <c r="AE917">
        <v>3</v>
      </c>
      <c r="AF917">
        <v>0</v>
      </c>
      <c r="AG917">
        <v>1</v>
      </c>
      <c r="AH917">
        <v>0</v>
      </c>
      <c r="AI917">
        <v>0</v>
      </c>
      <c r="AO917">
        <v>1.7400000000000002</v>
      </c>
      <c r="AP917">
        <v>4</v>
      </c>
      <c r="AQ917">
        <v>837.15</v>
      </c>
      <c r="AS917">
        <v>896</v>
      </c>
      <c r="AT917">
        <v>971</v>
      </c>
      <c r="AU917">
        <v>19</v>
      </c>
      <c r="AX917" t="s">
        <v>108</v>
      </c>
    </row>
    <row r="918" spans="1:50" x14ac:dyDescent="0.45">
      <c r="A918">
        <v>10917</v>
      </c>
      <c r="B918">
        <v>1</v>
      </c>
      <c r="C918">
        <v>91.5</v>
      </c>
      <c r="D918">
        <v>4</v>
      </c>
      <c r="E918">
        <v>2</v>
      </c>
      <c r="F918">
        <v>0</v>
      </c>
      <c r="G918">
        <v>0</v>
      </c>
      <c r="H918">
        <v>1</v>
      </c>
      <c r="I918">
        <v>0</v>
      </c>
      <c r="J918">
        <v>0</v>
      </c>
      <c r="K918">
        <v>0</v>
      </c>
      <c r="L918">
        <v>1.5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Y918">
        <v>1</v>
      </c>
      <c r="Z918">
        <v>0</v>
      </c>
      <c r="AA918">
        <v>0</v>
      </c>
      <c r="AB918">
        <v>0</v>
      </c>
      <c r="AC918">
        <v>1</v>
      </c>
      <c r="AD918">
        <v>850</v>
      </c>
      <c r="AE918">
        <v>3</v>
      </c>
      <c r="AF918">
        <v>0</v>
      </c>
      <c r="AG918">
        <v>1</v>
      </c>
      <c r="AH918">
        <v>0</v>
      </c>
      <c r="AI918">
        <v>0</v>
      </c>
      <c r="AO918">
        <v>1.7400000000000002</v>
      </c>
      <c r="AP918">
        <v>4</v>
      </c>
      <c r="AQ918">
        <v>837.15</v>
      </c>
      <c r="AS918">
        <v>902</v>
      </c>
      <c r="AT918">
        <v>991</v>
      </c>
      <c r="AU918">
        <v>19.399999999999999</v>
      </c>
      <c r="AX918" t="s">
        <v>108</v>
      </c>
    </row>
    <row r="919" spans="1:50" x14ac:dyDescent="0.45">
      <c r="A919">
        <v>10918</v>
      </c>
      <c r="B919">
        <v>1</v>
      </c>
      <c r="C919">
        <v>91.5</v>
      </c>
      <c r="D919">
        <v>4</v>
      </c>
      <c r="E919">
        <v>2</v>
      </c>
      <c r="F919">
        <v>0</v>
      </c>
      <c r="G919">
        <v>0</v>
      </c>
      <c r="H919">
        <v>1</v>
      </c>
      <c r="I919">
        <v>0</v>
      </c>
      <c r="J919">
        <v>0</v>
      </c>
      <c r="K919">
        <v>0</v>
      </c>
      <c r="L919">
        <v>1.5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Y919">
        <v>1</v>
      </c>
      <c r="Z919">
        <v>0</v>
      </c>
      <c r="AA919">
        <v>0</v>
      </c>
      <c r="AB919">
        <v>0</v>
      </c>
      <c r="AC919">
        <v>1</v>
      </c>
      <c r="AD919">
        <v>870</v>
      </c>
      <c r="AE919">
        <v>3</v>
      </c>
      <c r="AF919">
        <v>0</v>
      </c>
      <c r="AG919">
        <v>1</v>
      </c>
      <c r="AH919">
        <v>0</v>
      </c>
      <c r="AI919">
        <v>0</v>
      </c>
      <c r="AO919">
        <v>1.7400000000000002</v>
      </c>
      <c r="AP919">
        <v>4</v>
      </c>
      <c r="AQ919">
        <v>837.15</v>
      </c>
      <c r="AS919">
        <v>896</v>
      </c>
      <c r="AT919">
        <v>977</v>
      </c>
      <c r="AU919">
        <v>21</v>
      </c>
      <c r="AX919" t="s">
        <v>108</v>
      </c>
    </row>
    <row r="920" spans="1:50" x14ac:dyDescent="0.45">
      <c r="A920">
        <v>10919</v>
      </c>
      <c r="B920">
        <v>1</v>
      </c>
      <c r="C920">
        <v>91.5</v>
      </c>
      <c r="D920">
        <v>4</v>
      </c>
      <c r="E920">
        <v>2</v>
      </c>
      <c r="F920">
        <v>0</v>
      </c>
      <c r="G920">
        <v>0</v>
      </c>
      <c r="H920">
        <v>1</v>
      </c>
      <c r="I920">
        <v>0</v>
      </c>
      <c r="J920">
        <v>0</v>
      </c>
      <c r="K920">
        <v>0</v>
      </c>
      <c r="L920">
        <v>1.5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Y920">
        <v>1</v>
      </c>
      <c r="Z920">
        <v>0</v>
      </c>
      <c r="AA920">
        <v>0</v>
      </c>
      <c r="AB920">
        <v>0</v>
      </c>
      <c r="AC920">
        <v>1</v>
      </c>
      <c r="AD920">
        <v>900</v>
      </c>
      <c r="AE920">
        <v>3</v>
      </c>
      <c r="AF920">
        <v>0</v>
      </c>
      <c r="AG920">
        <v>1</v>
      </c>
      <c r="AH920">
        <v>0</v>
      </c>
      <c r="AI920">
        <v>0</v>
      </c>
      <c r="AO920">
        <v>1.7400000000000002</v>
      </c>
      <c r="AP920">
        <v>4</v>
      </c>
      <c r="AQ920">
        <v>837.15</v>
      </c>
      <c r="AS920">
        <v>897</v>
      </c>
      <c r="AT920">
        <v>998</v>
      </c>
      <c r="AU920">
        <v>11.1</v>
      </c>
      <c r="AX920" t="s">
        <v>108</v>
      </c>
    </row>
    <row r="921" spans="1:50" x14ac:dyDescent="0.45">
      <c r="A921">
        <v>10920</v>
      </c>
      <c r="B921">
        <v>1</v>
      </c>
      <c r="C921">
        <v>91.5</v>
      </c>
      <c r="D921">
        <v>4</v>
      </c>
      <c r="E921">
        <v>2</v>
      </c>
      <c r="F921">
        <v>0</v>
      </c>
      <c r="G921">
        <v>0</v>
      </c>
      <c r="H921">
        <v>1</v>
      </c>
      <c r="I921">
        <v>0</v>
      </c>
      <c r="J921">
        <v>0</v>
      </c>
      <c r="K921">
        <v>0</v>
      </c>
      <c r="L921">
        <v>1.5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Y921">
        <v>1</v>
      </c>
      <c r="Z921">
        <v>0</v>
      </c>
      <c r="AA921">
        <v>0</v>
      </c>
      <c r="AB921">
        <v>0</v>
      </c>
      <c r="AC921">
        <v>1</v>
      </c>
      <c r="AD921">
        <v>850</v>
      </c>
      <c r="AE921">
        <v>3</v>
      </c>
      <c r="AF921">
        <v>0</v>
      </c>
      <c r="AG921">
        <v>0</v>
      </c>
      <c r="AH921">
        <v>1</v>
      </c>
      <c r="AI921">
        <v>0</v>
      </c>
      <c r="AO921">
        <v>1.7400000000000002</v>
      </c>
      <c r="AP921">
        <v>4</v>
      </c>
      <c r="AQ921">
        <v>837.15</v>
      </c>
      <c r="AS921">
        <v>855</v>
      </c>
      <c r="AT921">
        <v>909</v>
      </c>
      <c r="AU921">
        <v>23</v>
      </c>
      <c r="AX921" t="s">
        <v>108</v>
      </c>
    </row>
    <row r="922" spans="1:50" x14ac:dyDescent="0.45">
      <c r="A922">
        <v>10921</v>
      </c>
      <c r="B922">
        <v>1</v>
      </c>
      <c r="C922">
        <v>91.5</v>
      </c>
      <c r="D922">
        <v>4</v>
      </c>
      <c r="E922">
        <v>2</v>
      </c>
      <c r="F922">
        <v>0</v>
      </c>
      <c r="G922">
        <v>0</v>
      </c>
      <c r="H922">
        <v>1</v>
      </c>
      <c r="I922">
        <v>0</v>
      </c>
      <c r="J922">
        <v>0</v>
      </c>
      <c r="K922">
        <v>0</v>
      </c>
      <c r="L922">
        <v>1.5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Y922">
        <v>1</v>
      </c>
      <c r="Z922">
        <v>0</v>
      </c>
      <c r="AA922">
        <v>0</v>
      </c>
      <c r="AB922">
        <v>0</v>
      </c>
      <c r="AC922">
        <v>1</v>
      </c>
      <c r="AD922">
        <v>870</v>
      </c>
      <c r="AE922">
        <v>3</v>
      </c>
      <c r="AF922">
        <v>0</v>
      </c>
      <c r="AG922">
        <v>0</v>
      </c>
      <c r="AH922">
        <v>1</v>
      </c>
      <c r="AI922">
        <v>0</v>
      </c>
      <c r="AO922">
        <v>1.7400000000000002</v>
      </c>
      <c r="AP922">
        <v>4</v>
      </c>
      <c r="AQ922">
        <v>837.15</v>
      </c>
      <c r="AS922">
        <v>849</v>
      </c>
      <c r="AT922">
        <v>911</v>
      </c>
      <c r="AU922">
        <v>23</v>
      </c>
      <c r="AX922" t="s">
        <v>108</v>
      </c>
    </row>
    <row r="923" spans="1:50" x14ac:dyDescent="0.45">
      <c r="A923">
        <v>10922</v>
      </c>
      <c r="B923">
        <v>1</v>
      </c>
      <c r="C923">
        <v>91.5</v>
      </c>
      <c r="D923">
        <v>4</v>
      </c>
      <c r="E923">
        <v>2</v>
      </c>
      <c r="F923">
        <v>0</v>
      </c>
      <c r="G923">
        <v>0</v>
      </c>
      <c r="H923">
        <v>1</v>
      </c>
      <c r="I923">
        <v>0</v>
      </c>
      <c r="J923">
        <v>0</v>
      </c>
      <c r="K923">
        <v>0</v>
      </c>
      <c r="L923">
        <v>1.5</v>
      </c>
      <c r="M923">
        <v>0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Y923">
        <v>1</v>
      </c>
      <c r="Z923">
        <v>0</v>
      </c>
      <c r="AA923">
        <v>0</v>
      </c>
      <c r="AB923">
        <v>0</v>
      </c>
      <c r="AC923">
        <v>1</v>
      </c>
      <c r="AD923">
        <v>980</v>
      </c>
      <c r="AE923">
        <v>3</v>
      </c>
      <c r="AF923">
        <v>0</v>
      </c>
      <c r="AG923">
        <v>0</v>
      </c>
      <c r="AH923">
        <v>1</v>
      </c>
      <c r="AI923">
        <v>0</v>
      </c>
      <c r="AO923">
        <v>1.7400000000000002</v>
      </c>
      <c r="AP923">
        <v>4</v>
      </c>
      <c r="AQ923">
        <v>837.15</v>
      </c>
      <c r="AS923">
        <v>819</v>
      </c>
      <c r="AT923">
        <v>906</v>
      </c>
      <c r="AU923">
        <v>10.5</v>
      </c>
      <c r="AX923" t="s">
        <v>108</v>
      </c>
    </row>
    <row r="924" spans="1:50" x14ac:dyDescent="0.45">
      <c r="A924">
        <v>10923</v>
      </c>
      <c r="B924">
        <v>1</v>
      </c>
      <c r="C924">
        <v>92.5</v>
      </c>
      <c r="D924">
        <v>4</v>
      </c>
      <c r="E924">
        <v>2</v>
      </c>
      <c r="F924">
        <v>0</v>
      </c>
      <c r="G924">
        <v>0</v>
      </c>
      <c r="H924">
        <v>1</v>
      </c>
      <c r="I924">
        <v>0</v>
      </c>
      <c r="J924">
        <v>0</v>
      </c>
      <c r="K924">
        <v>0</v>
      </c>
      <c r="L924">
        <v>0.5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Y924">
        <v>1</v>
      </c>
      <c r="Z924">
        <v>0</v>
      </c>
      <c r="AA924">
        <v>0</v>
      </c>
      <c r="AB924">
        <v>0</v>
      </c>
      <c r="AC924">
        <v>1</v>
      </c>
      <c r="AD924">
        <v>750</v>
      </c>
      <c r="AE924">
        <v>3</v>
      </c>
      <c r="AF924">
        <v>0</v>
      </c>
      <c r="AG924">
        <v>1</v>
      </c>
      <c r="AH924">
        <v>0</v>
      </c>
      <c r="AI924">
        <v>0</v>
      </c>
      <c r="AO924">
        <v>0.74000000000000021</v>
      </c>
      <c r="AP924">
        <v>4</v>
      </c>
      <c r="AQ924">
        <v>846.65</v>
      </c>
      <c r="AS924">
        <v>863.15599999999995</v>
      </c>
      <c r="AU924">
        <v>18.286000000000001</v>
      </c>
      <c r="AX924" t="s">
        <v>108</v>
      </c>
    </row>
    <row r="925" spans="1:50" x14ac:dyDescent="0.45">
      <c r="A925">
        <v>10924</v>
      </c>
      <c r="B925">
        <v>1</v>
      </c>
      <c r="C925">
        <v>92.5</v>
      </c>
      <c r="D925">
        <v>4</v>
      </c>
      <c r="E925">
        <v>2</v>
      </c>
      <c r="F925">
        <v>0</v>
      </c>
      <c r="G925">
        <v>0</v>
      </c>
      <c r="H925">
        <v>1</v>
      </c>
      <c r="I925">
        <v>0</v>
      </c>
      <c r="J925">
        <v>0</v>
      </c>
      <c r="K925">
        <v>0</v>
      </c>
      <c r="L925">
        <v>0.5</v>
      </c>
      <c r="M925">
        <v>0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Y925">
        <v>1</v>
      </c>
      <c r="Z925">
        <v>0</v>
      </c>
      <c r="AA925">
        <v>0</v>
      </c>
      <c r="AB925">
        <v>0</v>
      </c>
      <c r="AC925">
        <v>1</v>
      </c>
      <c r="AD925">
        <v>800</v>
      </c>
      <c r="AE925">
        <v>3</v>
      </c>
      <c r="AF925">
        <v>0</v>
      </c>
      <c r="AG925">
        <v>1</v>
      </c>
      <c r="AH925">
        <v>0</v>
      </c>
      <c r="AI925">
        <v>0</v>
      </c>
      <c r="AO925">
        <v>0.74000000000000021</v>
      </c>
      <c r="AP925">
        <v>4</v>
      </c>
      <c r="AQ925">
        <v>846.65</v>
      </c>
      <c r="AS925">
        <v>858.43299999999999</v>
      </c>
      <c r="AX925" t="s">
        <v>108</v>
      </c>
    </row>
    <row r="926" spans="1:50" x14ac:dyDescent="0.45">
      <c r="A926">
        <v>10925</v>
      </c>
      <c r="B926">
        <v>1</v>
      </c>
      <c r="C926">
        <v>92.5</v>
      </c>
      <c r="D926">
        <v>4</v>
      </c>
      <c r="E926">
        <v>2</v>
      </c>
      <c r="F926">
        <v>0</v>
      </c>
      <c r="G926">
        <v>0</v>
      </c>
      <c r="H926">
        <v>1</v>
      </c>
      <c r="I926">
        <v>0</v>
      </c>
      <c r="J926">
        <v>0</v>
      </c>
      <c r="K926">
        <v>0</v>
      </c>
      <c r="L926">
        <v>0.5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Y926">
        <v>1</v>
      </c>
      <c r="Z926">
        <v>0</v>
      </c>
      <c r="AA926">
        <v>0</v>
      </c>
      <c r="AB926">
        <v>0</v>
      </c>
      <c r="AC926">
        <v>1</v>
      </c>
      <c r="AD926">
        <v>850</v>
      </c>
      <c r="AE926">
        <v>3</v>
      </c>
      <c r="AF926">
        <v>0</v>
      </c>
      <c r="AG926">
        <v>1</v>
      </c>
      <c r="AH926">
        <v>0</v>
      </c>
      <c r="AI926">
        <v>0</v>
      </c>
      <c r="AO926">
        <v>0.74000000000000021</v>
      </c>
      <c r="AP926">
        <v>4</v>
      </c>
      <c r="AQ926">
        <v>846.65</v>
      </c>
      <c r="AS926">
        <v>845.18600000000004</v>
      </c>
      <c r="AX926" t="s">
        <v>108</v>
      </c>
    </row>
    <row r="927" spans="1:50" x14ac:dyDescent="0.45">
      <c r="A927">
        <v>10926</v>
      </c>
      <c r="B927">
        <v>1</v>
      </c>
      <c r="C927">
        <v>92</v>
      </c>
      <c r="D927">
        <v>4</v>
      </c>
      <c r="E927">
        <v>2</v>
      </c>
      <c r="F927">
        <v>0</v>
      </c>
      <c r="G927">
        <v>0</v>
      </c>
      <c r="H927">
        <v>1</v>
      </c>
      <c r="I927">
        <v>0</v>
      </c>
      <c r="J927">
        <v>0</v>
      </c>
      <c r="K927">
        <v>0</v>
      </c>
      <c r="L927">
        <v>1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Y927">
        <v>1</v>
      </c>
      <c r="Z927">
        <v>0</v>
      </c>
      <c r="AA927">
        <v>0</v>
      </c>
      <c r="AB927">
        <v>0</v>
      </c>
      <c r="AC927">
        <v>1</v>
      </c>
      <c r="AD927">
        <v>750</v>
      </c>
      <c r="AE927">
        <v>3</v>
      </c>
      <c r="AF927">
        <v>0</v>
      </c>
      <c r="AG927">
        <v>1</v>
      </c>
      <c r="AH927">
        <v>0</v>
      </c>
      <c r="AI927">
        <v>0</v>
      </c>
      <c r="AO927">
        <v>1.2400000000000002</v>
      </c>
      <c r="AP927">
        <v>4</v>
      </c>
      <c r="AQ927">
        <v>841.9</v>
      </c>
      <c r="AS927">
        <v>863.524</v>
      </c>
      <c r="AU927">
        <v>20.226099999999999</v>
      </c>
      <c r="AX927" t="s">
        <v>108</v>
      </c>
    </row>
    <row r="928" spans="1:50" x14ac:dyDescent="0.45">
      <c r="A928">
        <v>10927</v>
      </c>
      <c r="B928">
        <v>1</v>
      </c>
      <c r="C928">
        <v>92</v>
      </c>
      <c r="D928">
        <v>4</v>
      </c>
      <c r="E928">
        <v>2</v>
      </c>
      <c r="F928">
        <v>0</v>
      </c>
      <c r="G928">
        <v>0</v>
      </c>
      <c r="H928">
        <v>1</v>
      </c>
      <c r="I928">
        <v>0</v>
      </c>
      <c r="J928">
        <v>0</v>
      </c>
      <c r="K928">
        <v>0</v>
      </c>
      <c r="L928">
        <v>1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Y928">
        <v>1</v>
      </c>
      <c r="Z928">
        <v>0</v>
      </c>
      <c r="AA928">
        <v>0</v>
      </c>
      <c r="AB928">
        <v>0</v>
      </c>
      <c r="AC928">
        <v>1</v>
      </c>
      <c r="AD928">
        <v>800</v>
      </c>
      <c r="AE928">
        <v>3</v>
      </c>
      <c r="AF928">
        <v>0</v>
      </c>
      <c r="AG928">
        <v>1</v>
      </c>
      <c r="AH928">
        <v>0</v>
      </c>
      <c r="AI928">
        <v>0</v>
      </c>
      <c r="AO928">
        <v>1.2400000000000002</v>
      </c>
      <c r="AP928">
        <v>4</v>
      </c>
      <c r="AQ928">
        <v>841.9</v>
      </c>
      <c r="AS928">
        <v>872.68399999999997</v>
      </c>
      <c r="AX928" t="s">
        <v>108</v>
      </c>
    </row>
    <row r="929" spans="1:50" x14ac:dyDescent="0.45">
      <c r="A929">
        <v>10928</v>
      </c>
      <c r="B929">
        <v>1</v>
      </c>
      <c r="C929">
        <v>92</v>
      </c>
      <c r="D929">
        <v>4</v>
      </c>
      <c r="E929">
        <v>2</v>
      </c>
      <c r="F929">
        <v>0</v>
      </c>
      <c r="G929">
        <v>0</v>
      </c>
      <c r="H929">
        <v>1</v>
      </c>
      <c r="I929">
        <v>0</v>
      </c>
      <c r="J929">
        <v>0</v>
      </c>
      <c r="K929">
        <v>0</v>
      </c>
      <c r="L929">
        <v>1</v>
      </c>
      <c r="M929">
        <v>0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Y929">
        <v>1</v>
      </c>
      <c r="Z929">
        <v>0</v>
      </c>
      <c r="AA929">
        <v>0</v>
      </c>
      <c r="AB929">
        <v>0</v>
      </c>
      <c r="AC929">
        <v>1</v>
      </c>
      <c r="AD929">
        <v>850</v>
      </c>
      <c r="AE929">
        <v>3</v>
      </c>
      <c r="AF929">
        <v>0</v>
      </c>
      <c r="AG929">
        <v>1</v>
      </c>
      <c r="AH929">
        <v>0</v>
      </c>
      <c r="AI929">
        <v>0</v>
      </c>
      <c r="AO929">
        <v>1.2400000000000002</v>
      </c>
      <c r="AP929">
        <v>4</v>
      </c>
      <c r="AQ929">
        <v>841.9</v>
      </c>
      <c r="AS929">
        <v>862.91300000000001</v>
      </c>
      <c r="AX929" t="s">
        <v>108</v>
      </c>
    </row>
    <row r="930" spans="1:50" x14ac:dyDescent="0.45">
      <c r="A930">
        <v>10929</v>
      </c>
      <c r="B930">
        <v>1</v>
      </c>
      <c r="C930">
        <v>84.5</v>
      </c>
      <c r="D930">
        <v>0</v>
      </c>
      <c r="E930">
        <v>0</v>
      </c>
      <c r="F930">
        <v>0</v>
      </c>
      <c r="G930">
        <v>0</v>
      </c>
      <c r="H930">
        <v>0</v>
      </c>
      <c r="I930">
        <v>0</v>
      </c>
      <c r="J930">
        <v>0</v>
      </c>
      <c r="K930">
        <v>10</v>
      </c>
      <c r="L930">
        <v>2</v>
      </c>
      <c r="M930">
        <v>1</v>
      </c>
      <c r="N930">
        <v>0</v>
      </c>
      <c r="O930">
        <v>2.5</v>
      </c>
      <c r="P930">
        <v>0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Y930">
        <v>1</v>
      </c>
      <c r="Z930">
        <v>0</v>
      </c>
      <c r="AA930">
        <v>0</v>
      </c>
      <c r="AB930">
        <v>0</v>
      </c>
      <c r="AC930">
        <v>0</v>
      </c>
      <c r="AI930">
        <v>0</v>
      </c>
      <c r="AO930">
        <v>5.3500000000000005</v>
      </c>
      <c r="AP930">
        <v>0.33333333333333331</v>
      </c>
      <c r="AQ930">
        <v>867.2</v>
      </c>
      <c r="AR930">
        <v>76</v>
      </c>
    </row>
    <row r="931" spans="1:50" x14ac:dyDescent="0.45">
      <c r="A931">
        <v>10930</v>
      </c>
      <c r="B931">
        <v>1</v>
      </c>
      <c r="C931">
        <v>82.5</v>
      </c>
      <c r="D931">
        <v>0</v>
      </c>
      <c r="E931">
        <v>0</v>
      </c>
      <c r="F931">
        <v>0</v>
      </c>
      <c r="G931">
        <v>0</v>
      </c>
      <c r="H931">
        <v>0</v>
      </c>
      <c r="I931">
        <v>0</v>
      </c>
      <c r="J931">
        <v>0</v>
      </c>
      <c r="K931">
        <v>10.5</v>
      </c>
      <c r="L931">
        <v>3</v>
      </c>
      <c r="M931">
        <v>1</v>
      </c>
      <c r="N931">
        <v>0</v>
      </c>
      <c r="O931">
        <v>3</v>
      </c>
      <c r="P931">
        <v>0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Y931">
        <v>1</v>
      </c>
      <c r="Z931">
        <v>0</v>
      </c>
      <c r="AA931">
        <v>0</v>
      </c>
      <c r="AB931">
        <v>0</v>
      </c>
      <c r="AC931">
        <v>0</v>
      </c>
      <c r="AI931">
        <v>0</v>
      </c>
      <c r="AO931">
        <v>6.6000000000000005</v>
      </c>
      <c r="AP931">
        <v>0.33333333333333331</v>
      </c>
      <c r="AQ931">
        <v>857.7</v>
      </c>
      <c r="AR931">
        <v>73</v>
      </c>
    </row>
    <row r="932" spans="1:50" x14ac:dyDescent="0.45">
      <c r="A932">
        <v>10931</v>
      </c>
      <c r="B932">
        <v>1</v>
      </c>
      <c r="C932">
        <v>77.8</v>
      </c>
      <c r="D932">
        <v>0</v>
      </c>
      <c r="E932">
        <v>0</v>
      </c>
      <c r="F932">
        <v>0</v>
      </c>
      <c r="G932">
        <v>0</v>
      </c>
      <c r="H932">
        <v>0</v>
      </c>
      <c r="I932">
        <v>0</v>
      </c>
      <c r="J932">
        <v>2.8</v>
      </c>
      <c r="K932">
        <v>13.8</v>
      </c>
      <c r="L932">
        <v>0</v>
      </c>
      <c r="M932">
        <v>2.8</v>
      </c>
      <c r="N932">
        <v>0</v>
      </c>
      <c r="O932">
        <v>2.8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Y932">
        <v>1</v>
      </c>
      <c r="Z932">
        <v>0</v>
      </c>
      <c r="AA932">
        <v>0</v>
      </c>
      <c r="AB932">
        <v>0</v>
      </c>
      <c r="AC932">
        <v>0</v>
      </c>
      <c r="AI932">
        <v>0</v>
      </c>
      <c r="AO932">
        <v>4.4800000000000004</v>
      </c>
      <c r="AP932">
        <v>1.4</v>
      </c>
      <c r="AQ932">
        <v>874.43999999999994</v>
      </c>
      <c r="AR932">
        <v>47</v>
      </c>
    </row>
    <row r="933" spans="1:50" x14ac:dyDescent="0.45">
      <c r="A933">
        <v>10932</v>
      </c>
      <c r="B933">
        <v>1</v>
      </c>
      <c r="C933">
        <v>80.099999999999994</v>
      </c>
      <c r="D933">
        <v>0</v>
      </c>
      <c r="E933">
        <v>0</v>
      </c>
      <c r="F933">
        <v>0</v>
      </c>
      <c r="G933">
        <v>0</v>
      </c>
      <c r="H933">
        <v>0</v>
      </c>
      <c r="I933">
        <v>0</v>
      </c>
      <c r="J933">
        <v>1.3</v>
      </c>
      <c r="K933">
        <v>14.4</v>
      </c>
      <c r="L933">
        <v>0</v>
      </c>
      <c r="M933">
        <v>3.9</v>
      </c>
      <c r="N933">
        <v>0</v>
      </c>
      <c r="O933">
        <v>0.3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Y933">
        <v>1</v>
      </c>
      <c r="Z933">
        <v>0</v>
      </c>
      <c r="AA933">
        <v>0</v>
      </c>
      <c r="AB933">
        <v>0</v>
      </c>
      <c r="AC933">
        <v>0</v>
      </c>
      <c r="AI933">
        <v>0</v>
      </c>
      <c r="AO933">
        <v>4.0980000000000008</v>
      </c>
      <c r="AP933">
        <v>1.5166666666666666</v>
      </c>
      <c r="AQ933">
        <v>889.41</v>
      </c>
      <c r="AR933">
        <v>48.1</v>
      </c>
    </row>
    <row r="934" spans="1:50" x14ac:dyDescent="0.45">
      <c r="A934">
        <v>10933</v>
      </c>
      <c r="B934">
        <v>1</v>
      </c>
      <c r="C934">
        <v>77.8</v>
      </c>
      <c r="D934">
        <v>0</v>
      </c>
      <c r="E934">
        <v>0</v>
      </c>
      <c r="F934">
        <v>0</v>
      </c>
      <c r="G934">
        <v>0</v>
      </c>
      <c r="H934">
        <v>0</v>
      </c>
      <c r="I934">
        <v>0</v>
      </c>
      <c r="J934">
        <v>2.8</v>
      </c>
      <c r="K934">
        <v>13.9</v>
      </c>
      <c r="L934">
        <v>0</v>
      </c>
      <c r="M934">
        <v>2.8</v>
      </c>
      <c r="N934">
        <v>0</v>
      </c>
      <c r="O934">
        <v>2.8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Y934">
        <v>1</v>
      </c>
      <c r="Z934">
        <v>0</v>
      </c>
      <c r="AA934">
        <v>0</v>
      </c>
      <c r="AB934">
        <v>0</v>
      </c>
      <c r="AC934">
        <v>0</v>
      </c>
      <c r="AI934">
        <v>0</v>
      </c>
      <c r="AO934">
        <v>4.508</v>
      </c>
      <c r="AP934">
        <v>1.4</v>
      </c>
      <c r="AQ934">
        <v>874.43999999999994</v>
      </c>
      <c r="AR934">
        <v>47</v>
      </c>
    </row>
    <row r="935" spans="1:50" x14ac:dyDescent="0.45">
      <c r="A935">
        <v>10934</v>
      </c>
      <c r="B935">
        <v>1</v>
      </c>
      <c r="C935">
        <v>86.51</v>
      </c>
      <c r="D935">
        <v>6</v>
      </c>
      <c r="E935">
        <v>0</v>
      </c>
      <c r="F935">
        <v>0</v>
      </c>
      <c r="G935">
        <v>0</v>
      </c>
      <c r="H935">
        <v>0</v>
      </c>
      <c r="I935">
        <v>0</v>
      </c>
      <c r="J935">
        <v>3.6</v>
      </c>
      <c r="K935">
        <v>0</v>
      </c>
      <c r="L935">
        <v>0</v>
      </c>
      <c r="M935">
        <v>2.8</v>
      </c>
      <c r="N935">
        <v>0</v>
      </c>
      <c r="O935">
        <v>0.72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Y935">
        <v>1</v>
      </c>
      <c r="Z935">
        <v>0</v>
      </c>
      <c r="AA935">
        <v>0</v>
      </c>
      <c r="AB935">
        <v>0</v>
      </c>
      <c r="AC935">
        <v>1</v>
      </c>
      <c r="AD935">
        <v>950</v>
      </c>
      <c r="AE935">
        <v>1</v>
      </c>
      <c r="AF935">
        <v>1</v>
      </c>
      <c r="AG935">
        <v>0</v>
      </c>
      <c r="AH935">
        <v>0</v>
      </c>
      <c r="AI935">
        <v>1</v>
      </c>
      <c r="AJ935">
        <v>650</v>
      </c>
      <c r="AK935">
        <v>6</v>
      </c>
      <c r="AL935">
        <v>0</v>
      </c>
      <c r="AM935">
        <v>1</v>
      </c>
      <c r="AN935">
        <v>0</v>
      </c>
      <c r="AO935">
        <v>-5.8415999999999997</v>
      </c>
      <c r="AP935">
        <v>7.5333333333333332</v>
      </c>
      <c r="AQ935">
        <v>881.52</v>
      </c>
      <c r="AS935">
        <v>899</v>
      </c>
      <c r="AT935">
        <v>990</v>
      </c>
      <c r="AU935">
        <v>3.9</v>
      </c>
      <c r="AX935" t="s">
        <v>108</v>
      </c>
    </row>
    <row r="936" spans="1:50" x14ac:dyDescent="0.45">
      <c r="A936">
        <v>10935</v>
      </c>
      <c r="B936">
        <v>1</v>
      </c>
      <c r="C936">
        <v>86.86</v>
      </c>
      <c r="D936">
        <v>6</v>
      </c>
      <c r="E936">
        <v>0</v>
      </c>
      <c r="F936">
        <v>0</v>
      </c>
      <c r="G936">
        <v>0</v>
      </c>
      <c r="H936">
        <v>0</v>
      </c>
      <c r="I936">
        <v>0</v>
      </c>
      <c r="J936">
        <v>3.6</v>
      </c>
      <c r="K936">
        <v>0.37</v>
      </c>
      <c r="L936">
        <v>0</v>
      </c>
      <c r="M936">
        <v>2.8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Y936">
        <v>1</v>
      </c>
      <c r="Z936">
        <v>0</v>
      </c>
      <c r="AA936">
        <v>0</v>
      </c>
      <c r="AB936">
        <v>0</v>
      </c>
      <c r="AC936">
        <v>1</v>
      </c>
      <c r="AD936">
        <v>950</v>
      </c>
      <c r="AE936">
        <v>1</v>
      </c>
      <c r="AF936">
        <v>1</v>
      </c>
      <c r="AG936">
        <v>0</v>
      </c>
      <c r="AH936">
        <v>0</v>
      </c>
      <c r="AI936">
        <v>1</v>
      </c>
      <c r="AJ936">
        <v>650</v>
      </c>
      <c r="AK936">
        <v>6</v>
      </c>
      <c r="AL936">
        <v>0</v>
      </c>
      <c r="AM936">
        <v>1</v>
      </c>
      <c r="AN936">
        <v>0</v>
      </c>
      <c r="AO936">
        <v>-5.8963999999999999</v>
      </c>
      <c r="AP936">
        <v>7.5333333333333332</v>
      </c>
      <c r="AQ936">
        <v>881.52</v>
      </c>
      <c r="AS936">
        <v>898</v>
      </c>
      <c r="AT936">
        <v>990</v>
      </c>
      <c r="AU936">
        <v>4.0999999999999996</v>
      </c>
      <c r="AX936" t="s">
        <v>108</v>
      </c>
    </row>
    <row r="937" spans="1:50" x14ac:dyDescent="0.45">
      <c r="A937">
        <v>10936</v>
      </c>
      <c r="B937">
        <v>1</v>
      </c>
      <c r="C937">
        <v>67.33</v>
      </c>
      <c r="D937">
        <v>0</v>
      </c>
      <c r="E937">
        <v>0</v>
      </c>
      <c r="F937">
        <v>0</v>
      </c>
      <c r="G937">
        <v>0</v>
      </c>
      <c r="H937">
        <v>2.2599999999999998</v>
      </c>
      <c r="I937">
        <v>0</v>
      </c>
      <c r="J937">
        <v>4.8500000000000005</v>
      </c>
      <c r="K937">
        <v>23.810000000000002</v>
      </c>
      <c r="L937">
        <v>0</v>
      </c>
      <c r="M937">
        <v>0</v>
      </c>
      <c r="N937">
        <v>0</v>
      </c>
      <c r="O937">
        <v>1.7500000000000002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1</v>
      </c>
      <c r="Y937">
        <v>0</v>
      </c>
      <c r="Z937">
        <v>1</v>
      </c>
      <c r="AA937">
        <v>0</v>
      </c>
      <c r="AB937">
        <v>0</v>
      </c>
      <c r="AC937">
        <v>1</v>
      </c>
      <c r="AD937">
        <f>AQ937</f>
        <v>813.73099999999999</v>
      </c>
      <c r="AF937">
        <v>1</v>
      </c>
      <c r="AG937">
        <v>0</v>
      </c>
      <c r="AH937">
        <v>0</v>
      </c>
      <c r="AI937">
        <v>0</v>
      </c>
      <c r="AO937">
        <v>13.6058</v>
      </c>
      <c r="AP937">
        <v>0.80833333333333346</v>
      </c>
      <c r="AQ937">
        <v>813.73099999999999</v>
      </c>
      <c r="AR937">
        <v>81</v>
      </c>
      <c r="AS937">
        <v>588</v>
      </c>
      <c r="AX937" t="s">
        <v>60</v>
      </c>
    </row>
    <row r="938" spans="1:50" x14ac:dyDescent="0.45">
      <c r="A938">
        <v>10937</v>
      </c>
      <c r="B938">
        <v>1</v>
      </c>
      <c r="C938">
        <v>19</v>
      </c>
      <c r="D938">
        <v>0</v>
      </c>
      <c r="E938">
        <v>0</v>
      </c>
      <c r="F938">
        <v>0</v>
      </c>
      <c r="G938">
        <v>0</v>
      </c>
      <c r="H938">
        <v>0</v>
      </c>
      <c r="I938">
        <v>0</v>
      </c>
      <c r="J938">
        <v>21</v>
      </c>
      <c r="K938">
        <v>19</v>
      </c>
      <c r="L938">
        <v>20</v>
      </c>
      <c r="M938">
        <v>0</v>
      </c>
      <c r="N938">
        <v>0</v>
      </c>
      <c r="O938">
        <v>21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Y938">
        <v>1</v>
      </c>
      <c r="Z938">
        <v>0</v>
      </c>
      <c r="AA938">
        <v>0</v>
      </c>
      <c r="AB938">
        <v>0</v>
      </c>
      <c r="AC938">
        <v>0</v>
      </c>
      <c r="AI938">
        <v>0</v>
      </c>
      <c r="AO938">
        <v>29.94</v>
      </c>
      <c r="AP938">
        <v>3.5</v>
      </c>
      <c r="AQ938">
        <v>547.1</v>
      </c>
      <c r="AR938">
        <v>153</v>
      </c>
      <c r="AS938">
        <v>1390</v>
      </c>
      <c r="AX938" t="s">
        <v>60</v>
      </c>
    </row>
    <row r="939" spans="1:50" x14ac:dyDescent="0.45">
      <c r="A939">
        <v>10938</v>
      </c>
      <c r="B939">
        <v>1</v>
      </c>
      <c r="C939">
        <v>70</v>
      </c>
      <c r="D939">
        <v>0</v>
      </c>
      <c r="E939">
        <v>3</v>
      </c>
      <c r="F939">
        <v>0</v>
      </c>
      <c r="G939">
        <v>0</v>
      </c>
      <c r="H939">
        <v>0</v>
      </c>
      <c r="I939">
        <v>0</v>
      </c>
      <c r="J939">
        <v>6</v>
      </c>
      <c r="K939">
        <v>9</v>
      </c>
      <c r="L939">
        <v>0</v>
      </c>
      <c r="M939">
        <v>0</v>
      </c>
      <c r="N939">
        <v>0</v>
      </c>
      <c r="O939">
        <v>12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1</v>
      </c>
      <c r="Y939">
        <v>0</v>
      </c>
      <c r="Z939">
        <v>1</v>
      </c>
      <c r="AA939">
        <v>0</v>
      </c>
      <c r="AB939">
        <v>0</v>
      </c>
      <c r="AC939">
        <v>1</v>
      </c>
      <c r="AD939">
        <f>AQ939</f>
        <v>805.2</v>
      </c>
      <c r="AF939">
        <v>1</v>
      </c>
      <c r="AG939">
        <v>0</v>
      </c>
      <c r="AH939">
        <v>0</v>
      </c>
      <c r="AI939">
        <v>0</v>
      </c>
      <c r="AO939">
        <v>7.1700000000000017</v>
      </c>
      <c r="AP939">
        <v>1</v>
      </c>
      <c r="AQ939">
        <v>805.2</v>
      </c>
      <c r="AR939">
        <v>71.2</v>
      </c>
      <c r="AS939">
        <v>849</v>
      </c>
      <c r="AX939" t="s">
        <v>60</v>
      </c>
    </row>
    <row r="940" spans="1:50" x14ac:dyDescent="0.45">
      <c r="A940">
        <v>10939</v>
      </c>
      <c r="B940">
        <v>1</v>
      </c>
      <c r="C940">
        <v>80.62</v>
      </c>
      <c r="D940">
        <v>10.14</v>
      </c>
      <c r="E940">
        <v>4.45</v>
      </c>
      <c r="F940">
        <v>2.2399999999999998</v>
      </c>
      <c r="G940">
        <v>0</v>
      </c>
      <c r="H940">
        <v>0.08</v>
      </c>
      <c r="I940">
        <v>0</v>
      </c>
      <c r="J940">
        <v>0</v>
      </c>
      <c r="K940">
        <v>0</v>
      </c>
      <c r="L940">
        <v>2.4699999999999998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1</v>
      </c>
      <c r="Y940">
        <v>0</v>
      </c>
      <c r="Z940">
        <v>1</v>
      </c>
      <c r="AA940">
        <v>0</v>
      </c>
      <c r="AB940">
        <v>0</v>
      </c>
      <c r="AC940">
        <v>1</v>
      </c>
      <c r="AD940">
        <f>AQ940</f>
        <v>798.98299999999995</v>
      </c>
      <c r="AF940">
        <v>1</v>
      </c>
      <c r="AG940">
        <v>0</v>
      </c>
      <c r="AH940">
        <v>0</v>
      </c>
      <c r="AI940">
        <v>0</v>
      </c>
      <c r="AO940">
        <v>-0.8725000000000005</v>
      </c>
      <c r="AP940">
        <v>10.14</v>
      </c>
      <c r="AQ940">
        <v>798.98299999999995</v>
      </c>
      <c r="AR940">
        <v>115</v>
      </c>
      <c r="AS940">
        <v>636</v>
      </c>
      <c r="AW940" t="s">
        <v>353</v>
      </c>
      <c r="AX940" t="s">
        <v>60</v>
      </c>
    </row>
    <row r="941" spans="1:50" x14ac:dyDescent="0.45">
      <c r="A941">
        <v>10940</v>
      </c>
      <c r="B941">
        <v>1</v>
      </c>
      <c r="C941">
        <v>80.5</v>
      </c>
      <c r="D941">
        <v>5</v>
      </c>
      <c r="E941">
        <v>0</v>
      </c>
      <c r="F941">
        <v>5.5</v>
      </c>
      <c r="G941">
        <v>0</v>
      </c>
      <c r="H941">
        <v>0</v>
      </c>
      <c r="I941">
        <v>0</v>
      </c>
      <c r="J941">
        <v>2</v>
      </c>
      <c r="K941">
        <v>3</v>
      </c>
      <c r="L941">
        <v>4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Y941">
        <v>1</v>
      </c>
      <c r="Z941">
        <v>0</v>
      </c>
      <c r="AA941">
        <v>0</v>
      </c>
      <c r="AB941">
        <v>0</v>
      </c>
      <c r="AC941">
        <v>0</v>
      </c>
      <c r="AI941">
        <v>1</v>
      </c>
      <c r="AJ941">
        <v>600</v>
      </c>
      <c r="AK941">
        <v>6</v>
      </c>
      <c r="AL941">
        <v>0</v>
      </c>
      <c r="AM941">
        <v>1</v>
      </c>
      <c r="AN941">
        <v>0</v>
      </c>
      <c r="AO941">
        <v>8.64</v>
      </c>
      <c r="AP941">
        <v>5.333333333333333</v>
      </c>
      <c r="AQ941">
        <v>774.15000000000009</v>
      </c>
      <c r="AT941">
        <v>1224.3</v>
      </c>
      <c r="AU941">
        <v>5.2</v>
      </c>
      <c r="AW941" t="s">
        <v>353</v>
      </c>
      <c r="AX941" t="s">
        <v>195</v>
      </c>
    </row>
    <row r="942" spans="1:50" x14ac:dyDescent="0.45">
      <c r="A942">
        <v>10941</v>
      </c>
      <c r="B942">
        <v>1</v>
      </c>
      <c r="C942">
        <v>80.5</v>
      </c>
      <c r="D942">
        <v>5</v>
      </c>
      <c r="E942">
        <v>0</v>
      </c>
      <c r="F942">
        <v>5.5</v>
      </c>
      <c r="G942">
        <v>0</v>
      </c>
      <c r="H942">
        <v>0</v>
      </c>
      <c r="I942">
        <v>0</v>
      </c>
      <c r="J942">
        <v>2</v>
      </c>
      <c r="K942">
        <v>3</v>
      </c>
      <c r="L942">
        <v>4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Y942">
        <v>1</v>
      </c>
      <c r="Z942">
        <v>0</v>
      </c>
      <c r="AA942">
        <v>0</v>
      </c>
      <c r="AB942">
        <v>0</v>
      </c>
      <c r="AC942">
        <v>1</v>
      </c>
      <c r="AD942">
        <v>800</v>
      </c>
      <c r="AE942">
        <v>0.5</v>
      </c>
      <c r="AF942">
        <v>0</v>
      </c>
      <c r="AG942">
        <v>0</v>
      </c>
      <c r="AH942">
        <v>1</v>
      </c>
      <c r="AI942">
        <v>1</v>
      </c>
      <c r="AJ942">
        <v>600</v>
      </c>
      <c r="AK942">
        <v>6</v>
      </c>
      <c r="AL942">
        <v>0</v>
      </c>
      <c r="AM942">
        <v>1</v>
      </c>
      <c r="AN942">
        <v>0</v>
      </c>
      <c r="AO942">
        <v>8.64</v>
      </c>
      <c r="AP942">
        <v>5.333333333333333</v>
      </c>
      <c r="AQ942">
        <v>774.15000000000009</v>
      </c>
      <c r="AT942">
        <v>1125.4000000000001</v>
      </c>
      <c r="AU942">
        <v>18.3</v>
      </c>
      <c r="AW942" t="s">
        <v>353</v>
      </c>
      <c r="AX942" t="s">
        <v>195</v>
      </c>
    </row>
    <row r="943" spans="1:50" x14ac:dyDescent="0.45">
      <c r="A943">
        <v>10942</v>
      </c>
      <c r="B943">
        <v>1</v>
      </c>
      <c r="C943">
        <v>80.5</v>
      </c>
      <c r="D943">
        <v>5</v>
      </c>
      <c r="E943">
        <v>0</v>
      </c>
      <c r="F943">
        <v>5.5</v>
      </c>
      <c r="G943">
        <v>0</v>
      </c>
      <c r="H943">
        <v>0</v>
      </c>
      <c r="I943">
        <v>0</v>
      </c>
      <c r="J943">
        <v>2</v>
      </c>
      <c r="K943">
        <v>3</v>
      </c>
      <c r="L943">
        <v>4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Y943">
        <v>1</v>
      </c>
      <c r="Z943">
        <v>0</v>
      </c>
      <c r="AA943">
        <v>0</v>
      </c>
      <c r="AB943">
        <v>0</v>
      </c>
      <c r="AC943">
        <v>1</v>
      </c>
      <c r="AD943">
        <v>800</v>
      </c>
      <c r="AE943">
        <v>0.5</v>
      </c>
      <c r="AF943">
        <v>1</v>
      </c>
      <c r="AG943">
        <v>0</v>
      </c>
      <c r="AH943">
        <v>0</v>
      </c>
      <c r="AI943">
        <v>0</v>
      </c>
      <c r="AO943">
        <v>8.64</v>
      </c>
      <c r="AP943">
        <v>5.333333333333333</v>
      </c>
      <c r="AQ943">
        <v>774.15000000000009</v>
      </c>
      <c r="AT943">
        <v>886.9</v>
      </c>
      <c r="AU943">
        <v>19.2</v>
      </c>
      <c r="AW943" t="s">
        <v>353</v>
      </c>
      <c r="AX943" t="s">
        <v>195</v>
      </c>
    </row>
    <row r="944" spans="1:50" x14ac:dyDescent="0.45">
      <c r="A944">
        <v>10943</v>
      </c>
      <c r="B944">
        <v>1</v>
      </c>
      <c r="C944">
        <v>80.41</v>
      </c>
      <c r="D944">
        <v>3</v>
      </c>
      <c r="E944">
        <v>7.46</v>
      </c>
      <c r="F944">
        <v>3.13</v>
      </c>
      <c r="G944">
        <v>0</v>
      </c>
      <c r="H944">
        <v>0</v>
      </c>
      <c r="I944">
        <v>0</v>
      </c>
      <c r="J944">
        <v>1</v>
      </c>
      <c r="K944">
        <v>0</v>
      </c>
      <c r="L944">
        <v>5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1</v>
      </c>
      <c r="W944">
        <v>20</v>
      </c>
      <c r="X944">
        <v>80</v>
      </c>
      <c r="Y944">
        <v>0</v>
      </c>
      <c r="Z944">
        <v>1</v>
      </c>
      <c r="AA944">
        <v>0</v>
      </c>
      <c r="AB944">
        <v>0</v>
      </c>
      <c r="AC944">
        <v>1</v>
      </c>
      <c r="AD944">
        <v>765</v>
      </c>
      <c r="AE944">
        <v>0.33</v>
      </c>
      <c r="AF944">
        <v>0</v>
      </c>
      <c r="AG944">
        <v>1</v>
      </c>
      <c r="AH944">
        <v>0</v>
      </c>
      <c r="AI944">
        <v>0</v>
      </c>
      <c r="AO944">
        <v>12.0062</v>
      </c>
      <c r="AP944">
        <v>3.1666666666666665</v>
      </c>
      <c r="AQ944">
        <v>707.99899999999991</v>
      </c>
      <c r="AT944">
        <v>807</v>
      </c>
      <c r="AU944">
        <v>18.399999999999999</v>
      </c>
      <c r="AW944" t="s">
        <v>353</v>
      </c>
      <c r="AX944" t="s">
        <v>197</v>
      </c>
    </row>
    <row r="945" spans="1:50" x14ac:dyDescent="0.45">
      <c r="A945">
        <v>10944</v>
      </c>
      <c r="B945">
        <v>1</v>
      </c>
      <c r="C945">
        <v>80.41</v>
      </c>
      <c r="D945">
        <v>3</v>
      </c>
      <c r="E945">
        <v>7.46</v>
      </c>
      <c r="F945">
        <v>3.13</v>
      </c>
      <c r="G945">
        <v>0</v>
      </c>
      <c r="H945">
        <v>0</v>
      </c>
      <c r="I945">
        <v>0</v>
      </c>
      <c r="J945">
        <v>1</v>
      </c>
      <c r="K945">
        <v>0</v>
      </c>
      <c r="L945">
        <v>5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1</v>
      </c>
      <c r="W945">
        <v>20</v>
      </c>
      <c r="X945">
        <v>80</v>
      </c>
      <c r="Y945">
        <v>0</v>
      </c>
      <c r="Z945">
        <v>1</v>
      </c>
      <c r="AA945">
        <v>0</v>
      </c>
      <c r="AB945">
        <v>0</v>
      </c>
      <c r="AC945">
        <v>1</v>
      </c>
      <c r="AD945">
        <v>765</v>
      </c>
      <c r="AE945">
        <v>0.33</v>
      </c>
      <c r="AF945">
        <v>0</v>
      </c>
      <c r="AG945">
        <v>1</v>
      </c>
      <c r="AH945">
        <v>0</v>
      </c>
      <c r="AI945">
        <v>1</v>
      </c>
      <c r="AJ945">
        <v>500</v>
      </c>
      <c r="AK945">
        <v>6</v>
      </c>
      <c r="AL945">
        <v>0</v>
      </c>
      <c r="AM945">
        <v>1</v>
      </c>
      <c r="AN945">
        <v>0</v>
      </c>
      <c r="AO945">
        <v>12.0062</v>
      </c>
      <c r="AP945">
        <v>3.1666666666666665</v>
      </c>
      <c r="AQ945">
        <v>707.99899999999991</v>
      </c>
      <c r="AT945">
        <v>1390.3</v>
      </c>
      <c r="AU945">
        <v>6.1</v>
      </c>
      <c r="AW945" t="s">
        <v>353</v>
      </c>
      <c r="AX945" t="s">
        <v>197</v>
      </c>
    </row>
    <row r="946" spans="1:50" x14ac:dyDescent="0.45">
      <c r="A946">
        <v>10945</v>
      </c>
      <c r="B946">
        <v>1</v>
      </c>
      <c r="C946">
        <v>80.41</v>
      </c>
      <c r="D946">
        <v>3</v>
      </c>
      <c r="E946">
        <v>7.46</v>
      </c>
      <c r="F946">
        <v>3.13</v>
      </c>
      <c r="G946">
        <v>0</v>
      </c>
      <c r="H946">
        <v>0</v>
      </c>
      <c r="I946">
        <v>0</v>
      </c>
      <c r="J946">
        <v>1</v>
      </c>
      <c r="K946">
        <v>0</v>
      </c>
      <c r="L946">
        <v>5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1</v>
      </c>
      <c r="W946">
        <v>20</v>
      </c>
      <c r="X946">
        <v>80</v>
      </c>
      <c r="Y946">
        <v>0</v>
      </c>
      <c r="Z946">
        <v>1</v>
      </c>
      <c r="AA946">
        <v>0</v>
      </c>
      <c r="AB946">
        <v>0</v>
      </c>
      <c r="AC946">
        <v>1</v>
      </c>
      <c r="AD946">
        <v>765</v>
      </c>
      <c r="AE946">
        <v>0.33</v>
      </c>
      <c r="AF946">
        <v>0</v>
      </c>
      <c r="AG946">
        <v>1</v>
      </c>
      <c r="AH946">
        <v>0</v>
      </c>
      <c r="AI946">
        <v>1</v>
      </c>
      <c r="AJ946">
        <v>500</v>
      </c>
      <c r="AK946">
        <v>8</v>
      </c>
      <c r="AL946">
        <v>0</v>
      </c>
      <c r="AM946">
        <v>1</v>
      </c>
      <c r="AN946">
        <v>0</v>
      </c>
      <c r="AO946">
        <v>12.0062</v>
      </c>
      <c r="AP946">
        <v>3.1666666666666665</v>
      </c>
      <c r="AQ946">
        <v>707.99899999999991</v>
      </c>
      <c r="AT946">
        <v>1420.1</v>
      </c>
      <c r="AU946">
        <v>6.3</v>
      </c>
      <c r="AW946" t="s">
        <v>353</v>
      </c>
      <c r="AX946" t="s">
        <v>197</v>
      </c>
    </row>
    <row r="947" spans="1:50" x14ac:dyDescent="0.45">
      <c r="A947">
        <v>10946</v>
      </c>
      <c r="B947">
        <v>1</v>
      </c>
      <c r="C947">
        <v>80.41</v>
      </c>
      <c r="D947">
        <v>3</v>
      </c>
      <c r="E947">
        <v>7.46</v>
      </c>
      <c r="F947">
        <v>3.13</v>
      </c>
      <c r="G947">
        <v>0</v>
      </c>
      <c r="H947">
        <v>0</v>
      </c>
      <c r="I947">
        <v>0</v>
      </c>
      <c r="J947">
        <v>1</v>
      </c>
      <c r="K947">
        <v>0</v>
      </c>
      <c r="L947">
        <v>5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1</v>
      </c>
      <c r="W947">
        <v>20</v>
      </c>
      <c r="X947">
        <v>80</v>
      </c>
      <c r="Y947">
        <v>0</v>
      </c>
      <c r="Z947">
        <v>1</v>
      </c>
      <c r="AA947">
        <v>0</v>
      </c>
      <c r="AB947">
        <v>0</v>
      </c>
      <c r="AC947">
        <v>1</v>
      </c>
      <c r="AD947">
        <v>765</v>
      </c>
      <c r="AE947">
        <v>0.33</v>
      </c>
      <c r="AF947">
        <v>0</v>
      </c>
      <c r="AG947">
        <v>1</v>
      </c>
      <c r="AH947">
        <v>0</v>
      </c>
      <c r="AI947">
        <v>1</v>
      </c>
      <c r="AJ947">
        <v>500</v>
      </c>
      <c r="AK947">
        <v>10</v>
      </c>
      <c r="AL947">
        <v>0</v>
      </c>
      <c r="AM947">
        <v>1</v>
      </c>
      <c r="AN947">
        <v>0</v>
      </c>
      <c r="AO947">
        <v>12.0062</v>
      </c>
      <c r="AP947">
        <v>3.1666666666666665</v>
      </c>
      <c r="AQ947">
        <v>707.99899999999991</v>
      </c>
      <c r="AT947">
        <v>1369.8</v>
      </c>
      <c r="AU947">
        <v>5.7</v>
      </c>
      <c r="AW947" t="s">
        <v>353</v>
      </c>
      <c r="AX947" t="s">
        <v>197</v>
      </c>
    </row>
    <row r="948" spans="1:50" x14ac:dyDescent="0.45">
      <c r="A948">
        <v>10947</v>
      </c>
      <c r="B948">
        <v>1</v>
      </c>
      <c r="C948">
        <v>80.41</v>
      </c>
      <c r="D948">
        <v>3</v>
      </c>
      <c r="E948">
        <v>7.46</v>
      </c>
      <c r="F948">
        <v>3.13</v>
      </c>
      <c r="G948">
        <v>0</v>
      </c>
      <c r="H948">
        <v>0</v>
      </c>
      <c r="I948">
        <v>0</v>
      </c>
      <c r="J948">
        <v>1</v>
      </c>
      <c r="K948">
        <v>0</v>
      </c>
      <c r="L948">
        <v>5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1</v>
      </c>
      <c r="W948">
        <v>20</v>
      </c>
      <c r="X948">
        <v>80</v>
      </c>
      <c r="Y948">
        <v>0</v>
      </c>
      <c r="Z948">
        <v>1</v>
      </c>
      <c r="AA948">
        <v>0</v>
      </c>
      <c r="AB948">
        <v>0</v>
      </c>
      <c r="AC948">
        <v>1</v>
      </c>
      <c r="AD948">
        <v>765</v>
      </c>
      <c r="AE948">
        <v>0.33</v>
      </c>
      <c r="AF948">
        <v>0</v>
      </c>
      <c r="AG948">
        <v>1</v>
      </c>
      <c r="AH948">
        <v>0</v>
      </c>
      <c r="AI948">
        <v>1</v>
      </c>
      <c r="AJ948">
        <v>500</v>
      </c>
      <c r="AK948">
        <v>12</v>
      </c>
      <c r="AL948">
        <v>0</v>
      </c>
      <c r="AM948">
        <v>1</v>
      </c>
      <c r="AN948">
        <v>0</v>
      </c>
      <c r="AO948">
        <v>12.0062</v>
      </c>
      <c r="AP948">
        <v>3.1666666666666665</v>
      </c>
      <c r="AQ948">
        <v>707.99899999999991</v>
      </c>
      <c r="AT948">
        <v>1344.6</v>
      </c>
      <c r="AU948">
        <v>5</v>
      </c>
      <c r="AW948" t="s">
        <v>353</v>
      </c>
      <c r="AX948" t="s">
        <v>197</v>
      </c>
    </row>
    <row r="949" spans="1:50" x14ac:dyDescent="0.45">
      <c r="A949">
        <v>10948</v>
      </c>
      <c r="B949">
        <v>1</v>
      </c>
      <c r="C949">
        <v>80.41</v>
      </c>
      <c r="D949">
        <v>3</v>
      </c>
      <c r="E949">
        <v>7.46</v>
      </c>
      <c r="F949">
        <v>3.13</v>
      </c>
      <c r="G949">
        <v>0</v>
      </c>
      <c r="H949">
        <v>0</v>
      </c>
      <c r="I949">
        <v>0</v>
      </c>
      <c r="J949">
        <v>1</v>
      </c>
      <c r="K949">
        <v>0</v>
      </c>
      <c r="L949">
        <v>5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1</v>
      </c>
      <c r="W949">
        <v>20</v>
      </c>
      <c r="X949">
        <v>80</v>
      </c>
      <c r="Y949">
        <v>0</v>
      </c>
      <c r="Z949">
        <v>1</v>
      </c>
      <c r="AA949">
        <v>0</v>
      </c>
      <c r="AB949">
        <v>0</v>
      </c>
      <c r="AC949">
        <v>1</v>
      </c>
      <c r="AD949">
        <v>800</v>
      </c>
      <c r="AE949">
        <v>0.33</v>
      </c>
      <c r="AF949">
        <v>0</v>
      </c>
      <c r="AG949">
        <v>1</v>
      </c>
      <c r="AH949">
        <v>0</v>
      </c>
      <c r="AI949">
        <v>0</v>
      </c>
      <c r="AO949">
        <v>12.0062</v>
      </c>
      <c r="AP949">
        <v>3.1666666666666665</v>
      </c>
      <c r="AQ949">
        <v>707.99899999999991</v>
      </c>
      <c r="AT949">
        <v>773</v>
      </c>
      <c r="AU949">
        <v>17.3</v>
      </c>
      <c r="AW949" t="s">
        <v>353</v>
      </c>
      <c r="AX949" t="s">
        <v>197</v>
      </c>
    </row>
    <row r="950" spans="1:50" x14ac:dyDescent="0.45">
      <c r="A950">
        <v>10949</v>
      </c>
      <c r="B950">
        <v>0</v>
      </c>
      <c r="C950">
        <v>80.885999999999996</v>
      </c>
      <c r="D950">
        <v>5.0999999999999996</v>
      </c>
      <c r="E950">
        <v>4.97</v>
      </c>
      <c r="F950">
        <v>2.93</v>
      </c>
      <c r="G950">
        <v>0</v>
      </c>
      <c r="H950">
        <v>0</v>
      </c>
      <c r="I950">
        <v>0</v>
      </c>
      <c r="J950">
        <v>1.0900000000000001</v>
      </c>
      <c r="K950">
        <v>0</v>
      </c>
      <c r="L950">
        <v>4.9400000000000004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Y950">
        <v>1</v>
      </c>
      <c r="Z950">
        <v>0</v>
      </c>
      <c r="AA950">
        <v>0</v>
      </c>
      <c r="AB950">
        <v>0</v>
      </c>
      <c r="AC950">
        <v>0</v>
      </c>
      <c r="AI950">
        <v>0</v>
      </c>
      <c r="AO950">
        <v>7.8579000000000008</v>
      </c>
      <c r="AP950">
        <v>5.2816666666666663</v>
      </c>
      <c r="AQ950">
        <v>744.16000000000008</v>
      </c>
      <c r="AW950" t="s">
        <v>353</v>
      </c>
      <c r="AX950" t="s">
        <v>198</v>
      </c>
    </row>
    <row r="951" spans="1:50" x14ac:dyDescent="0.45">
      <c r="A951">
        <v>10950</v>
      </c>
      <c r="B951">
        <v>0</v>
      </c>
      <c r="C951">
        <v>80.885999999999996</v>
      </c>
      <c r="D951">
        <v>5.0999999999999996</v>
      </c>
      <c r="E951">
        <v>4.97</v>
      </c>
      <c r="F951">
        <v>2.93</v>
      </c>
      <c r="G951">
        <v>0</v>
      </c>
      <c r="H951">
        <v>0</v>
      </c>
      <c r="I951">
        <v>0</v>
      </c>
      <c r="J951">
        <v>1.0900000000000001</v>
      </c>
      <c r="K951">
        <v>0</v>
      </c>
      <c r="L951">
        <v>4.9400000000000004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Y951">
        <v>1</v>
      </c>
      <c r="Z951">
        <v>0</v>
      </c>
      <c r="AA951">
        <v>0</v>
      </c>
      <c r="AB951">
        <v>0</v>
      </c>
      <c r="AC951">
        <v>1</v>
      </c>
      <c r="AD951">
        <v>880</v>
      </c>
      <c r="AE951">
        <v>1.5</v>
      </c>
      <c r="AI951">
        <v>1</v>
      </c>
      <c r="AJ951">
        <v>600</v>
      </c>
      <c r="AK951">
        <v>8</v>
      </c>
      <c r="AL951">
        <v>0</v>
      </c>
      <c r="AM951">
        <v>1</v>
      </c>
      <c r="AN951">
        <v>0</v>
      </c>
      <c r="AO951">
        <v>7.8579000000000008</v>
      </c>
      <c r="AP951">
        <v>5.2816666666666663</v>
      </c>
      <c r="AQ951">
        <v>744.16000000000008</v>
      </c>
      <c r="AW951" t="s">
        <v>353</v>
      </c>
      <c r="AX951" t="s">
        <v>198</v>
      </c>
    </row>
    <row r="952" spans="1:50" x14ac:dyDescent="0.45">
      <c r="A952">
        <v>10951</v>
      </c>
      <c r="B952">
        <v>0</v>
      </c>
      <c r="C952">
        <v>80.885999999999996</v>
      </c>
      <c r="D952">
        <v>5.0999999999999996</v>
      </c>
      <c r="E952">
        <v>4.97</v>
      </c>
      <c r="F952">
        <v>2.93</v>
      </c>
      <c r="G952">
        <v>0</v>
      </c>
      <c r="H952">
        <v>0</v>
      </c>
      <c r="I952">
        <v>0</v>
      </c>
      <c r="J952">
        <v>1.0900000000000001</v>
      </c>
      <c r="K952">
        <v>0</v>
      </c>
      <c r="L952">
        <v>4.9400000000000004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Y952">
        <v>1</v>
      </c>
      <c r="Z952">
        <v>0</v>
      </c>
      <c r="AA952">
        <v>0</v>
      </c>
      <c r="AB952">
        <v>0</v>
      </c>
      <c r="AC952">
        <v>1</v>
      </c>
      <c r="AD952">
        <v>790</v>
      </c>
      <c r="AE952">
        <v>1.5</v>
      </c>
      <c r="AF952">
        <v>0</v>
      </c>
      <c r="AG952">
        <v>1</v>
      </c>
      <c r="AH952">
        <v>0</v>
      </c>
      <c r="AI952">
        <v>1</v>
      </c>
      <c r="AJ952">
        <v>600</v>
      </c>
      <c r="AK952">
        <v>8</v>
      </c>
      <c r="AL952">
        <v>0</v>
      </c>
      <c r="AM952">
        <v>1</v>
      </c>
      <c r="AN952">
        <v>0</v>
      </c>
      <c r="AO952">
        <v>7.8579000000000008</v>
      </c>
      <c r="AP952">
        <v>5.2816666666666663</v>
      </c>
      <c r="AQ952">
        <v>744.16000000000008</v>
      </c>
      <c r="AW952" t="s">
        <v>353</v>
      </c>
      <c r="AX952" t="s">
        <v>198</v>
      </c>
    </row>
    <row r="953" spans="1:50" x14ac:dyDescent="0.45">
      <c r="A953">
        <v>10952</v>
      </c>
      <c r="B953">
        <v>0</v>
      </c>
      <c r="C953">
        <v>80.885999999999996</v>
      </c>
      <c r="D953">
        <v>5.0999999999999996</v>
      </c>
      <c r="E953">
        <v>4.97</v>
      </c>
      <c r="F953">
        <v>2.93</v>
      </c>
      <c r="G953">
        <v>0</v>
      </c>
      <c r="H953">
        <v>0</v>
      </c>
      <c r="I953">
        <v>0</v>
      </c>
      <c r="J953">
        <v>1.0900000000000001</v>
      </c>
      <c r="K953">
        <v>0</v>
      </c>
      <c r="L953">
        <v>4.9400000000000004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Y953">
        <v>1</v>
      </c>
      <c r="Z953">
        <v>0</v>
      </c>
      <c r="AA953">
        <v>0</v>
      </c>
      <c r="AB953">
        <v>0</v>
      </c>
      <c r="AC953">
        <v>1</v>
      </c>
      <c r="AD953">
        <v>810</v>
      </c>
      <c r="AE953">
        <v>2</v>
      </c>
      <c r="AF953">
        <v>0</v>
      </c>
      <c r="AG953">
        <v>0</v>
      </c>
      <c r="AH953">
        <v>1</v>
      </c>
      <c r="AI953">
        <v>0</v>
      </c>
      <c r="AO953">
        <v>7.8579000000000008</v>
      </c>
      <c r="AP953">
        <v>5.2816666666666663</v>
      </c>
      <c r="AQ953">
        <v>744.16000000000008</v>
      </c>
      <c r="AW953" t="s">
        <v>353</v>
      </c>
      <c r="AX953" t="s">
        <v>198</v>
      </c>
    </row>
    <row r="954" spans="1:50" x14ac:dyDescent="0.45">
      <c r="A954">
        <v>10953</v>
      </c>
      <c r="B954">
        <v>0</v>
      </c>
      <c r="C954">
        <v>80.885999999999996</v>
      </c>
      <c r="D954">
        <v>5.0999999999999996</v>
      </c>
      <c r="E954">
        <v>4.97</v>
      </c>
      <c r="F954">
        <v>2.93</v>
      </c>
      <c r="G954">
        <v>0</v>
      </c>
      <c r="H954">
        <v>0</v>
      </c>
      <c r="I954">
        <v>0</v>
      </c>
      <c r="J954">
        <v>1.0900000000000001</v>
      </c>
      <c r="K954">
        <v>0</v>
      </c>
      <c r="L954">
        <v>4.9400000000000004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Y954">
        <v>1</v>
      </c>
      <c r="Z954">
        <v>0</v>
      </c>
      <c r="AA954">
        <v>0</v>
      </c>
      <c r="AB954">
        <v>0</v>
      </c>
      <c r="AC954">
        <v>0</v>
      </c>
      <c r="AI954">
        <v>0</v>
      </c>
      <c r="AO954">
        <v>7.8579000000000008</v>
      </c>
      <c r="AP954">
        <v>5.2816666666666663</v>
      </c>
      <c r="AQ954">
        <v>744.16000000000008</v>
      </c>
      <c r="AW954" t="s">
        <v>353</v>
      </c>
      <c r="AX954" t="s">
        <v>198</v>
      </c>
    </row>
    <row r="955" spans="1:50" x14ac:dyDescent="0.45">
      <c r="A955">
        <v>10954</v>
      </c>
      <c r="B955">
        <v>0</v>
      </c>
      <c r="C955">
        <v>80.885999999999996</v>
      </c>
      <c r="D955">
        <v>5.0999999999999996</v>
      </c>
      <c r="E955">
        <v>4.97</v>
      </c>
      <c r="F955">
        <v>2.93</v>
      </c>
      <c r="G955">
        <v>0</v>
      </c>
      <c r="H955">
        <v>0</v>
      </c>
      <c r="I955">
        <v>0</v>
      </c>
      <c r="J955">
        <v>1.0900000000000001</v>
      </c>
      <c r="K955">
        <v>0</v>
      </c>
      <c r="L955">
        <v>4.9400000000000004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Y955">
        <v>1</v>
      </c>
      <c r="Z955">
        <v>0</v>
      </c>
      <c r="AA955">
        <v>0</v>
      </c>
      <c r="AB955">
        <v>0</v>
      </c>
      <c r="AC955">
        <v>1</v>
      </c>
      <c r="AD955">
        <v>810</v>
      </c>
      <c r="AE955">
        <v>2</v>
      </c>
      <c r="AF955">
        <v>0</v>
      </c>
      <c r="AG955">
        <v>0</v>
      </c>
      <c r="AH955">
        <v>1</v>
      </c>
      <c r="AI955">
        <v>0</v>
      </c>
      <c r="AO955">
        <v>7.8579000000000008</v>
      </c>
      <c r="AP955">
        <v>5.2816666666666663</v>
      </c>
      <c r="AQ955">
        <v>744.16000000000008</v>
      </c>
      <c r="AW955" t="s">
        <v>353</v>
      </c>
      <c r="AX955" t="s">
        <v>198</v>
      </c>
    </row>
    <row r="956" spans="1:50" x14ac:dyDescent="0.45">
      <c r="A956">
        <v>10955</v>
      </c>
      <c r="B956">
        <v>1</v>
      </c>
      <c r="C956">
        <v>79.760000000000005</v>
      </c>
      <c r="D956">
        <v>5.39</v>
      </c>
      <c r="E956">
        <v>4.95</v>
      </c>
      <c r="F956">
        <v>3.9</v>
      </c>
      <c r="G956">
        <v>0</v>
      </c>
      <c r="H956">
        <v>0</v>
      </c>
      <c r="I956">
        <v>0</v>
      </c>
      <c r="J956">
        <v>1.0900000000000001</v>
      </c>
      <c r="K956">
        <v>0</v>
      </c>
      <c r="L956">
        <v>4.8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Y956">
        <v>1</v>
      </c>
      <c r="Z956">
        <v>0</v>
      </c>
      <c r="AA956">
        <v>0</v>
      </c>
      <c r="AB956">
        <v>0</v>
      </c>
      <c r="AC956">
        <v>1</v>
      </c>
      <c r="AD956">
        <v>800</v>
      </c>
      <c r="AE956">
        <v>2</v>
      </c>
      <c r="AF956">
        <v>0</v>
      </c>
      <c r="AG956">
        <v>1</v>
      </c>
      <c r="AH956">
        <v>0</v>
      </c>
      <c r="AI956">
        <v>1</v>
      </c>
      <c r="AJ956">
        <v>600</v>
      </c>
      <c r="AK956">
        <v>6</v>
      </c>
      <c r="AL956">
        <v>0</v>
      </c>
      <c r="AM956">
        <v>1</v>
      </c>
      <c r="AN956">
        <v>0</v>
      </c>
      <c r="AO956">
        <v>8.9664999999999999</v>
      </c>
      <c r="AP956">
        <v>5.5716666666666663</v>
      </c>
      <c r="AQ956">
        <v>734.59799999999996</v>
      </c>
      <c r="AS956">
        <v>1230.75</v>
      </c>
      <c r="AT956">
        <v>1241.75</v>
      </c>
      <c r="AU956">
        <v>3.7719999999999998</v>
      </c>
      <c r="AW956" t="s">
        <v>353</v>
      </c>
      <c r="AX956" t="s">
        <v>108</v>
      </c>
    </row>
    <row r="957" spans="1:50" x14ac:dyDescent="0.45">
      <c r="A957">
        <v>10956</v>
      </c>
      <c r="B957">
        <v>1</v>
      </c>
      <c r="C957">
        <v>79.760000000000005</v>
      </c>
      <c r="D957">
        <v>5.39</v>
      </c>
      <c r="E957">
        <v>4.95</v>
      </c>
      <c r="F957">
        <v>3.9</v>
      </c>
      <c r="G957">
        <v>0</v>
      </c>
      <c r="H957">
        <v>0</v>
      </c>
      <c r="I957">
        <v>0</v>
      </c>
      <c r="J957">
        <v>1.0900000000000001</v>
      </c>
      <c r="K957">
        <v>0</v>
      </c>
      <c r="L957">
        <v>4.8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Y957">
        <v>1</v>
      </c>
      <c r="Z957">
        <v>0</v>
      </c>
      <c r="AA957">
        <v>0</v>
      </c>
      <c r="AB957">
        <v>0</v>
      </c>
      <c r="AC957">
        <v>1</v>
      </c>
      <c r="AD957">
        <v>800</v>
      </c>
      <c r="AE957">
        <v>2</v>
      </c>
      <c r="AF957">
        <v>0</v>
      </c>
      <c r="AG957">
        <v>1</v>
      </c>
      <c r="AH957">
        <v>0</v>
      </c>
      <c r="AI957">
        <v>1</v>
      </c>
      <c r="AJ957">
        <v>600</v>
      </c>
      <c r="AK957">
        <v>7</v>
      </c>
      <c r="AL957">
        <v>0</v>
      </c>
      <c r="AM957">
        <v>1</v>
      </c>
      <c r="AN957">
        <v>0</v>
      </c>
      <c r="AO957">
        <v>8.9664999999999999</v>
      </c>
      <c r="AP957">
        <v>5.5716666666666663</v>
      </c>
      <c r="AQ957">
        <v>734.59799999999996</v>
      </c>
      <c r="AS957">
        <v>1234.29</v>
      </c>
      <c r="AT957">
        <v>1265.29</v>
      </c>
      <c r="AU957">
        <v>3.4079999999999999</v>
      </c>
      <c r="AX957" t="s">
        <v>108</v>
      </c>
    </row>
    <row r="958" spans="1:50" x14ac:dyDescent="0.45">
      <c r="A958">
        <v>10957</v>
      </c>
      <c r="B958">
        <v>1</v>
      </c>
      <c r="C958">
        <v>79.760000000000005</v>
      </c>
      <c r="D958">
        <v>5.39</v>
      </c>
      <c r="E958">
        <v>4.95</v>
      </c>
      <c r="F958">
        <v>3.9</v>
      </c>
      <c r="G958">
        <v>0</v>
      </c>
      <c r="H958">
        <v>0</v>
      </c>
      <c r="I958">
        <v>0</v>
      </c>
      <c r="J958">
        <v>1.0900000000000001</v>
      </c>
      <c r="K958">
        <v>0</v>
      </c>
      <c r="L958">
        <v>4.8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Y958">
        <v>1</v>
      </c>
      <c r="Z958">
        <v>0</v>
      </c>
      <c r="AA958">
        <v>0</v>
      </c>
      <c r="AB958">
        <v>0</v>
      </c>
      <c r="AC958">
        <v>1</v>
      </c>
      <c r="AD958">
        <v>800</v>
      </c>
      <c r="AE958">
        <v>2</v>
      </c>
      <c r="AF958">
        <v>0</v>
      </c>
      <c r="AG958">
        <v>1</v>
      </c>
      <c r="AH958">
        <v>0</v>
      </c>
      <c r="AI958">
        <v>1</v>
      </c>
      <c r="AJ958">
        <v>600</v>
      </c>
      <c r="AK958">
        <v>8</v>
      </c>
      <c r="AL958">
        <v>0</v>
      </c>
      <c r="AM958">
        <v>1</v>
      </c>
      <c r="AN958">
        <v>0</v>
      </c>
      <c r="AO958">
        <v>8.9664999999999999</v>
      </c>
      <c r="AP958">
        <v>5.5716666666666663</v>
      </c>
      <c r="AQ958">
        <v>734.59799999999996</v>
      </c>
      <c r="AS958">
        <v>1255.3399999999999</v>
      </c>
      <c r="AT958">
        <v>1277.3399999999999</v>
      </c>
      <c r="AU958">
        <v>4.9790000000000001</v>
      </c>
      <c r="AW958" t="s">
        <v>354</v>
      </c>
      <c r="AX958" t="s">
        <v>108</v>
      </c>
    </row>
    <row r="959" spans="1:50" x14ac:dyDescent="0.45">
      <c r="A959">
        <v>10958</v>
      </c>
      <c r="B959">
        <v>1</v>
      </c>
      <c r="C959">
        <v>79.760000000000005</v>
      </c>
      <c r="D959">
        <v>5.39</v>
      </c>
      <c r="E959">
        <v>4.95</v>
      </c>
      <c r="F959">
        <v>3.9</v>
      </c>
      <c r="G959">
        <v>0</v>
      </c>
      <c r="H959">
        <v>0</v>
      </c>
      <c r="I959">
        <v>0</v>
      </c>
      <c r="J959">
        <v>1.0900000000000001</v>
      </c>
      <c r="K959">
        <v>0</v>
      </c>
      <c r="L959">
        <v>4.8</v>
      </c>
      <c r="M959">
        <v>0</v>
      </c>
      <c r="N959">
        <v>0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Y959">
        <v>1</v>
      </c>
      <c r="Z959">
        <v>0</v>
      </c>
      <c r="AA959">
        <v>0</v>
      </c>
      <c r="AB959">
        <v>0</v>
      </c>
      <c r="AC959">
        <v>1</v>
      </c>
      <c r="AD959">
        <v>800</v>
      </c>
      <c r="AE959">
        <v>2</v>
      </c>
      <c r="AF959">
        <v>0</v>
      </c>
      <c r="AG959">
        <v>1</v>
      </c>
      <c r="AH959">
        <v>0</v>
      </c>
      <c r="AI959">
        <v>1</v>
      </c>
      <c r="AJ959">
        <v>600</v>
      </c>
      <c r="AK959">
        <v>9</v>
      </c>
      <c r="AL959">
        <v>0</v>
      </c>
      <c r="AM959">
        <v>1</v>
      </c>
      <c r="AN959">
        <v>0</v>
      </c>
      <c r="AO959">
        <v>8.9664999999999999</v>
      </c>
      <c r="AP959">
        <v>5.5716666666666663</v>
      </c>
      <c r="AQ959">
        <v>734.59799999999996</v>
      </c>
      <c r="AS959">
        <v>1238</v>
      </c>
      <c r="AT959">
        <v>1268</v>
      </c>
      <c r="AU959">
        <v>4.3109999999999999</v>
      </c>
      <c r="AW959" t="s">
        <v>354</v>
      </c>
      <c r="AX959" t="s">
        <v>108</v>
      </c>
    </row>
    <row r="960" spans="1:50" x14ac:dyDescent="0.45">
      <c r="A960">
        <v>10959</v>
      </c>
      <c r="B960">
        <v>1</v>
      </c>
      <c r="C960">
        <v>79.760000000000005</v>
      </c>
      <c r="D960">
        <v>5.39</v>
      </c>
      <c r="E960">
        <v>4.95</v>
      </c>
      <c r="F960">
        <v>3.9</v>
      </c>
      <c r="G960">
        <v>0</v>
      </c>
      <c r="H960">
        <v>0</v>
      </c>
      <c r="I960">
        <v>0</v>
      </c>
      <c r="J960">
        <v>1.0900000000000001</v>
      </c>
      <c r="K960">
        <v>0</v>
      </c>
      <c r="L960">
        <v>4.8</v>
      </c>
      <c r="M960">
        <v>0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Y960">
        <v>1</v>
      </c>
      <c r="Z960">
        <v>0</v>
      </c>
      <c r="AA960">
        <v>0</v>
      </c>
      <c r="AB960">
        <v>0</v>
      </c>
      <c r="AC960">
        <v>1</v>
      </c>
      <c r="AD960">
        <v>800</v>
      </c>
      <c r="AE960">
        <v>2</v>
      </c>
      <c r="AF960">
        <v>0</v>
      </c>
      <c r="AG960">
        <v>1</v>
      </c>
      <c r="AH960">
        <v>0</v>
      </c>
      <c r="AI960">
        <v>1</v>
      </c>
      <c r="AJ960">
        <v>600</v>
      </c>
      <c r="AK960">
        <v>10</v>
      </c>
      <c r="AL960">
        <v>0</v>
      </c>
      <c r="AM960">
        <v>1</v>
      </c>
      <c r="AN960">
        <v>0</v>
      </c>
      <c r="AO960">
        <v>8.9664999999999999</v>
      </c>
      <c r="AP960">
        <v>5.5716666666666663</v>
      </c>
      <c r="AQ960">
        <v>734.59799999999996</v>
      </c>
      <c r="AS960">
        <v>1219.6600000000001</v>
      </c>
      <c r="AT960">
        <v>1255.6600000000001</v>
      </c>
      <c r="AU960">
        <v>5.6360000000000001</v>
      </c>
      <c r="AW960" t="s">
        <v>354</v>
      </c>
      <c r="AX960" t="s">
        <v>108</v>
      </c>
    </row>
    <row r="961" spans="1:50" x14ac:dyDescent="0.45">
      <c r="A961">
        <v>10960</v>
      </c>
      <c r="B961">
        <v>1</v>
      </c>
      <c r="C961">
        <v>79.760000000000005</v>
      </c>
      <c r="D961">
        <v>5.39</v>
      </c>
      <c r="E961">
        <v>4.95</v>
      </c>
      <c r="F961">
        <v>3.9</v>
      </c>
      <c r="G961">
        <v>0</v>
      </c>
      <c r="H961">
        <v>0</v>
      </c>
      <c r="I961">
        <v>0</v>
      </c>
      <c r="J961">
        <v>1.0900000000000001</v>
      </c>
      <c r="K961">
        <v>0</v>
      </c>
      <c r="L961">
        <v>4.8</v>
      </c>
      <c r="M961">
        <v>0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Y961">
        <v>1</v>
      </c>
      <c r="Z961">
        <v>0</v>
      </c>
      <c r="AA961">
        <v>0</v>
      </c>
      <c r="AB961">
        <v>0</v>
      </c>
      <c r="AC961">
        <v>1</v>
      </c>
      <c r="AD961">
        <v>800</v>
      </c>
      <c r="AE961">
        <v>2</v>
      </c>
      <c r="AF961">
        <v>0</v>
      </c>
      <c r="AG961">
        <v>1</v>
      </c>
      <c r="AH961">
        <v>0</v>
      </c>
      <c r="AI961">
        <v>1</v>
      </c>
      <c r="AJ961">
        <v>620</v>
      </c>
      <c r="AK961">
        <v>6</v>
      </c>
      <c r="AL961">
        <v>0</v>
      </c>
      <c r="AM961">
        <v>1</v>
      </c>
      <c r="AN961">
        <v>0</v>
      </c>
      <c r="AO961">
        <v>8.9664999999999999</v>
      </c>
      <c r="AP961">
        <v>5.5716666666666663</v>
      </c>
      <c r="AQ961">
        <v>734.59799999999996</v>
      </c>
      <c r="AS961">
        <v>1144.8900000000001</v>
      </c>
      <c r="AT961">
        <v>1176.8900000000001</v>
      </c>
      <c r="AU961">
        <v>3.431</v>
      </c>
      <c r="AX961" t="s">
        <v>108</v>
      </c>
    </row>
    <row r="962" spans="1:50" x14ac:dyDescent="0.45">
      <c r="A962">
        <v>10961</v>
      </c>
      <c r="B962">
        <v>1</v>
      </c>
      <c r="C962">
        <v>79.760000000000005</v>
      </c>
      <c r="D962">
        <v>5.39</v>
      </c>
      <c r="E962">
        <v>4.95</v>
      </c>
      <c r="F962">
        <v>3.9</v>
      </c>
      <c r="G962">
        <v>0</v>
      </c>
      <c r="H962">
        <v>0</v>
      </c>
      <c r="I962">
        <v>0</v>
      </c>
      <c r="J962">
        <v>1.0900000000000001</v>
      </c>
      <c r="K962">
        <v>0</v>
      </c>
      <c r="L962">
        <v>4.8</v>
      </c>
      <c r="M962">
        <v>0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Y962">
        <v>1</v>
      </c>
      <c r="Z962">
        <v>0</v>
      </c>
      <c r="AA962">
        <v>0</v>
      </c>
      <c r="AB962">
        <v>0</v>
      </c>
      <c r="AC962">
        <v>1</v>
      </c>
      <c r="AD962">
        <v>800</v>
      </c>
      <c r="AE962">
        <v>2</v>
      </c>
      <c r="AF962">
        <v>0</v>
      </c>
      <c r="AG962">
        <v>1</v>
      </c>
      <c r="AH962">
        <v>0</v>
      </c>
      <c r="AI962">
        <v>1</v>
      </c>
      <c r="AJ962">
        <v>620</v>
      </c>
      <c r="AK962">
        <v>7</v>
      </c>
      <c r="AL962">
        <v>0</v>
      </c>
      <c r="AM962">
        <v>1</v>
      </c>
      <c r="AN962">
        <v>0</v>
      </c>
      <c r="AO962">
        <v>8.9664999999999999</v>
      </c>
      <c r="AP962">
        <v>5.5716666666666663</v>
      </c>
      <c r="AQ962">
        <v>734.59799999999996</v>
      </c>
      <c r="AS962">
        <v>1170.47</v>
      </c>
      <c r="AT962">
        <v>1196.47</v>
      </c>
      <c r="AU962">
        <v>4.1500000000000004</v>
      </c>
      <c r="AX962" t="s">
        <v>108</v>
      </c>
    </row>
    <row r="963" spans="1:50" x14ac:dyDescent="0.45">
      <c r="A963">
        <v>10962</v>
      </c>
      <c r="B963">
        <v>1</v>
      </c>
      <c r="C963">
        <v>79.760000000000005</v>
      </c>
      <c r="D963">
        <v>5.39</v>
      </c>
      <c r="E963">
        <v>4.95</v>
      </c>
      <c r="F963">
        <v>3.9</v>
      </c>
      <c r="G963">
        <v>0</v>
      </c>
      <c r="H963">
        <v>0</v>
      </c>
      <c r="I963">
        <v>0</v>
      </c>
      <c r="J963">
        <v>1.0900000000000001</v>
      </c>
      <c r="K963">
        <v>0</v>
      </c>
      <c r="L963">
        <v>4.8</v>
      </c>
      <c r="M963">
        <v>0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Y963">
        <v>1</v>
      </c>
      <c r="Z963">
        <v>0</v>
      </c>
      <c r="AA963">
        <v>0</v>
      </c>
      <c r="AB963">
        <v>0</v>
      </c>
      <c r="AC963">
        <v>1</v>
      </c>
      <c r="AD963">
        <v>800</v>
      </c>
      <c r="AE963">
        <v>2</v>
      </c>
      <c r="AF963">
        <v>0</v>
      </c>
      <c r="AG963">
        <v>1</v>
      </c>
      <c r="AH963">
        <v>0</v>
      </c>
      <c r="AI963">
        <v>1</v>
      </c>
      <c r="AJ963">
        <v>620</v>
      </c>
      <c r="AK963">
        <v>8</v>
      </c>
      <c r="AL963">
        <v>0</v>
      </c>
      <c r="AM963">
        <v>1</v>
      </c>
      <c r="AN963">
        <v>0</v>
      </c>
      <c r="AO963">
        <v>8.9664999999999999</v>
      </c>
      <c r="AP963">
        <v>5.5716666666666663</v>
      </c>
      <c r="AQ963">
        <v>734.59799999999996</v>
      </c>
      <c r="AS963">
        <v>1178.9000000000001</v>
      </c>
      <c r="AT963">
        <v>1216.9000000000001</v>
      </c>
      <c r="AU963">
        <v>7.7450000000000001</v>
      </c>
      <c r="AX963" t="s">
        <v>108</v>
      </c>
    </row>
    <row r="964" spans="1:50" x14ac:dyDescent="0.45">
      <c r="A964">
        <v>10963</v>
      </c>
      <c r="B964">
        <v>1</v>
      </c>
      <c r="C964">
        <v>79.760000000000005</v>
      </c>
      <c r="D964">
        <v>5.39</v>
      </c>
      <c r="E964">
        <v>4.95</v>
      </c>
      <c r="F964">
        <v>3.9</v>
      </c>
      <c r="G964">
        <v>0</v>
      </c>
      <c r="H964">
        <v>0</v>
      </c>
      <c r="I964">
        <v>0</v>
      </c>
      <c r="J964">
        <v>1.0900000000000001</v>
      </c>
      <c r="K964">
        <v>0</v>
      </c>
      <c r="L964">
        <v>4.8</v>
      </c>
      <c r="M964">
        <v>0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Y964">
        <v>1</v>
      </c>
      <c r="Z964">
        <v>0</v>
      </c>
      <c r="AA964">
        <v>0</v>
      </c>
      <c r="AB964">
        <v>0</v>
      </c>
      <c r="AC964">
        <v>1</v>
      </c>
      <c r="AD964">
        <v>800</v>
      </c>
      <c r="AE964">
        <v>2</v>
      </c>
      <c r="AF964">
        <v>0</v>
      </c>
      <c r="AG964">
        <v>1</v>
      </c>
      <c r="AH964">
        <v>0</v>
      </c>
      <c r="AI964">
        <v>1</v>
      </c>
      <c r="AJ964">
        <v>620</v>
      </c>
      <c r="AK964">
        <v>9</v>
      </c>
      <c r="AL964">
        <v>0</v>
      </c>
      <c r="AM964">
        <v>1</v>
      </c>
      <c r="AN964">
        <v>0</v>
      </c>
      <c r="AO964">
        <v>8.9664999999999999</v>
      </c>
      <c r="AP964">
        <v>5.5716666666666663</v>
      </c>
      <c r="AQ964">
        <v>734.59799999999996</v>
      </c>
      <c r="AS964">
        <v>1163.05</v>
      </c>
      <c r="AT964">
        <v>1193.05</v>
      </c>
      <c r="AU964">
        <v>8.8780000000000001</v>
      </c>
      <c r="AX964" t="s">
        <v>108</v>
      </c>
    </row>
    <row r="965" spans="1:50" x14ac:dyDescent="0.45">
      <c r="A965">
        <v>10964</v>
      </c>
      <c r="B965">
        <v>1</v>
      </c>
      <c r="C965">
        <v>79.760000000000005</v>
      </c>
      <c r="D965">
        <v>5.39</v>
      </c>
      <c r="E965">
        <v>4.95</v>
      </c>
      <c r="F965">
        <v>3.9</v>
      </c>
      <c r="G965">
        <v>0</v>
      </c>
      <c r="H965">
        <v>0</v>
      </c>
      <c r="I965">
        <v>0</v>
      </c>
      <c r="J965">
        <v>1.0900000000000001</v>
      </c>
      <c r="K965">
        <v>0</v>
      </c>
      <c r="L965">
        <v>4.8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Y965">
        <v>1</v>
      </c>
      <c r="Z965">
        <v>0</v>
      </c>
      <c r="AA965">
        <v>0</v>
      </c>
      <c r="AB965">
        <v>0</v>
      </c>
      <c r="AC965">
        <v>1</v>
      </c>
      <c r="AD965">
        <v>800</v>
      </c>
      <c r="AE965">
        <v>2</v>
      </c>
      <c r="AF965">
        <v>0</v>
      </c>
      <c r="AG965">
        <v>1</v>
      </c>
      <c r="AH965">
        <v>0</v>
      </c>
      <c r="AI965">
        <v>1</v>
      </c>
      <c r="AJ965">
        <v>620</v>
      </c>
      <c r="AK965">
        <v>10</v>
      </c>
      <c r="AL965">
        <v>0</v>
      </c>
      <c r="AM965">
        <v>1</v>
      </c>
      <c r="AN965">
        <v>0</v>
      </c>
      <c r="AO965">
        <v>8.9664999999999999</v>
      </c>
      <c r="AP965">
        <v>5.5716666666666663</v>
      </c>
      <c r="AQ965">
        <v>734.59799999999996</v>
      </c>
      <c r="AS965">
        <v>1140.98</v>
      </c>
      <c r="AT965">
        <v>1176.98</v>
      </c>
      <c r="AU965">
        <v>7.2370000000000001</v>
      </c>
      <c r="AW965" t="s">
        <v>355</v>
      </c>
      <c r="AX965" t="s">
        <v>108</v>
      </c>
    </row>
    <row r="966" spans="1:50" x14ac:dyDescent="0.45">
      <c r="A966">
        <v>10965</v>
      </c>
      <c r="B966">
        <v>1</v>
      </c>
      <c r="C966">
        <v>79.760000000000005</v>
      </c>
      <c r="D966">
        <v>5.39</v>
      </c>
      <c r="E966">
        <v>4.95</v>
      </c>
      <c r="F966">
        <v>3.9</v>
      </c>
      <c r="G966">
        <v>0</v>
      </c>
      <c r="H966">
        <v>0</v>
      </c>
      <c r="I966">
        <v>0</v>
      </c>
      <c r="J966">
        <v>1.0900000000000001</v>
      </c>
      <c r="K966">
        <v>0</v>
      </c>
      <c r="L966">
        <v>4.8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Y966">
        <v>1</v>
      </c>
      <c r="Z966">
        <v>0</v>
      </c>
      <c r="AA966">
        <v>0</v>
      </c>
      <c r="AB966">
        <v>0</v>
      </c>
      <c r="AC966">
        <v>1</v>
      </c>
      <c r="AD966">
        <v>800</v>
      </c>
      <c r="AE966">
        <v>2</v>
      </c>
      <c r="AF966">
        <v>0</v>
      </c>
      <c r="AG966">
        <v>1</v>
      </c>
      <c r="AH966">
        <v>0</v>
      </c>
      <c r="AI966">
        <v>1</v>
      </c>
      <c r="AJ966">
        <v>640</v>
      </c>
      <c r="AK966">
        <v>6</v>
      </c>
      <c r="AL966">
        <v>0</v>
      </c>
      <c r="AM966">
        <v>1</v>
      </c>
      <c r="AN966">
        <v>0</v>
      </c>
      <c r="AO966">
        <v>8.9664999999999999</v>
      </c>
      <c r="AP966">
        <v>5.5716666666666663</v>
      </c>
      <c r="AQ966">
        <v>734.59799999999996</v>
      </c>
      <c r="AS966">
        <v>1120.8900000000001</v>
      </c>
      <c r="AT966">
        <v>1169.8900000000001</v>
      </c>
      <c r="AU966">
        <v>4.2640000000000002</v>
      </c>
      <c r="AW966" t="s">
        <v>355</v>
      </c>
      <c r="AX966" t="s">
        <v>108</v>
      </c>
    </row>
    <row r="967" spans="1:50" x14ac:dyDescent="0.45">
      <c r="A967">
        <v>10966</v>
      </c>
      <c r="B967">
        <v>1</v>
      </c>
      <c r="C967">
        <v>79.760000000000005</v>
      </c>
      <c r="D967">
        <v>5.39</v>
      </c>
      <c r="E967">
        <v>4.95</v>
      </c>
      <c r="F967">
        <v>3.9</v>
      </c>
      <c r="G967">
        <v>0</v>
      </c>
      <c r="H967">
        <v>0</v>
      </c>
      <c r="I967">
        <v>0</v>
      </c>
      <c r="J967">
        <v>1.0900000000000001</v>
      </c>
      <c r="K967">
        <v>0</v>
      </c>
      <c r="L967">
        <v>4.8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Y967">
        <v>1</v>
      </c>
      <c r="Z967">
        <v>0</v>
      </c>
      <c r="AA967">
        <v>0</v>
      </c>
      <c r="AB967">
        <v>0</v>
      </c>
      <c r="AC967">
        <v>1</v>
      </c>
      <c r="AD967">
        <v>800</v>
      </c>
      <c r="AE967">
        <v>2</v>
      </c>
      <c r="AF967">
        <v>0</v>
      </c>
      <c r="AG967">
        <v>1</v>
      </c>
      <c r="AH967">
        <v>0</v>
      </c>
      <c r="AI967">
        <v>1</v>
      </c>
      <c r="AJ967">
        <v>640</v>
      </c>
      <c r="AK967">
        <v>7</v>
      </c>
      <c r="AL967">
        <v>0</v>
      </c>
      <c r="AM967">
        <v>1</v>
      </c>
      <c r="AN967">
        <v>0</v>
      </c>
      <c r="AO967">
        <v>8.9664999999999999</v>
      </c>
      <c r="AP967">
        <v>5.5716666666666663</v>
      </c>
      <c r="AQ967">
        <v>734.59799999999996</v>
      </c>
      <c r="AS967">
        <v>1138</v>
      </c>
      <c r="AT967">
        <v>1168</v>
      </c>
      <c r="AU967">
        <v>7.4560000000000004</v>
      </c>
      <c r="AW967" t="s">
        <v>355</v>
      </c>
      <c r="AX967" t="s">
        <v>108</v>
      </c>
    </row>
    <row r="968" spans="1:50" x14ac:dyDescent="0.45">
      <c r="A968">
        <v>10967</v>
      </c>
      <c r="B968">
        <v>1</v>
      </c>
      <c r="C968">
        <v>79.760000000000005</v>
      </c>
      <c r="D968">
        <v>5.39</v>
      </c>
      <c r="E968">
        <v>4.95</v>
      </c>
      <c r="F968">
        <v>3.9</v>
      </c>
      <c r="G968">
        <v>0</v>
      </c>
      <c r="H968">
        <v>0</v>
      </c>
      <c r="I968">
        <v>0</v>
      </c>
      <c r="J968">
        <v>1.0900000000000001</v>
      </c>
      <c r="K968">
        <v>0</v>
      </c>
      <c r="L968">
        <v>4.8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Y968">
        <v>1</v>
      </c>
      <c r="Z968">
        <v>0</v>
      </c>
      <c r="AA968">
        <v>0</v>
      </c>
      <c r="AB968">
        <v>0</v>
      </c>
      <c r="AC968">
        <v>1</v>
      </c>
      <c r="AD968">
        <v>800</v>
      </c>
      <c r="AE968">
        <v>2</v>
      </c>
      <c r="AF968">
        <v>0</v>
      </c>
      <c r="AG968">
        <v>1</v>
      </c>
      <c r="AH968">
        <v>0</v>
      </c>
      <c r="AI968">
        <v>1</v>
      </c>
      <c r="AJ968">
        <v>640</v>
      </c>
      <c r="AK968">
        <v>8</v>
      </c>
      <c r="AL968">
        <v>0</v>
      </c>
      <c r="AM968">
        <v>1</v>
      </c>
      <c r="AN968">
        <v>0</v>
      </c>
      <c r="AO968">
        <v>8.9664999999999999</v>
      </c>
      <c r="AP968">
        <v>5.5716666666666663</v>
      </c>
      <c r="AQ968">
        <v>734.59799999999996</v>
      </c>
      <c r="AS968">
        <v>1150.1500000000001</v>
      </c>
      <c r="AT968">
        <v>1185.1500000000001</v>
      </c>
      <c r="AU968">
        <v>6.5209999999999999</v>
      </c>
      <c r="AW968" t="s">
        <v>355</v>
      </c>
      <c r="AX968" t="s">
        <v>108</v>
      </c>
    </row>
    <row r="969" spans="1:50" x14ac:dyDescent="0.45">
      <c r="A969">
        <v>10968</v>
      </c>
      <c r="B969">
        <v>1</v>
      </c>
      <c r="C969">
        <v>79.760000000000005</v>
      </c>
      <c r="D969">
        <v>5.39</v>
      </c>
      <c r="E969">
        <v>4.95</v>
      </c>
      <c r="F969">
        <v>3.9</v>
      </c>
      <c r="G969">
        <v>0</v>
      </c>
      <c r="H969">
        <v>0</v>
      </c>
      <c r="I969">
        <v>0</v>
      </c>
      <c r="J969">
        <v>1.0900000000000001</v>
      </c>
      <c r="K969">
        <v>0</v>
      </c>
      <c r="L969">
        <v>4.8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Y969">
        <v>1</v>
      </c>
      <c r="Z969">
        <v>0</v>
      </c>
      <c r="AA969">
        <v>0</v>
      </c>
      <c r="AB969">
        <v>0</v>
      </c>
      <c r="AC969">
        <v>1</v>
      </c>
      <c r="AD969">
        <v>800</v>
      </c>
      <c r="AE969">
        <v>2</v>
      </c>
      <c r="AF969">
        <v>0</v>
      </c>
      <c r="AG969">
        <v>1</v>
      </c>
      <c r="AH969">
        <v>0</v>
      </c>
      <c r="AI969">
        <v>1</v>
      </c>
      <c r="AJ969">
        <v>640</v>
      </c>
      <c r="AK969">
        <v>9</v>
      </c>
      <c r="AL969">
        <v>0</v>
      </c>
      <c r="AM969">
        <v>1</v>
      </c>
      <c r="AN969">
        <v>0</v>
      </c>
      <c r="AO969">
        <v>8.9664999999999999</v>
      </c>
      <c r="AP969">
        <v>5.5716666666666663</v>
      </c>
      <c r="AQ969">
        <v>734.59799999999996</v>
      </c>
      <c r="AS969">
        <v>1142.9100000000001</v>
      </c>
      <c r="AT969">
        <v>1173.9100000000001</v>
      </c>
      <c r="AU969">
        <v>6.9349999999999996</v>
      </c>
      <c r="AW969" t="s">
        <v>355</v>
      </c>
      <c r="AX969" t="s">
        <v>108</v>
      </c>
    </row>
    <row r="970" spans="1:50" x14ac:dyDescent="0.45">
      <c r="A970">
        <v>10969</v>
      </c>
      <c r="B970">
        <v>1</v>
      </c>
      <c r="C970">
        <v>79.760000000000005</v>
      </c>
      <c r="D970">
        <v>5.39</v>
      </c>
      <c r="E970">
        <v>4.95</v>
      </c>
      <c r="F970">
        <v>3.9</v>
      </c>
      <c r="G970">
        <v>0</v>
      </c>
      <c r="H970">
        <v>0</v>
      </c>
      <c r="I970">
        <v>0</v>
      </c>
      <c r="J970">
        <v>1.0900000000000001</v>
      </c>
      <c r="K970">
        <v>0</v>
      </c>
      <c r="L970">
        <v>4.8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Y970">
        <v>1</v>
      </c>
      <c r="Z970">
        <v>0</v>
      </c>
      <c r="AA970">
        <v>0</v>
      </c>
      <c r="AB970">
        <v>0</v>
      </c>
      <c r="AC970">
        <v>1</v>
      </c>
      <c r="AD970">
        <v>800</v>
      </c>
      <c r="AE970">
        <v>2</v>
      </c>
      <c r="AF970">
        <v>0</v>
      </c>
      <c r="AG970">
        <v>1</v>
      </c>
      <c r="AH970">
        <v>0</v>
      </c>
      <c r="AI970">
        <v>1</v>
      </c>
      <c r="AJ970">
        <v>640</v>
      </c>
      <c r="AK970">
        <v>10</v>
      </c>
      <c r="AL970">
        <v>0</v>
      </c>
      <c r="AM970">
        <v>1</v>
      </c>
      <c r="AN970">
        <v>0</v>
      </c>
      <c r="AO970">
        <v>8.9664999999999999</v>
      </c>
      <c r="AP970">
        <v>5.5716666666666663</v>
      </c>
      <c r="AQ970">
        <v>734.59799999999996</v>
      </c>
      <c r="AS970">
        <v>1129.5899999999999</v>
      </c>
      <c r="AT970">
        <v>1165.5899999999999</v>
      </c>
      <c r="AU970">
        <v>5.1959999999999997</v>
      </c>
      <c r="AW970" t="s">
        <v>355</v>
      </c>
      <c r="AX970" t="s">
        <v>108</v>
      </c>
    </row>
    <row r="971" spans="1:50" x14ac:dyDescent="0.45">
      <c r="A971">
        <v>10970</v>
      </c>
      <c r="B971">
        <v>1</v>
      </c>
      <c r="C971">
        <v>79.760000000000005</v>
      </c>
      <c r="D971">
        <v>5.39</v>
      </c>
      <c r="E971">
        <v>4.95</v>
      </c>
      <c r="F971">
        <v>3.9</v>
      </c>
      <c r="G971">
        <v>0</v>
      </c>
      <c r="H971">
        <v>0</v>
      </c>
      <c r="I971">
        <v>0</v>
      </c>
      <c r="J971">
        <v>1.0900000000000001</v>
      </c>
      <c r="K971">
        <v>0</v>
      </c>
      <c r="L971">
        <v>4.8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Y971">
        <v>1</v>
      </c>
      <c r="Z971">
        <v>0</v>
      </c>
      <c r="AA971">
        <v>0</v>
      </c>
      <c r="AB971">
        <v>0</v>
      </c>
      <c r="AC971">
        <v>1</v>
      </c>
      <c r="AD971">
        <v>860</v>
      </c>
      <c r="AE971">
        <v>1.5</v>
      </c>
      <c r="AF971">
        <v>0</v>
      </c>
      <c r="AG971">
        <v>1</v>
      </c>
      <c r="AH971">
        <v>0</v>
      </c>
      <c r="AI971">
        <v>1</v>
      </c>
      <c r="AJ971">
        <v>600</v>
      </c>
      <c r="AK971">
        <v>9</v>
      </c>
      <c r="AL971">
        <v>0</v>
      </c>
      <c r="AM971">
        <v>1</v>
      </c>
      <c r="AN971">
        <v>0</v>
      </c>
      <c r="AO971">
        <v>8.9664999999999999</v>
      </c>
      <c r="AP971">
        <v>5.5716666666666663</v>
      </c>
      <c r="AQ971">
        <v>734.59799999999996</v>
      </c>
      <c r="AS971">
        <v>1158.93</v>
      </c>
      <c r="AT971">
        <v>1196.83</v>
      </c>
      <c r="AX971" t="s">
        <v>108</v>
      </c>
    </row>
    <row r="972" spans="1:50" x14ac:dyDescent="0.45">
      <c r="A972">
        <v>10971</v>
      </c>
      <c r="B972">
        <v>1</v>
      </c>
      <c r="C972">
        <v>79.760000000000005</v>
      </c>
      <c r="D972">
        <v>5.39</v>
      </c>
      <c r="E972">
        <v>4.95</v>
      </c>
      <c r="F972">
        <v>3.9</v>
      </c>
      <c r="G972">
        <v>0</v>
      </c>
      <c r="H972">
        <v>0</v>
      </c>
      <c r="I972">
        <v>0</v>
      </c>
      <c r="J972">
        <v>1.0900000000000001</v>
      </c>
      <c r="K972">
        <v>0</v>
      </c>
      <c r="L972">
        <v>4.8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Y972">
        <v>1</v>
      </c>
      <c r="Z972">
        <v>0</v>
      </c>
      <c r="AA972">
        <v>0</v>
      </c>
      <c r="AB972">
        <v>0</v>
      </c>
      <c r="AC972">
        <v>1</v>
      </c>
      <c r="AD972">
        <v>880</v>
      </c>
      <c r="AE972">
        <v>1.5</v>
      </c>
      <c r="AF972">
        <v>0</v>
      </c>
      <c r="AG972">
        <v>1</v>
      </c>
      <c r="AH972">
        <v>0</v>
      </c>
      <c r="AI972">
        <v>1</v>
      </c>
      <c r="AJ972">
        <v>620</v>
      </c>
      <c r="AK972">
        <v>9</v>
      </c>
      <c r="AL972">
        <v>0</v>
      </c>
      <c r="AM972">
        <v>1</v>
      </c>
      <c r="AN972">
        <v>0</v>
      </c>
      <c r="AO972">
        <v>8.9664999999999999</v>
      </c>
      <c r="AP972">
        <v>5.5716666666666663</v>
      </c>
      <c r="AQ972">
        <v>734.59799999999996</v>
      </c>
      <c r="AS972">
        <v>1133.51</v>
      </c>
      <c r="AT972">
        <v>1180.6600000000001</v>
      </c>
      <c r="AX972" t="s">
        <v>108</v>
      </c>
    </row>
    <row r="973" spans="1:50" x14ac:dyDescent="0.45">
      <c r="A973">
        <v>10972</v>
      </c>
      <c r="B973">
        <v>1</v>
      </c>
      <c r="C973">
        <v>79.760000000000005</v>
      </c>
      <c r="D973">
        <v>5.39</v>
      </c>
      <c r="E973">
        <v>4.95</v>
      </c>
      <c r="F973">
        <v>3.9</v>
      </c>
      <c r="G973">
        <v>0</v>
      </c>
      <c r="H973">
        <v>0</v>
      </c>
      <c r="I973">
        <v>0</v>
      </c>
      <c r="J973">
        <v>1.0900000000000001</v>
      </c>
      <c r="K973">
        <v>0</v>
      </c>
      <c r="L973">
        <v>4.8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Y973">
        <v>1</v>
      </c>
      <c r="Z973">
        <v>0</v>
      </c>
      <c r="AA973">
        <v>0</v>
      </c>
      <c r="AB973">
        <v>0</v>
      </c>
      <c r="AC973">
        <v>1</v>
      </c>
      <c r="AD973">
        <v>900</v>
      </c>
      <c r="AE973">
        <v>1.5</v>
      </c>
      <c r="AF973">
        <v>0</v>
      </c>
      <c r="AG973">
        <v>1</v>
      </c>
      <c r="AH973">
        <v>0</v>
      </c>
      <c r="AI973">
        <v>1</v>
      </c>
      <c r="AJ973">
        <v>580</v>
      </c>
      <c r="AK973">
        <v>9</v>
      </c>
      <c r="AL973">
        <v>0</v>
      </c>
      <c r="AM973">
        <v>1</v>
      </c>
      <c r="AN973">
        <v>0</v>
      </c>
      <c r="AO973">
        <v>8.9664999999999999</v>
      </c>
      <c r="AP973">
        <v>5.5716666666666663</v>
      </c>
      <c r="AQ973">
        <v>734.59799999999996</v>
      </c>
      <c r="AS973">
        <v>1263.77</v>
      </c>
      <c r="AT973">
        <v>1316.93</v>
      </c>
      <c r="AX973" t="s">
        <v>108</v>
      </c>
    </row>
    <row r="974" spans="1:50" x14ac:dyDescent="0.45">
      <c r="A974">
        <v>10973</v>
      </c>
      <c r="B974">
        <v>1</v>
      </c>
      <c r="C974">
        <v>79.760000000000005</v>
      </c>
      <c r="D974">
        <v>5.39</v>
      </c>
      <c r="E974">
        <v>4.95</v>
      </c>
      <c r="F974">
        <v>3.9</v>
      </c>
      <c r="G974">
        <v>0</v>
      </c>
      <c r="H974">
        <v>0</v>
      </c>
      <c r="I974">
        <v>0</v>
      </c>
      <c r="J974">
        <v>1.0900000000000001</v>
      </c>
      <c r="K974">
        <v>0</v>
      </c>
      <c r="L974">
        <v>4.8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Y974">
        <v>1</v>
      </c>
      <c r="Z974">
        <v>0</v>
      </c>
      <c r="AA974">
        <v>0</v>
      </c>
      <c r="AB974">
        <v>0</v>
      </c>
      <c r="AC974">
        <v>1</v>
      </c>
      <c r="AD974">
        <v>900</v>
      </c>
      <c r="AE974">
        <v>1.5</v>
      </c>
      <c r="AF974">
        <v>0</v>
      </c>
      <c r="AG974">
        <v>1</v>
      </c>
      <c r="AH974">
        <v>0</v>
      </c>
      <c r="AI974">
        <v>1</v>
      </c>
      <c r="AJ974">
        <v>600</v>
      </c>
      <c r="AK974">
        <v>9</v>
      </c>
      <c r="AL974">
        <v>0</v>
      </c>
      <c r="AM974">
        <v>1</v>
      </c>
      <c r="AN974">
        <v>0</v>
      </c>
      <c r="AO974">
        <v>8.9664999999999999</v>
      </c>
      <c r="AP974">
        <v>5.5716666666666663</v>
      </c>
      <c r="AQ974">
        <v>734.59799999999996</v>
      </c>
      <c r="AS974">
        <v>1239.08</v>
      </c>
      <c r="AT974">
        <v>1268.04</v>
      </c>
      <c r="AX974" t="s">
        <v>108</v>
      </c>
    </row>
    <row r="975" spans="1:50" x14ac:dyDescent="0.45">
      <c r="A975">
        <v>10974</v>
      </c>
      <c r="B975">
        <v>1</v>
      </c>
      <c r="C975">
        <v>79.760000000000005</v>
      </c>
      <c r="D975">
        <v>5.39</v>
      </c>
      <c r="E975">
        <v>4.95</v>
      </c>
      <c r="F975">
        <v>3.9</v>
      </c>
      <c r="G975">
        <v>0</v>
      </c>
      <c r="H975">
        <v>0</v>
      </c>
      <c r="I975">
        <v>0</v>
      </c>
      <c r="J975">
        <v>1.0900000000000001</v>
      </c>
      <c r="K975">
        <v>0</v>
      </c>
      <c r="L975">
        <v>4.8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Y975">
        <v>1</v>
      </c>
      <c r="Z975">
        <v>0</v>
      </c>
      <c r="AA975">
        <v>0</v>
      </c>
      <c r="AB975">
        <v>0</v>
      </c>
      <c r="AC975">
        <v>1</v>
      </c>
      <c r="AD975">
        <v>900</v>
      </c>
      <c r="AE975">
        <v>1.5</v>
      </c>
      <c r="AF975">
        <v>0</v>
      </c>
      <c r="AG975">
        <v>1</v>
      </c>
      <c r="AH975">
        <v>0</v>
      </c>
      <c r="AI975">
        <v>1</v>
      </c>
      <c r="AJ975">
        <v>620</v>
      </c>
      <c r="AK975">
        <v>6</v>
      </c>
      <c r="AL975">
        <v>0</v>
      </c>
      <c r="AM975">
        <v>1</v>
      </c>
      <c r="AN975">
        <v>0</v>
      </c>
      <c r="AO975">
        <v>8.9664999999999999</v>
      </c>
      <c r="AP975">
        <v>5.5716666666666663</v>
      </c>
      <c r="AQ975">
        <v>734.59799999999996</v>
      </c>
      <c r="AS975">
        <v>1105.5</v>
      </c>
      <c r="AT975">
        <v>1153.17</v>
      </c>
      <c r="AX975" t="s">
        <v>108</v>
      </c>
    </row>
    <row r="976" spans="1:50" x14ac:dyDescent="0.45">
      <c r="A976">
        <v>10975</v>
      </c>
      <c r="B976">
        <v>1</v>
      </c>
      <c r="C976">
        <v>79.760000000000005</v>
      </c>
      <c r="D976">
        <v>5.39</v>
      </c>
      <c r="E976">
        <v>4.95</v>
      </c>
      <c r="F976">
        <v>3.9</v>
      </c>
      <c r="G976">
        <v>0</v>
      </c>
      <c r="H976">
        <v>0</v>
      </c>
      <c r="I976">
        <v>0</v>
      </c>
      <c r="J976">
        <v>1.0900000000000001</v>
      </c>
      <c r="K976">
        <v>0</v>
      </c>
      <c r="L976">
        <v>4.8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Y976">
        <v>1</v>
      </c>
      <c r="Z976">
        <v>0</v>
      </c>
      <c r="AA976">
        <v>0</v>
      </c>
      <c r="AB976">
        <v>0</v>
      </c>
      <c r="AC976">
        <v>1</v>
      </c>
      <c r="AD976">
        <v>900</v>
      </c>
      <c r="AE976">
        <v>1.5</v>
      </c>
      <c r="AF976">
        <v>0</v>
      </c>
      <c r="AG976">
        <v>1</v>
      </c>
      <c r="AH976">
        <v>0</v>
      </c>
      <c r="AI976">
        <v>1</v>
      </c>
      <c r="AJ976">
        <v>620</v>
      </c>
      <c r="AK976">
        <v>7</v>
      </c>
      <c r="AL976">
        <v>0</v>
      </c>
      <c r="AM976">
        <v>1</v>
      </c>
      <c r="AN976">
        <v>0</v>
      </c>
      <c r="AO976">
        <v>8.9664999999999999</v>
      </c>
      <c r="AP976">
        <v>5.5716666666666663</v>
      </c>
      <c r="AQ976">
        <v>734.59799999999996</v>
      </c>
      <c r="AS976">
        <v>1155.2</v>
      </c>
      <c r="AT976">
        <v>1193.55</v>
      </c>
      <c r="AX976" t="s">
        <v>108</v>
      </c>
    </row>
    <row r="977" spans="1:50" x14ac:dyDescent="0.45">
      <c r="A977">
        <v>10976</v>
      </c>
      <c r="B977">
        <v>1</v>
      </c>
      <c r="C977">
        <v>79.760000000000005</v>
      </c>
      <c r="D977">
        <v>5.39</v>
      </c>
      <c r="E977">
        <v>4.95</v>
      </c>
      <c r="F977">
        <v>3.9</v>
      </c>
      <c r="G977">
        <v>0</v>
      </c>
      <c r="H977">
        <v>0</v>
      </c>
      <c r="I977">
        <v>0</v>
      </c>
      <c r="J977">
        <v>1.0900000000000001</v>
      </c>
      <c r="K977">
        <v>0</v>
      </c>
      <c r="L977">
        <v>4.8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Y977">
        <v>1</v>
      </c>
      <c r="Z977">
        <v>0</v>
      </c>
      <c r="AA977">
        <v>0</v>
      </c>
      <c r="AB977">
        <v>0</v>
      </c>
      <c r="AC977">
        <v>1</v>
      </c>
      <c r="AD977">
        <v>900</v>
      </c>
      <c r="AE977">
        <v>1.5</v>
      </c>
      <c r="AF977">
        <v>0</v>
      </c>
      <c r="AG977">
        <v>1</v>
      </c>
      <c r="AH977">
        <v>0</v>
      </c>
      <c r="AI977">
        <v>1</v>
      </c>
      <c r="AJ977">
        <v>620</v>
      </c>
      <c r="AK977">
        <v>8</v>
      </c>
      <c r="AL977">
        <v>0</v>
      </c>
      <c r="AM977">
        <v>1</v>
      </c>
      <c r="AN977">
        <v>0</v>
      </c>
      <c r="AO977">
        <v>8.9664999999999999</v>
      </c>
      <c r="AP977">
        <v>5.5716666666666663</v>
      </c>
      <c r="AQ977">
        <v>734.59799999999996</v>
      </c>
      <c r="AS977">
        <v>1209.2</v>
      </c>
      <c r="AT977">
        <v>1246.83</v>
      </c>
      <c r="AX977" t="s">
        <v>108</v>
      </c>
    </row>
    <row r="978" spans="1:50" x14ac:dyDescent="0.45">
      <c r="A978">
        <v>10977</v>
      </c>
      <c r="B978">
        <v>1</v>
      </c>
      <c r="C978">
        <v>79.760000000000005</v>
      </c>
      <c r="D978">
        <v>5.39</v>
      </c>
      <c r="E978">
        <v>4.95</v>
      </c>
      <c r="F978">
        <v>3.9</v>
      </c>
      <c r="G978">
        <v>0</v>
      </c>
      <c r="H978">
        <v>0</v>
      </c>
      <c r="I978">
        <v>0</v>
      </c>
      <c r="J978">
        <v>1.0900000000000001</v>
      </c>
      <c r="K978">
        <v>0</v>
      </c>
      <c r="L978">
        <v>4.8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Y978">
        <v>1</v>
      </c>
      <c r="Z978">
        <v>0</v>
      </c>
      <c r="AA978">
        <v>0</v>
      </c>
      <c r="AB978">
        <v>0</v>
      </c>
      <c r="AC978">
        <v>1</v>
      </c>
      <c r="AD978">
        <v>900</v>
      </c>
      <c r="AE978">
        <v>1.5</v>
      </c>
      <c r="AF978">
        <v>0</v>
      </c>
      <c r="AG978">
        <v>1</v>
      </c>
      <c r="AH978">
        <v>0</v>
      </c>
      <c r="AI978">
        <v>1</v>
      </c>
      <c r="AJ978">
        <v>620</v>
      </c>
      <c r="AK978">
        <v>9</v>
      </c>
      <c r="AL978">
        <v>0</v>
      </c>
      <c r="AM978">
        <v>1</v>
      </c>
      <c r="AN978">
        <v>0</v>
      </c>
      <c r="AO978">
        <v>8.9664999999999999</v>
      </c>
      <c r="AP978">
        <v>5.5716666666666663</v>
      </c>
      <c r="AQ978">
        <v>734.59799999999996</v>
      </c>
      <c r="AS978">
        <v>1182.56</v>
      </c>
      <c r="AT978">
        <v>1234.52</v>
      </c>
      <c r="AX978" t="s">
        <v>108</v>
      </c>
    </row>
    <row r="979" spans="1:50" x14ac:dyDescent="0.45">
      <c r="A979">
        <v>10978</v>
      </c>
      <c r="B979">
        <v>1</v>
      </c>
      <c r="C979">
        <v>79.760000000000005</v>
      </c>
      <c r="D979">
        <v>5.39</v>
      </c>
      <c r="E979">
        <v>4.95</v>
      </c>
      <c r="F979">
        <v>3.9</v>
      </c>
      <c r="G979">
        <v>0</v>
      </c>
      <c r="H979">
        <v>0</v>
      </c>
      <c r="I979">
        <v>0</v>
      </c>
      <c r="J979">
        <v>1.0900000000000001</v>
      </c>
      <c r="K979">
        <v>0</v>
      </c>
      <c r="L979">
        <v>4.8</v>
      </c>
      <c r="M979">
        <v>0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Y979">
        <v>1</v>
      </c>
      <c r="Z979">
        <v>0</v>
      </c>
      <c r="AA979">
        <v>0</v>
      </c>
      <c r="AB979">
        <v>0</v>
      </c>
      <c r="AC979">
        <v>1</v>
      </c>
      <c r="AD979">
        <v>900</v>
      </c>
      <c r="AE979">
        <v>1.5</v>
      </c>
      <c r="AF979">
        <v>0</v>
      </c>
      <c r="AG979">
        <v>1</v>
      </c>
      <c r="AH979">
        <v>0</v>
      </c>
      <c r="AI979">
        <v>1</v>
      </c>
      <c r="AJ979">
        <v>620</v>
      </c>
      <c r="AK979">
        <v>10</v>
      </c>
      <c r="AL979">
        <v>0</v>
      </c>
      <c r="AM979">
        <v>1</v>
      </c>
      <c r="AN979">
        <v>0</v>
      </c>
      <c r="AO979">
        <v>8.9664999999999999</v>
      </c>
      <c r="AP979">
        <v>5.5716666666666663</v>
      </c>
      <c r="AQ979">
        <v>734.59799999999996</v>
      </c>
      <c r="AS979">
        <v>1133.33</v>
      </c>
      <c r="AT979">
        <v>1179.21</v>
      </c>
      <c r="AX979" t="s">
        <v>108</v>
      </c>
    </row>
    <row r="980" spans="1:50" x14ac:dyDescent="0.45">
      <c r="A980">
        <v>10979</v>
      </c>
      <c r="B980">
        <v>1</v>
      </c>
      <c r="C980">
        <v>79.760000000000005</v>
      </c>
      <c r="D980">
        <v>5.39</v>
      </c>
      <c r="E980">
        <v>4.95</v>
      </c>
      <c r="F980">
        <v>3.9</v>
      </c>
      <c r="G980">
        <v>0</v>
      </c>
      <c r="H980">
        <v>0</v>
      </c>
      <c r="I980">
        <v>0</v>
      </c>
      <c r="J980">
        <v>1.0900000000000001</v>
      </c>
      <c r="K980">
        <v>0</v>
      </c>
      <c r="L980">
        <v>4.8</v>
      </c>
      <c r="M980">
        <v>0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Y980">
        <v>1</v>
      </c>
      <c r="Z980">
        <v>0</v>
      </c>
      <c r="AA980">
        <v>0</v>
      </c>
      <c r="AB980">
        <v>0</v>
      </c>
      <c r="AC980">
        <v>1</v>
      </c>
      <c r="AD980">
        <v>900</v>
      </c>
      <c r="AE980">
        <v>1.5</v>
      </c>
      <c r="AF980">
        <v>0</v>
      </c>
      <c r="AG980">
        <v>1</v>
      </c>
      <c r="AH980">
        <v>0</v>
      </c>
      <c r="AI980">
        <v>1</v>
      </c>
      <c r="AJ980">
        <v>640</v>
      </c>
      <c r="AK980">
        <v>9</v>
      </c>
      <c r="AL980">
        <v>0</v>
      </c>
      <c r="AM980">
        <v>1</v>
      </c>
      <c r="AN980">
        <v>0</v>
      </c>
      <c r="AO980">
        <v>8.9664999999999999</v>
      </c>
      <c r="AP980">
        <v>5.5716666666666663</v>
      </c>
      <c r="AQ980">
        <v>734.59799999999996</v>
      </c>
      <c r="AS980">
        <v>1173.0999999999999</v>
      </c>
      <c r="AT980">
        <v>1208.23</v>
      </c>
      <c r="AX980" t="s">
        <v>108</v>
      </c>
    </row>
    <row r="981" spans="1:50" x14ac:dyDescent="0.45">
      <c r="A981">
        <v>10980</v>
      </c>
      <c r="B981">
        <v>1</v>
      </c>
      <c r="C981">
        <v>91.28</v>
      </c>
      <c r="D981">
        <v>4.95</v>
      </c>
      <c r="E981">
        <v>1</v>
      </c>
      <c r="F981">
        <v>0</v>
      </c>
      <c r="G981">
        <v>0</v>
      </c>
      <c r="H981">
        <v>0</v>
      </c>
      <c r="I981">
        <v>0</v>
      </c>
      <c r="J981">
        <v>1</v>
      </c>
      <c r="K981">
        <v>0</v>
      </c>
      <c r="L981">
        <v>0.78500000000000003</v>
      </c>
      <c r="M981">
        <v>0.98499999999999999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Y981">
        <v>1</v>
      </c>
      <c r="Z981">
        <v>0</v>
      </c>
      <c r="AA981">
        <v>0</v>
      </c>
      <c r="AB981">
        <v>0</v>
      </c>
      <c r="AC981">
        <v>0</v>
      </c>
      <c r="AI981">
        <v>0</v>
      </c>
      <c r="AO981">
        <v>-3.4950000000000001</v>
      </c>
      <c r="AP981">
        <v>5.4450000000000003</v>
      </c>
      <c r="AQ981">
        <v>870.37450000000001</v>
      </c>
      <c r="AS981">
        <v>788.3</v>
      </c>
      <c r="AT981">
        <v>882.3</v>
      </c>
      <c r="AU981">
        <v>12.8</v>
      </c>
      <c r="AX981" t="s">
        <v>200</v>
      </c>
    </row>
    <row r="982" spans="1:50" x14ac:dyDescent="0.45">
      <c r="A982">
        <v>10981</v>
      </c>
      <c r="B982">
        <v>1</v>
      </c>
      <c r="C982">
        <v>91.28</v>
      </c>
      <c r="D982">
        <v>4.95</v>
      </c>
      <c r="E982">
        <v>1</v>
      </c>
      <c r="F982">
        <v>0</v>
      </c>
      <c r="G982">
        <v>0</v>
      </c>
      <c r="H982">
        <v>0</v>
      </c>
      <c r="I982">
        <v>0</v>
      </c>
      <c r="J982">
        <v>1</v>
      </c>
      <c r="K982">
        <v>0</v>
      </c>
      <c r="L982">
        <v>0.78500000000000003</v>
      </c>
      <c r="M982">
        <v>0.98499999999999999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Y982">
        <v>1</v>
      </c>
      <c r="Z982">
        <v>0</v>
      </c>
      <c r="AA982">
        <v>0</v>
      </c>
      <c r="AB982">
        <v>0</v>
      </c>
      <c r="AC982">
        <v>1</v>
      </c>
      <c r="AD982">
        <v>900</v>
      </c>
      <c r="AE982">
        <v>1</v>
      </c>
      <c r="AF982">
        <v>0</v>
      </c>
      <c r="AG982">
        <v>1</v>
      </c>
      <c r="AH982">
        <v>0</v>
      </c>
      <c r="AI982">
        <v>0</v>
      </c>
      <c r="AO982">
        <v>-3.4950000000000001</v>
      </c>
      <c r="AP982">
        <v>5.4450000000000003</v>
      </c>
      <c r="AQ982">
        <v>870.37450000000001</v>
      </c>
      <c r="AS982">
        <v>740</v>
      </c>
      <c r="AT982">
        <v>853.6</v>
      </c>
      <c r="AU982">
        <v>11.2</v>
      </c>
      <c r="AX982" t="s">
        <v>200</v>
      </c>
    </row>
    <row r="983" spans="1:50" x14ac:dyDescent="0.45">
      <c r="A983">
        <v>10982</v>
      </c>
      <c r="B983">
        <v>1</v>
      </c>
      <c r="C983">
        <v>91.28</v>
      </c>
      <c r="D983">
        <v>4.95</v>
      </c>
      <c r="E983">
        <v>1</v>
      </c>
      <c r="F983">
        <v>0</v>
      </c>
      <c r="G983">
        <v>0</v>
      </c>
      <c r="H983">
        <v>0</v>
      </c>
      <c r="I983">
        <v>0</v>
      </c>
      <c r="J983">
        <v>1</v>
      </c>
      <c r="K983">
        <v>0</v>
      </c>
      <c r="L983">
        <v>0.78500000000000003</v>
      </c>
      <c r="M983">
        <v>0.98499999999999999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Y983">
        <v>1</v>
      </c>
      <c r="Z983">
        <v>0</v>
      </c>
      <c r="AA983">
        <v>0</v>
      </c>
      <c r="AB983">
        <v>0</v>
      </c>
      <c r="AC983">
        <v>1</v>
      </c>
      <c r="AD983">
        <v>950</v>
      </c>
      <c r="AE983">
        <v>1</v>
      </c>
      <c r="AF983">
        <v>0</v>
      </c>
      <c r="AG983">
        <v>1</v>
      </c>
      <c r="AH983">
        <v>0</v>
      </c>
      <c r="AI983">
        <v>0</v>
      </c>
      <c r="AO983">
        <v>-3.4950000000000001</v>
      </c>
      <c r="AP983">
        <v>5.4450000000000003</v>
      </c>
      <c r="AQ983">
        <v>870.37450000000001</v>
      </c>
      <c r="AS983">
        <v>711.7</v>
      </c>
      <c r="AT983">
        <v>836</v>
      </c>
      <c r="AU983">
        <v>14.1</v>
      </c>
      <c r="AX983" t="s">
        <v>200</v>
      </c>
    </row>
    <row r="984" spans="1:50" x14ac:dyDescent="0.45">
      <c r="A984">
        <v>10983</v>
      </c>
      <c r="B984">
        <v>1</v>
      </c>
      <c r="C984">
        <v>87.6798</v>
      </c>
      <c r="D984">
        <v>6.04</v>
      </c>
      <c r="E984">
        <v>0</v>
      </c>
      <c r="F984">
        <v>0</v>
      </c>
      <c r="G984">
        <v>0</v>
      </c>
      <c r="H984">
        <v>0.1</v>
      </c>
      <c r="I984">
        <v>0</v>
      </c>
      <c r="J984">
        <v>2.0499999999999998</v>
      </c>
      <c r="K984">
        <v>3.05</v>
      </c>
      <c r="L984">
        <v>1.04</v>
      </c>
      <c r="M984">
        <v>0</v>
      </c>
      <c r="N984">
        <v>0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1</v>
      </c>
      <c r="Y984">
        <v>0</v>
      </c>
      <c r="Z984">
        <v>1</v>
      </c>
      <c r="AA984">
        <v>0</v>
      </c>
      <c r="AB984">
        <v>0</v>
      </c>
      <c r="AC984">
        <v>1</v>
      </c>
      <c r="AD984">
        <v>970</v>
      </c>
      <c r="AE984">
        <v>2</v>
      </c>
      <c r="AF984">
        <v>0</v>
      </c>
      <c r="AG984">
        <v>0</v>
      </c>
      <c r="AH984">
        <v>1</v>
      </c>
      <c r="AI984">
        <v>0</v>
      </c>
      <c r="AO984">
        <v>-3.8559999999999999</v>
      </c>
      <c r="AP984">
        <v>6.3816666666666668</v>
      </c>
      <c r="AQ984">
        <v>869.11900000000003</v>
      </c>
      <c r="AS984">
        <v>731</v>
      </c>
      <c r="AT984">
        <v>793</v>
      </c>
      <c r="AU984">
        <v>14.5</v>
      </c>
      <c r="AX984" t="s">
        <v>201</v>
      </c>
    </row>
    <row r="985" spans="1:50" x14ac:dyDescent="0.45">
      <c r="A985">
        <v>10984</v>
      </c>
      <c r="B985">
        <v>1</v>
      </c>
      <c r="C985">
        <v>87.6798</v>
      </c>
      <c r="D985">
        <v>6.04</v>
      </c>
      <c r="E985">
        <v>0</v>
      </c>
      <c r="F985">
        <v>0</v>
      </c>
      <c r="G985">
        <v>0</v>
      </c>
      <c r="H985">
        <v>0.1</v>
      </c>
      <c r="I985">
        <v>0</v>
      </c>
      <c r="J985">
        <v>2.0499999999999998</v>
      </c>
      <c r="K985">
        <v>3.05</v>
      </c>
      <c r="L985">
        <v>1.04</v>
      </c>
      <c r="M985">
        <v>0</v>
      </c>
      <c r="N985">
        <v>0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1</v>
      </c>
      <c r="Y985">
        <v>0</v>
      </c>
      <c r="Z985">
        <v>1</v>
      </c>
      <c r="AA985">
        <v>0</v>
      </c>
      <c r="AB985">
        <v>0</v>
      </c>
      <c r="AC985">
        <v>1</v>
      </c>
      <c r="AD985">
        <v>970</v>
      </c>
      <c r="AE985">
        <v>2</v>
      </c>
      <c r="AF985">
        <v>0</v>
      </c>
      <c r="AG985">
        <v>1</v>
      </c>
      <c r="AH985">
        <v>0</v>
      </c>
      <c r="AI985">
        <v>0</v>
      </c>
      <c r="AO985">
        <v>-3.8559999999999999</v>
      </c>
      <c r="AP985">
        <v>6.3816666666666668</v>
      </c>
      <c r="AQ985">
        <v>869.11900000000003</v>
      </c>
      <c r="AS985">
        <v>763</v>
      </c>
      <c r="AT985">
        <v>880</v>
      </c>
      <c r="AU985">
        <v>12.6</v>
      </c>
      <c r="AX985" t="s">
        <v>201</v>
      </c>
    </row>
    <row r="986" spans="1:50" x14ac:dyDescent="0.45">
      <c r="A986">
        <v>10985</v>
      </c>
      <c r="B986">
        <v>1</v>
      </c>
      <c r="C986">
        <v>87.6798</v>
      </c>
      <c r="D986">
        <v>6.04</v>
      </c>
      <c r="E986">
        <v>0</v>
      </c>
      <c r="F986">
        <v>0</v>
      </c>
      <c r="G986">
        <v>0</v>
      </c>
      <c r="H986">
        <v>0.1</v>
      </c>
      <c r="I986">
        <v>0</v>
      </c>
      <c r="J986">
        <v>2.0499999999999998</v>
      </c>
      <c r="K986">
        <v>3.05</v>
      </c>
      <c r="L986">
        <v>1.04</v>
      </c>
      <c r="M986">
        <v>0</v>
      </c>
      <c r="N986">
        <v>0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1</v>
      </c>
      <c r="Y986">
        <v>0</v>
      </c>
      <c r="Z986">
        <v>1</v>
      </c>
      <c r="AA986">
        <v>0</v>
      </c>
      <c r="AB986">
        <v>0</v>
      </c>
      <c r="AC986">
        <v>1</v>
      </c>
      <c r="AD986">
        <v>970</v>
      </c>
      <c r="AE986">
        <v>2</v>
      </c>
      <c r="AF986">
        <v>1</v>
      </c>
      <c r="AG986">
        <v>0</v>
      </c>
      <c r="AH986">
        <v>0</v>
      </c>
      <c r="AI986">
        <v>1</v>
      </c>
      <c r="AJ986">
        <v>600</v>
      </c>
      <c r="AK986">
        <v>5</v>
      </c>
      <c r="AL986">
        <v>0</v>
      </c>
      <c r="AM986">
        <v>1</v>
      </c>
      <c r="AN986">
        <v>0</v>
      </c>
      <c r="AO986">
        <v>-3.8559999999999999</v>
      </c>
      <c r="AP986">
        <v>6.3816666666666668</v>
      </c>
      <c r="AQ986">
        <v>869.11900000000003</v>
      </c>
      <c r="AS986">
        <v>918</v>
      </c>
      <c r="AT986">
        <v>984</v>
      </c>
      <c r="AU986">
        <v>10.1</v>
      </c>
      <c r="AX986" t="s">
        <v>201</v>
      </c>
    </row>
    <row r="987" spans="1:50" x14ac:dyDescent="0.45">
      <c r="A987">
        <v>10986</v>
      </c>
      <c r="B987">
        <v>1</v>
      </c>
      <c r="C987">
        <v>80.722999999999999</v>
      </c>
      <c r="D987">
        <v>5.0599999999999996</v>
      </c>
      <c r="E987">
        <v>0</v>
      </c>
      <c r="F987">
        <v>3.62</v>
      </c>
      <c r="G987">
        <v>0</v>
      </c>
      <c r="H987">
        <v>0.47699999999999998</v>
      </c>
      <c r="I987">
        <v>0</v>
      </c>
      <c r="J987">
        <v>0</v>
      </c>
      <c r="K987">
        <v>2.9</v>
      </c>
      <c r="L987">
        <v>7</v>
      </c>
      <c r="M987">
        <v>0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Y987">
        <v>1</v>
      </c>
      <c r="Z987">
        <v>0</v>
      </c>
      <c r="AA987">
        <v>0</v>
      </c>
      <c r="AB987">
        <v>0</v>
      </c>
      <c r="AC987">
        <v>1</v>
      </c>
      <c r="AD987">
        <v>910</v>
      </c>
      <c r="AE987">
        <v>0.5</v>
      </c>
      <c r="AF987">
        <v>1</v>
      </c>
      <c r="AG987">
        <v>0</v>
      </c>
      <c r="AH987">
        <v>0</v>
      </c>
      <c r="AI987">
        <v>0</v>
      </c>
      <c r="AO987">
        <v>9.9273000000000025</v>
      </c>
      <c r="AP987">
        <v>5.0599999999999996</v>
      </c>
      <c r="AQ987">
        <v>774.9781999999999</v>
      </c>
      <c r="AS987">
        <v>877</v>
      </c>
      <c r="AT987">
        <v>880</v>
      </c>
      <c r="AU987">
        <v>13.6</v>
      </c>
      <c r="AX987" t="s">
        <v>108</v>
      </c>
    </row>
    <row r="988" spans="1:50" x14ac:dyDescent="0.45">
      <c r="A988">
        <v>10987</v>
      </c>
      <c r="B988">
        <v>1</v>
      </c>
      <c r="C988">
        <v>80.722999999999999</v>
      </c>
      <c r="D988">
        <v>5.0599999999999996</v>
      </c>
      <c r="E988">
        <v>0</v>
      </c>
      <c r="F988">
        <v>3.62</v>
      </c>
      <c r="G988">
        <v>0</v>
      </c>
      <c r="H988">
        <v>0.47699999999999998</v>
      </c>
      <c r="I988">
        <v>0</v>
      </c>
      <c r="J988">
        <v>0</v>
      </c>
      <c r="K988">
        <v>2.9</v>
      </c>
      <c r="L988">
        <v>7</v>
      </c>
      <c r="M988">
        <v>0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Y988">
        <v>1</v>
      </c>
      <c r="Z988">
        <v>0</v>
      </c>
      <c r="AA988">
        <v>0</v>
      </c>
      <c r="AB988">
        <v>0</v>
      </c>
      <c r="AC988">
        <v>1</v>
      </c>
      <c r="AD988">
        <v>850</v>
      </c>
      <c r="AE988">
        <v>0.5</v>
      </c>
      <c r="AF988">
        <v>1</v>
      </c>
      <c r="AG988">
        <v>0</v>
      </c>
      <c r="AH988">
        <v>0</v>
      </c>
      <c r="AI988">
        <v>0</v>
      </c>
      <c r="AO988">
        <v>9.9273000000000025</v>
      </c>
      <c r="AP988">
        <v>5.0599999999999996</v>
      </c>
      <c r="AQ988">
        <v>774.9781999999999</v>
      </c>
      <c r="AS988">
        <v>895</v>
      </c>
      <c r="AT988">
        <v>931</v>
      </c>
      <c r="AU988">
        <v>8.1999999999999993</v>
      </c>
      <c r="AX988" t="s">
        <v>108</v>
      </c>
    </row>
    <row r="989" spans="1:50" x14ac:dyDescent="0.45">
      <c r="A989">
        <v>10988</v>
      </c>
      <c r="B989">
        <v>1</v>
      </c>
      <c r="C989">
        <v>80.722999999999999</v>
      </c>
      <c r="D989">
        <v>5.0599999999999996</v>
      </c>
      <c r="E989">
        <v>0</v>
      </c>
      <c r="F989">
        <v>3.62</v>
      </c>
      <c r="G989">
        <v>0</v>
      </c>
      <c r="H989">
        <v>0.47699999999999998</v>
      </c>
      <c r="I989">
        <v>0</v>
      </c>
      <c r="J989">
        <v>0</v>
      </c>
      <c r="K989">
        <v>2.9</v>
      </c>
      <c r="L989">
        <v>7</v>
      </c>
      <c r="M989">
        <v>0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Y989">
        <v>1</v>
      </c>
      <c r="Z989">
        <v>0</v>
      </c>
      <c r="AA989">
        <v>0</v>
      </c>
      <c r="AB989">
        <v>0</v>
      </c>
      <c r="AC989">
        <v>1</v>
      </c>
      <c r="AD989">
        <v>910</v>
      </c>
      <c r="AE989">
        <v>0.5</v>
      </c>
      <c r="AF989">
        <v>1</v>
      </c>
      <c r="AG989">
        <v>0</v>
      </c>
      <c r="AH989">
        <v>0</v>
      </c>
      <c r="AI989">
        <v>1</v>
      </c>
      <c r="AJ989">
        <v>560</v>
      </c>
      <c r="AK989">
        <v>6</v>
      </c>
      <c r="AL989">
        <v>0</v>
      </c>
      <c r="AM989">
        <v>1</v>
      </c>
      <c r="AN989">
        <v>0</v>
      </c>
      <c r="AO989">
        <v>9.9273000000000025</v>
      </c>
      <c r="AP989">
        <v>5.0599999999999996</v>
      </c>
      <c r="AQ989">
        <v>774.9781999999999</v>
      </c>
      <c r="AS989">
        <v>1180</v>
      </c>
      <c r="AT989">
        <v>1417</v>
      </c>
      <c r="AU989">
        <v>1.7</v>
      </c>
      <c r="AX989" t="s">
        <v>108</v>
      </c>
    </row>
    <row r="990" spans="1:50" x14ac:dyDescent="0.45">
      <c r="A990">
        <v>10989</v>
      </c>
      <c r="B990">
        <v>1</v>
      </c>
      <c r="C990">
        <v>80.722999999999999</v>
      </c>
      <c r="D990">
        <v>5.0599999999999996</v>
      </c>
      <c r="E990">
        <v>0</v>
      </c>
      <c r="F990">
        <v>3.62</v>
      </c>
      <c r="G990">
        <v>0</v>
      </c>
      <c r="H990">
        <v>0.47699999999999998</v>
      </c>
      <c r="I990">
        <v>0</v>
      </c>
      <c r="J990">
        <v>0</v>
      </c>
      <c r="K990">
        <v>2.9</v>
      </c>
      <c r="L990">
        <v>7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Y990">
        <v>1</v>
      </c>
      <c r="Z990">
        <v>0</v>
      </c>
      <c r="AA990">
        <v>0</v>
      </c>
      <c r="AB990">
        <v>0</v>
      </c>
      <c r="AC990">
        <v>1</v>
      </c>
      <c r="AD990">
        <v>850</v>
      </c>
      <c r="AE990">
        <v>0.5</v>
      </c>
      <c r="AF990">
        <v>1</v>
      </c>
      <c r="AG990">
        <v>0</v>
      </c>
      <c r="AH990">
        <v>0</v>
      </c>
      <c r="AI990">
        <v>1</v>
      </c>
      <c r="AJ990">
        <v>560</v>
      </c>
      <c r="AK990">
        <v>6</v>
      </c>
      <c r="AL990">
        <v>0</v>
      </c>
      <c r="AM990">
        <v>1</v>
      </c>
      <c r="AN990">
        <v>0</v>
      </c>
      <c r="AO990">
        <v>9.9273000000000025</v>
      </c>
      <c r="AP990">
        <v>5.0599999999999996</v>
      </c>
      <c r="AQ990">
        <v>774.9781999999999</v>
      </c>
      <c r="AS990">
        <v>1105</v>
      </c>
      <c r="AT990">
        <v>1366</v>
      </c>
      <c r="AU990">
        <v>4.5</v>
      </c>
      <c r="AX990" t="s">
        <v>108</v>
      </c>
    </row>
    <row r="991" spans="1:50" x14ac:dyDescent="0.45">
      <c r="A991">
        <v>10990</v>
      </c>
      <c r="B991">
        <v>1</v>
      </c>
      <c r="C991">
        <v>79.95</v>
      </c>
      <c r="D991">
        <v>6</v>
      </c>
      <c r="E991">
        <v>0</v>
      </c>
      <c r="F991">
        <v>0</v>
      </c>
      <c r="G991">
        <v>0</v>
      </c>
      <c r="H991">
        <v>0</v>
      </c>
      <c r="I991">
        <v>0</v>
      </c>
      <c r="J991">
        <v>7</v>
      </c>
      <c r="K991">
        <v>1</v>
      </c>
      <c r="L991">
        <v>0.8</v>
      </c>
      <c r="M991">
        <v>4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Y991">
        <v>1</v>
      </c>
      <c r="Z991">
        <v>0</v>
      </c>
      <c r="AA991">
        <v>0</v>
      </c>
      <c r="AB991">
        <v>0</v>
      </c>
      <c r="AC991">
        <v>0</v>
      </c>
      <c r="AI991">
        <v>0</v>
      </c>
      <c r="AO991">
        <v>-4.92</v>
      </c>
      <c r="AP991">
        <v>8.5</v>
      </c>
      <c r="AQ991">
        <v>855.5</v>
      </c>
      <c r="AS991">
        <v>1066</v>
      </c>
      <c r="AT991">
        <v>1130</v>
      </c>
      <c r="AU991">
        <v>1.8</v>
      </c>
      <c r="AX991" t="s">
        <v>108</v>
      </c>
    </row>
    <row r="992" spans="1:50" x14ac:dyDescent="0.45">
      <c r="A992">
        <v>10991</v>
      </c>
      <c r="B992">
        <v>1</v>
      </c>
      <c r="C992">
        <v>77.95</v>
      </c>
      <c r="D992">
        <v>6</v>
      </c>
      <c r="E992">
        <v>0</v>
      </c>
      <c r="F992">
        <v>0</v>
      </c>
      <c r="G992">
        <v>0</v>
      </c>
      <c r="H992">
        <v>0</v>
      </c>
      <c r="I992">
        <v>0</v>
      </c>
      <c r="J992">
        <v>9</v>
      </c>
      <c r="K992">
        <v>1</v>
      </c>
      <c r="L992">
        <v>0.8</v>
      </c>
      <c r="M992">
        <v>4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0</v>
      </c>
      <c r="T992">
        <v>0</v>
      </c>
      <c r="U992">
        <v>0</v>
      </c>
      <c r="V992">
        <v>0</v>
      </c>
      <c r="Y992">
        <v>1</v>
      </c>
      <c r="Z992">
        <v>0</v>
      </c>
      <c r="AA992">
        <v>0</v>
      </c>
      <c r="AB992">
        <v>0</v>
      </c>
      <c r="AC992">
        <v>0</v>
      </c>
      <c r="AI992">
        <v>0</v>
      </c>
      <c r="AO992">
        <v>-4.92</v>
      </c>
      <c r="AP992">
        <v>8.8333333333333339</v>
      </c>
      <c r="AQ992">
        <v>841.69999999999993</v>
      </c>
      <c r="AS992">
        <v>985</v>
      </c>
      <c r="AT992">
        <v>1068</v>
      </c>
      <c r="AU992">
        <v>1.1399999999999999</v>
      </c>
      <c r="AX992" t="s">
        <v>108</v>
      </c>
    </row>
    <row r="993" spans="1:50" x14ac:dyDescent="0.45">
      <c r="A993">
        <v>10992</v>
      </c>
      <c r="B993">
        <v>1</v>
      </c>
      <c r="C993">
        <v>75.95</v>
      </c>
      <c r="D993">
        <v>6</v>
      </c>
      <c r="E993">
        <v>0</v>
      </c>
      <c r="F993">
        <v>0</v>
      </c>
      <c r="G993">
        <v>0</v>
      </c>
      <c r="H993">
        <v>0</v>
      </c>
      <c r="I993">
        <v>0</v>
      </c>
      <c r="J993">
        <v>11</v>
      </c>
      <c r="K993">
        <v>1</v>
      </c>
      <c r="L993">
        <v>0.8</v>
      </c>
      <c r="M993">
        <v>4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0</v>
      </c>
      <c r="U993">
        <v>0</v>
      </c>
      <c r="V993">
        <v>0</v>
      </c>
      <c r="Y993">
        <v>1</v>
      </c>
      <c r="Z993">
        <v>0</v>
      </c>
      <c r="AA993">
        <v>0</v>
      </c>
      <c r="AB993">
        <v>0</v>
      </c>
      <c r="AC993">
        <v>0</v>
      </c>
      <c r="AI993">
        <v>0</v>
      </c>
      <c r="AO993">
        <v>-4.92</v>
      </c>
      <c r="AP993">
        <v>9.1666666666666661</v>
      </c>
      <c r="AQ993">
        <v>827.9</v>
      </c>
      <c r="AS993">
        <v>963</v>
      </c>
      <c r="AT993">
        <v>1050</v>
      </c>
      <c r="AU993">
        <v>1.7</v>
      </c>
      <c r="AX993" t="s">
        <v>108</v>
      </c>
    </row>
    <row r="994" spans="1:50" x14ac:dyDescent="0.45">
      <c r="A994">
        <v>10993</v>
      </c>
      <c r="B994">
        <v>1</v>
      </c>
      <c r="C994">
        <v>81.3</v>
      </c>
      <c r="D994">
        <v>0</v>
      </c>
      <c r="E994">
        <v>0</v>
      </c>
      <c r="F994">
        <v>0</v>
      </c>
      <c r="G994">
        <v>0</v>
      </c>
      <c r="H994">
        <v>0</v>
      </c>
      <c r="I994">
        <v>0</v>
      </c>
      <c r="J994">
        <v>6.3</v>
      </c>
      <c r="K994">
        <v>3.1</v>
      </c>
      <c r="L994">
        <v>3.1</v>
      </c>
      <c r="M994">
        <v>3.1</v>
      </c>
      <c r="N994">
        <v>0</v>
      </c>
      <c r="O994">
        <v>3.1</v>
      </c>
      <c r="P994">
        <v>0</v>
      </c>
      <c r="Q994">
        <v>0</v>
      </c>
      <c r="R994">
        <v>0</v>
      </c>
      <c r="S994">
        <v>0</v>
      </c>
      <c r="T994">
        <v>0</v>
      </c>
      <c r="U994">
        <v>0</v>
      </c>
      <c r="V994">
        <v>0</v>
      </c>
      <c r="Y994">
        <v>1</v>
      </c>
      <c r="Z994">
        <v>0</v>
      </c>
      <c r="AA994">
        <v>0</v>
      </c>
      <c r="AB994">
        <v>0</v>
      </c>
      <c r="AC994">
        <v>0</v>
      </c>
      <c r="AI994">
        <v>0</v>
      </c>
      <c r="AO994">
        <v>4.6500000000000004</v>
      </c>
      <c r="AP994">
        <v>2.0833333333333335</v>
      </c>
      <c r="AQ994">
        <v>822.09999999999991</v>
      </c>
      <c r="AR994">
        <v>49</v>
      </c>
    </row>
    <row r="995" spans="1:50" x14ac:dyDescent="0.45">
      <c r="A995">
        <v>10994</v>
      </c>
      <c r="B995">
        <v>1</v>
      </c>
      <c r="C995">
        <v>79.400000000000006</v>
      </c>
      <c r="D995">
        <v>0</v>
      </c>
      <c r="E995">
        <v>0</v>
      </c>
      <c r="F995">
        <v>0</v>
      </c>
      <c r="G995">
        <v>0</v>
      </c>
      <c r="H995">
        <v>0</v>
      </c>
      <c r="I995">
        <v>0</v>
      </c>
      <c r="J995">
        <v>2.9</v>
      </c>
      <c r="K995">
        <v>8.8000000000000007</v>
      </c>
      <c r="L995">
        <v>1.8</v>
      </c>
      <c r="M995">
        <v>4.2</v>
      </c>
      <c r="N995">
        <v>0</v>
      </c>
      <c r="O995">
        <v>2.9</v>
      </c>
      <c r="P995">
        <v>0</v>
      </c>
      <c r="Q995">
        <v>0</v>
      </c>
      <c r="R995">
        <v>0</v>
      </c>
      <c r="S995">
        <v>0</v>
      </c>
      <c r="T995">
        <v>0</v>
      </c>
      <c r="U995">
        <v>0</v>
      </c>
      <c r="V995">
        <v>0</v>
      </c>
      <c r="Y995">
        <v>1</v>
      </c>
      <c r="Z995">
        <v>0</v>
      </c>
      <c r="AA995">
        <v>0</v>
      </c>
      <c r="AB995">
        <v>0</v>
      </c>
      <c r="AC995">
        <v>0</v>
      </c>
      <c r="AI995">
        <v>0</v>
      </c>
      <c r="AO995">
        <v>4.9020000000000001</v>
      </c>
      <c r="AP995">
        <v>1.8833333333333335</v>
      </c>
      <c r="AQ995">
        <v>862.53</v>
      </c>
      <c r="AR995">
        <v>46</v>
      </c>
    </row>
    <row r="996" spans="1:50" x14ac:dyDescent="0.45">
      <c r="A996">
        <v>10995</v>
      </c>
      <c r="B996">
        <v>1</v>
      </c>
      <c r="C996">
        <v>78.2</v>
      </c>
      <c r="D996">
        <v>0</v>
      </c>
      <c r="E996">
        <v>0</v>
      </c>
      <c r="F996">
        <v>0</v>
      </c>
      <c r="G996">
        <v>0</v>
      </c>
      <c r="H996">
        <v>0</v>
      </c>
      <c r="I996">
        <v>0</v>
      </c>
      <c r="J996">
        <v>2.5</v>
      </c>
      <c r="K996">
        <v>16.399999999999999</v>
      </c>
      <c r="L996">
        <v>0.6</v>
      </c>
      <c r="M996">
        <v>2</v>
      </c>
      <c r="N996">
        <v>0</v>
      </c>
      <c r="O996">
        <v>0.3</v>
      </c>
      <c r="P996">
        <v>0</v>
      </c>
      <c r="Q996">
        <v>0</v>
      </c>
      <c r="R996">
        <v>0</v>
      </c>
      <c r="S996">
        <v>0</v>
      </c>
      <c r="T996">
        <v>0</v>
      </c>
      <c r="U996">
        <v>0</v>
      </c>
      <c r="V996">
        <v>0</v>
      </c>
      <c r="Y996">
        <v>1</v>
      </c>
      <c r="Z996">
        <v>0</v>
      </c>
      <c r="AA996">
        <v>0</v>
      </c>
      <c r="AB996">
        <v>0</v>
      </c>
      <c r="AC996">
        <v>0</v>
      </c>
      <c r="AI996">
        <v>0</v>
      </c>
      <c r="AO996">
        <v>5.2579999999999991</v>
      </c>
      <c r="AP996">
        <v>1.0833333333333333</v>
      </c>
      <c r="AQ996">
        <v>867.44999999999993</v>
      </c>
      <c r="AR996">
        <v>47.3</v>
      </c>
    </row>
    <row r="997" spans="1:50" x14ac:dyDescent="0.45">
      <c r="A997">
        <v>10996</v>
      </c>
      <c r="B997">
        <v>1</v>
      </c>
      <c r="C997">
        <v>81.3</v>
      </c>
      <c r="D997">
        <v>0</v>
      </c>
      <c r="E997">
        <v>0</v>
      </c>
      <c r="F997">
        <v>0</v>
      </c>
      <c r="G997">
        <v>0</v>
      </c>
      <c r="H997">
        <v>0</v>
      </c>
      <c r="I997">
        <v>0</v>
      </c>
      <c r="J997">
        <v>6.3</v>
      </c>
      <c r="K997">
        <v>3.1</v>
      </c>
      <c r="L997">
        <v>3.1</v>
      </c>
      <c r="M997">
        <v>3.1</v>
      </c>
      <c r="N997">
        <v>0</v>
      </c>
      <c r="O997">
        <v>3.1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Y997">
        <v>1</v>
      </c>
      <c r="Z997">
        <v>0</v>
      </c>
      <c r="AA997">
        <v>0</v>
      </c>
      <c r="AB997">
        <v>0</v>
      </c>
      <c r="AC997">
        <v>0</v>
      </c>
      <c r="AI997">
        <v>0</v>
      </c>
      <c r="AO997">
        <v>4.6500000000000004</v>
      </c>
      <c r="AP997">
        <v>2.0833333333333335</v>
      </c>
      <c r="AQ997">
        <v>822.09999999999991</v>
      </c>
      <c r="AR997">
        <v>49</v>
      </c>
    </row>
    <row r="998" spans="1:50" x14ac:dyDescent="0.45">
      <c r="A998">
        <v>10997</v>
      </c>
      <c r="B998">
        <v>1</v>
      </c>
      <c r="C998">
        <v>79.400000000000006</v>
      </c>
      <c r="D998">
        <v>0</v>
      </c>
      <c r="E998">
        <v>0</v>
      </c>
      <c r="F998">
        <v>0</v>
      </c>
      <c r="G998">
        <v>0</v>
      </c>
      <c r="H998">
        <v>0</v>
      </c>
      <c r="I998">
        <v>0</v>
      </c>
      <c r="J998">
        <v>2.9</v>
      </c>
      <c r="K998">
        <v>8.8000000000000007</v>
      </c>
      <c r="L998">
        <v>1.8</v>
      </c>
      <c r="M998">
        <v>4.0999999999999996</v>
      </c>
      <c r="N998">
        <v>0</v>
      </c>
      <c r="O998">
        <v>2.9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Y998">
        <v>1</v>
      </c>
      <c r="Z998">
        <v>0</v>
      </c>
      <c r="AA998">
        <v>0</v>
      </c>
      <c r="AB998">
        <v>0</v>
      </c>
      <c r="AC998">
        <v>0</v>
      </c>
      <c r="AI998">
        <v>0</v>
      </c>
      <c r="AO998">
        <v>4.9020000000000001</v>
      </c>
      <c r="AP998">
        <v>1.8499999999999999</v>
      </c>
      <c r="AQ998">
        <v>862.11</v>
      </c>
      <c r="AR998">
        <v>46</v>
      </c>
    </row>
    <row r="999" spans="1:50" x14ac:dyDescent="0.45">
      <c r="A999">
        <v>10998</v>
      </c>
      <c r="B999">
        <v>1</v>
      </c>
      <c r="C999">
        <v>86.69</v>
      </c>
      <c r="D999">
        <v>6</v>
      </c>
      <c r="E999">
        <v>0</v>
      </c>
      <c r="F999">
        <v>0</v>
      </c>
      <c r="G999">
        <v>0</v>
      </c>
      <c r="H999">
        <v>0</v>
      </c>
      <c r="I999">
        <v>0</v>
      </c>
      <c r="J999">
        <v>3.6</v>
      </c>
      <c r="K999">
        <v>0.18</v>
      </c>
      <c r="L999">
        <v>0</v>
      </c>
      <c r="M999">
        <v>2.8</v>
      </c>
      <c r="N999">
        <v>0</v>
      </c>
      <c r="O999">
        <v>0.36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Y999">
        <v>1</v>
      </c>
      <c r="Z999">
        <v>0</v>
      </c>
      <c r="AA999">
        <v>0</v>
      </c>
      <c r="AB999">
        <v>0</v>
      </c>
      <c r="AC999">
        <v>1</v>
      </c>
      <c r="AD999">
        <v>950</v>
      </c>
      <c r="AE999">
        <v>1</v>
      </c>
      <c r="AF999">
        <v>1</v>
      </c>
      <c r="AG999">
        <v>0</v>
      </c>
      <c r="AH999">
        <v>0</v>
      </c>
      <c r="AI999">
        <v>1</v>
      </c>
      <c r="AJ999">
        <v>650</v>
      </c>
      <c r="AK999">
        <v>6</v>
      </c>
      <c r="AL999">
        <v>0</v>
      </c>
      <c r="AM999">
        <v>1</v>
      </c>
      <c r="AN999">
        <v>0</v>
      </c>
      <c r="AO999">
        <v>-5.8704000000000001</v>
      </c>
      <c r="AP999">
        <v>7.5333333333333332</v>
      </c>
      <c r="AQ999">
        <v>881.52</v>
      </c>
      <c r="AS999">
        <v>970</v>
      </c>
      <c r="AT999">
        <v>1032</v>
      </c>
      <c r="AU999">
        <v>2.7</v>
      </c>
      <c r="AX999" t="s">
        <v>108</v>
      </c>
    </row>
    <row r="1000" spans="1:50" x14ac:dyDescent="0.45">
      <c r="A1000">
        <v>10999</v>
      </c>
      <c r="B1000">
        <v>1</v>
      </c>
      <c r="C1000">
        <v>82.97</v>
      </c>
      <c r="D1000">
        <v>6.42</v>
      </c>
      <c r="E1000">
        <v>0</v>
      </c>
      <c r="F1000">
        <v>1.26</v>
      </c>
      <c r="G1000">
        <v>0</v>
      </c>
      <c r="H1000">
        <v>0</v>
      </c>
      <c r="I1000">
        <v>0</v>
      </c>
      <c r="J1000">
        <v>2.25</v>
      </c>
      <c r="K1000">
        <v>1.93</v>
      </c>
      <c r="L1000">
        <v>3.05</v>
      </c>
      <c r="M1000">
        <v>2.12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Y1000">
        <v>1</v>
      </c>
      <c r="Z1000">
        <v>0</v>
      </c>
      <c r="AA1000">
        <v>0</v>
      </c>
      <c r="AB1000">
        <v>0</v>
      </c>
      <c r="AC1000">
        <v>0</v>
      </c>
      <c r="AI1000">
        <v>0</v>
      </c>
      <c r="AO1000">
        <v>-0.8136000000000001</v>
      </c>
      <c r="AP1000">
        <v>7.5016666666666669</v>
      </c>
      <c r="AQ1000">
        <v>844.64</v>
      </c>
      <c r="AS1000">
        <v>908</v>
      </c>
      <c r="AT1000">
        <v>1043</v>
      </c>
      <c r="AU1000">
        <v>9.4</v>
      </c>
      <c r="AX1000" t="s">
        <v>204</v>
      </c>
    </row>
    <row r="1001" spans="1:50" x14ac:dyDescent="0.45">
      <c r="A1001">
        <v>11000</v>
      </c>
      <c r="B1001">
        <v>1</v>
      </c>
      <c r="C1001">
        <v>82.97</v>
      </c>
      <c r="D1001">
        <v>6.42</v>
      </c>
      <c r="E1001">
        <v>0</v>
      </c>
      <c r="F1001">
        <v>1.26</v>
      </c>
      <c r="G1001">
        <v>0</v>
      </c>
      <c r="H1001">
        <v>0</v>
      </c>
      <c r="I1001">
        <v>0</v>
      </c>
      <c r="J1001">
        <v>2.25</v>
      </c>
      <c r="K1001">
        <v>1.93</v>
      </c>
      <c r="L1001">
        <v>3.05</v>
      </c>
      <c r="M1001">
        <v>2.12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Y1001">
        <v>1</v>
      </c>
      <c r="Z1001">
        <v>0</v>
      </c>
      <c r="AA1001">
        <v>0</v>
      </c>
      <c r="AB1001">
        <v>0</v>
      </c>
      <c r="AC1001">
        <v>1</v>
      </c>
      <c r="AD1001">
        <v>900</v>
      </c>
      <c r="AE1001">
        <v>2</v>
      </c>
      <c r="AF1001">
        <v>0</v>
      </c>
      <c r="AG1001">
        <v>1</v>
      </c>
      <c r="AH1001">
        <v>0</v>
      </c>
      <c r="AI1001">
        <v>1</v>
      </c>
      <c r="AJ1001">
        <v>590</v>
      </c>
      <c r="AK1001">
        <v>4</v>
      </c>
      <c r="AL1001">
        <v>0</v>
      </c>
      <c r="AM1001">
        <v>1</v>
      </c>
      <c r="AN1001">
        <v>0</v>
      </c>
      <c r="AO1001">
        <v>-0.8136000000000001</v>
      </c>
      <c r="AP1001">
        <v>7.5016666666666669</v>
      </c>
      <c r="AQ1001">
        <v>844.64</v>
      </c>
      <c r="AS1001">
        <v>1063</v>
      </c>
      <c r="AT1001">
        <v>1181</v>
      </c>
      <c r="AU1001">
        <v>6.6</v>
      </c>
      <c r="AX1001" t="s">
        <v>204</v>
      </c>
    </row>
    <row r="1002" spans="1:50" x14ac:dyDescent="0.45">
      <c r="A1002">
        <v>11001</v>
      </c>
      <c r="B1002">
        <v>1</v>
      </c>
      <c r="C1002">
        <v>82.97</v>
      </c>
      <c r="D1002">
        <v>6.42</v>
      </c>
      <c r="E1002">
        <v>0</v>
      </c>
      <c r="F1002">
        <v>1.26</v>
      </c>
      <c r="G1002">
        <v>0</v>
      </c>
      <c r="H1002">
        <v>0</v>
      </c>
      <c r="I1002">
        <v>0</v>
      </c>
      <c r="J1002">
        <v>2.25</v>
      </c>
      <c r="K1002">
        <v>1.93</v>
      </c>
      <c r="L1002">
        <v>3.05</v>
      </c>
      <c r="M1002">
        <v>2.12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Y1002">
        <v>1</v>
      </c>
      <c r="Z1002">
        <v>0</v>
      </c>
      <c r="AA1002">
        <v>0</v>
      </c>
      <c r="AB1002">
        <v>0</v>
      </c>
      <c r="AC1002">
        <v>1</v>
      </c>
      <c r="AD1002">
        <v>915</v>
      </c>
      <c r="AE1002">
        <v>2</v>
      </c>
      <c r="AF1002">
        <v>0</v>
      </c>
      <c r="AG1002">
        <v>1</v>
      </c>
      <c r="AH1002">
        <v>0</v>
      </c>
      <c r="AI1002">
        <v>1</v>
      </c>
      <c r="AJ1002">
        <v>590</v>
      </c>
      <c r="AK1002">
        <v>4</v>
      </c>
      <c r="AL1002">
        <v>0</v>
      </c>
      <c r="AM1002">
        <v>1</v>
      </c>
      <c r="AN1002">
        <v>0</v>
      </c>
      <c r="AO1002">
        <v>-0.8136000000000001</v>
      </c>
      <c r="AP1002">
        <v>7.5016666666666669</v>
      </c>
      <c r="AQ1002">
        <v>844.64</v>
      </c>
      <c r="AS1002">
        <v>1086</v>
      </c>
      <c r="AT1002">
        <v>1213</v>
      </c>
      <c r="AU1002">
        <v>5.6</v>
      </c>
      <c r="AX1002" t="s">
        <v>204</v>
      </c>
    </row>
    <row r="1003" spans="1:50" x14ac:dyDescent="0.45">
      <c r="A1003">
        <v>11002</v>
      </c>
      <c r="B1003">
        <v>1</v>
      </c>
      <c r="C1003">
        <v>82.97</v>
      </c>
      <c r="D1003">
        <v>6.42</v>
      </c>
      <c r="E1003">
        <v>0</v>
      </c>
      <c r="F1003">
        <v>1.26</v>
      </c>
      <c r="G1003">
        <v>0</v>
      </c>
      <c r="H1003">
        <v>0</v>
      </c>
      <c r="I1003">
        <v>0</v>
      </c>
      <c r="J1003">
        <v>2.25</v>
      </c>
      <c r="K1003">
        <v>1.93</v>
      </c>
      <c r="L1003">
        <v>3.05</v>
      </c>
      <c r="M1003">
        <v>2.12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Y1003">
        <v>1</v>
      </c>
      <c r="Z1003">
        <v>0</v>
      </c>
      <c r="AA1003">
        <v>0</v>
      </c>
      <c r="AB1003">
        <v>0</v>
      </c>
      <c r="AC1003">
        <v>1</v>
      </c>
      <c r="AD1003">
        <v>930</v>
      </c>
      <c r="AE1003">
        <v>2</v>
      </c>
      <c r="AF1003">
        <v>0</v>
      </c>
      <c r="AG1003">
        <v>1</v>
      </c>
      <c r="AH1003">
        <v>0</v>
      </c>
      <c r="AI1003">
        <v>1</v>
      </c>
      <c r="AJ1003">
        <v>590</v>
      </c>
      <c r="AK1003">
        <v>4</v>
      </c>
      <c r="AL1003">
        <v>0</v>
      </c>
      <c r="AM1003">
        <v>1</v>
      </c>
      <c r="AN1003">
        <v>0</v>
      </c>
      <c r="AO1003">
        <v>-0.8136000000000001</v>
      </c>
      <c r="AP1003">
        <v>7.5016666666666669</v>
      </c>
      <c r="AQ1003">
        <v>844.64</v>
      </c>
      <c r="AS1003">
        <v>1101</v>
      </c>
      <c r="AT1003">
        <v>1244</v>
      </c>
      <c r="AU1003">
        <v>4.3</v>
      </c>
      <c r="AX1003" t="s">
        <v>204</v>
      </c>
    </row>
    <row r="1004" spans="1:50" x14ac:dyDescent="0.45">
      <c r="A1004">
        <v>11003</v>
      </c>
      <c r="B1004">
        <v>1</v>
      </c>
      <c r="C1004">
        <v>82.97</v>
      </c>
      <c r="D1004">
        <v>6.42</v>
      </c>
      <c r="E1004">
        <v>0</v>
      </c>
      <c r="F1004">
        <v>1.26</v>
      </c>
      <c r="G1004">
        <v>0</v>
      </c>
      <c r="H1004">
        <v>0</v>
      </c>
      <c r="I1004">
        <v>0</v>
      </c>
      <c r="J1004">
        <v>2.25</v>
      </c>
      <c r="K1004">
        <v>1.93</v>
      </c>
      <c r="L1004">
        <v>3.05</v>
      </c>
      <c r="M1004">
        <v>2.12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Y1004">
        <v>1</v>
      </c>
      <c r="Z1004">
        <v>0</v>
      </c>
      <c r="AA1004">
        <v>0</v>
      </c>
      <c r="AB1004">
        <v>0</v>
      </c>
      <c r="AC1004">
        <v>1</v>
      </c>
      <c r="AD1004">
        <v>945</v>
      </c>
      <c r="AE1004">
        <v>2</v>
      </c>
      <c r="AF1004">
        <v>0</v>
      </c>
      <c r="AG1004">
        <v>1</v>
      </c>
      <c r="AH1004">
        <v>0</v>
      </c>
      <c r="AI1004">
        <v>1</v>
      </c>
      <c r="AJ1004">
        <v>590</v>
      </c>
      <c r="AK1004">
        <v>4</v>
      </c>
      <c r="AL1004">
        <v>0</v>
      </c>
      <c r="AM1004">
        <v>1</v>
      </c>
      <c r="AN1004">
        <v>0</v>
      </c>
      <c r="AO1004">
        <v>-0.8136000000000001</v>
      </c>
      <c r="AP1004">
        <v>7.5016666666666669</v>
      </c>
      <c r="AQ1004">
        <v>844.64</v>
      </c>
      <c r="AS1004">
        <v>1140</v>
      </c>
      <c r="AT1004">
        <v>1266</v>
      </c>
      <c r="AU1004">
        <v>5.5</v>
      </c>
      <c r="AX1004" t="s">
        <v>204</v>
      </c>
    </row>
    <row r="1005" spans="1:50" x14ac:dyDescent="0.45">
      <c r="A1005">
        <v>11004</v>
      </c>
      <c r="B1005">
        <v>1</v>
      </c>
      <c r="C1005">
        <v>82.97</v>
      </c>
      <c r="D1005">
        <v>6.42</v>
      </c>
      <c r="E1005">
        <v>0</v>
      </c>
      <c r="F1005">
        <v>1.26</v>
      </c>
      <c r="G1005">
        <v>0</v>
      </c>
      <c r="H1005">
        <v>0</v>
      </c>
      <c r="I1005">
        <v>0</v>
      </c>
      <c r="J1005">
        <v>2.25</v>
      </c>
      <c r="K1005">
        <v>1.93</v>
      </c>
      <c r="L1005">
        <v>3.05</v>
      </c>
      <c r="M1005">
        <v>2.12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Y1005">
        <v>1</v>
      </c>
      <c r="Z1005">
        <v>0</v>
      </c>
      <c r="AA1005">
        <v>0</v>
      </c>
      <c r="AB1005">
        <v>0</v>
      </c>
      <c r="AC1005">
        <v>1</v>
      </c>
      <c r="AD1005">
        <v>930</v>
      </c>
      <c r="AE1005">
        <v>2</v>
      </c>
      <c r="AF1005">
        <v>0</v>
      </c>
      <c r="AG1005">
        <v>1</v>
      </c>
      <c r="AH1005">
        <v>0</v>
      </c>
      <c r="AI1005">
        <v>1</v>
      </c>
      <c r="AJ1005">
        <v>590</v>
      </c>
      <c r="AK1005">
        <v>2</v>
      </c>
      <c r="AL1005">
        <v>0</v>
      </c>
      <c r="AM1005">
        <v>1</v>
      </c>
      <c r="AN1005">
        <v>0</v>
      </c>
      <c r="AO1005">
        <v>-0.8136000000000001</v>
      </c>
      <c r="AP1005">
        <v>7.5016666666666669</v>
      </c>
      <c r="AQ1005">
        <v>844.64</v>
      </c>
      <c r="AS1005">
        <v>1107.5999999999999</v>
      </c>
      <c r="AT1005">
        <v>1237.8</v>
      </c>
      <c r="AU1005">
        <v>3.74</v>
      </c>
      <c r="AX1005" t="s">
        <v>204</v>
      </c>
    </row>
    <row r="1006" spans="1:50" x14ac:dyDescent="0.45">
      <c r="A1006">
        <v>11005</v>
      </c>
      <c r="B1006">
        <v>1</v>
      </c>
      <c r="C1006">
        <v>82.97</v>
      </c>
      <c r="D1006">
        <v>6.42</v>
      </c>
      <c r="E1006">
        <v>0</v>
      </c>
      <c r="F1006">
        <v>1.26</v>
      </c>
      <c r="G1006">
        <v>0</v>
      </c>
      <c r="H1006">
        <v>0</v>
      </c>
      <c r="I1006">
        <v>0</v>
      </c>
      <c r="J1006">
        <v>2.25</v>
      </c>
      <c r="K1006">
        <v>1.93</v>
      </c>
      <c r="L1006">
        <v>3.05</v>
      </c>
      <c r="M1006">
        <v>2.12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Y1006">
        <v>1</v>
      </c>
      <c r="Z1006">
        <v>0</v>
      </c>
      <c r="AA1006">
        <v>0</v>
      </c>
      <c r="AB1006">
        <v>0</v>
      </c>
      <c r="AC1006">
        <v>1</v>
      </c>
      <c r="AD1006">
        <v>930</v>
      </c>
      <c r="AE1006">
        <v>2</v>
      </c>
      <c r="AF1006">
        <v>0</v>
      </c>
      <c r="AG1006">
        <v>1</v>
      </c>
      <c r="AH1006">
        <v>0</v>
      </c>
      <c r="AI1006">
        <v>1</v>
      </c>
      <c r="AJ1006">
        <v>590</v>
      </c>
      <c r="AK1006">
        <v>4</v>
      </c>
      <c r="AL1006">
        <v>0</v>
      </c>
      <c r="AM1006">
        <v>1</v>
      </c>
      <c r="AN1006">
        <v>0</v>
      </c>
      <c r="AO1006">
        <v>-0.8136000000000001</v>
      </c>
      <c r="AP1006">
        <v>7.5016666666666669</v>
      </c>
      <c r="AQ1006">
        <v>844.64</v>
      </c>
      <c r="AS1006">
        <v>1094.4000000000001</v>
      </c>
      <c r="AT1006">
        <v>1237</v>
      </c>
      <c r="AU1006">
        <v>4.3</v>
      </c>
      <c r="AX1006" t="s">
        <v>204</v>
      </c>
    </row>
    <row r="1007" spans="1:50" x14ac:dyDescent="0.45">
      <c r="A1007">
        <v>11006</v>
      </c>
      <c r="B1007">
        <v>1</v>
      </c>
      <c r="C1007">
        <v>82.97</v>
      </c>
      <c r="D1007">
        <v>6.42</v>
      </c>
      <c r="E1007">
        <v>0</v>
      </c>
      <c r="F1007">
        <v>1.26</v>
      </c>
      <c r="G1007">
        <v>0</v>
      </c>
      <c r="H1007">
        <v>0</v>
      </c>
      <c r="I1007">
        <v>0</v>
      </c>
      <c r="J1007">
        <v>2.25</v>
      </c>
      <c r="K1007">
        <v>1.93</v>
      </c>
      <c r="L1007">
        <v>3.05</v>
      </c>
      <c r="M1007">
        <v>2.12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Y1007">
        <v>1</v>
      </c>
      <c r="Z1007">
        <v>0</v>
      </c>
      <c r="AA1007">
        <v>0</v>
      </c>
      <c r="AB1007">
        <v>0</v>
      </c>
      <c r="AC1007">
        <v>1</v>
      </c>
      <c r="AD1007">
        <v>930</v>
      </c>
      <c r="AE1007">
        <v>2</v>
      </c>
      <c r="AF1007">
        <v>0</v>
      </c>
      <c r="AG1007">
        <v>1</v>
      </c>
      <c r="AH1007">
        <v>0</v>
      </c>
      <c r="AI1007">
        <v>1</v>
      </c>
      <c r="AJ1007">
        <v>590</v>
      </c>
      <c r="AK1007">
        <v>6</v>
      </c>
      <c r="AL1007">
        <v>0</v>
      </c>
      <c r="AM1007">
        <v>1</v>
      </c>
      <c r="AN1007">
        <v>0</v>
      </c>
      <c r="AO1007">
        <v>-0.8136000000000001</v>
      </c>
      <c r="AP1007">
        <v>7.5016666666666669</v>
      </c>
      <c r="AQ1007">
        <v>844.64</v>
      </c>
      <c r="AS1007">
        <v>1123</v>
      </c>
      <c r="AT1007">
        <v>1248.5999999999999</v>
      </c>
      <c r="AU1007">
        <v>5.55</v>
      </c>
      <c r="AX1007" t="s">
        <v>204</v>
      </c>
    </row>
    <row r="1008" spans="1:50" x14ac:dyDescent="0.45">
      <c r="A1008">
        <v>11007</v>
      </c>
      <c r="B1008">
        <v>1</v>
      </c>
      <c r="C1008">
        <v>82.97</v>
      </c>
      <c r="D1008">
        <v>6.42</v>
      </c>
      <c r="E1008">
        <v>0</v>
      </c>
      <c r="F1008">
        <v>1.26</v>
      </c>
      <c r="G1008">
        <v>0</v>
      </c>
      <c r="H1008">
        <v>0</v>
      </c>
      <c r="I1008">
        <v>0</v>
      </c>
      <c r="J1008">
        <v>2.25</v>
      </c>
      <c r="K1008">
        <v>1.93</v>
      </c>
      <c r="L1008">
        <v>3.05</v>
      </c>
      <c r="M1008">
        <v>2.12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Y1008">
        <v>1</v>
      </c>
      <c r="Z1008">
        <v>0</v>
      </c>
      <c r="AA1008">
        <v>0</v>
      </c>
      <c r="AB1008">
        <v>0</v>
      </c>
      <c r="AC1008">
        <v>1</v>
      </c>
      <c r="AD1008">
        <v>930</v>
      </c>
      <c r="AE1008">
        <v>2</v>
      </c>
      <c r="AF1008">
        <v>0</v>
      </c>
      <c r="AG1008">
        <v>1</v>
      </c>
      <c r="AH1008">
        <v>0</v>
      </c>
      <c r="AI1008">
        <v>1</v>
      </c>
      <c r="AJ1008">
        <v>590</v>
      </c>
      <c r="AK1008">
        <v>8</v>
      </c>
      <c r="AL1008">
        <v>0</v>
      </c>
      <c r="AM1008">
        <v>1</v>
      </c>
      <c r="AN1008">
        <v>0</v>
      </c>
      <c r="AO1008">
        <v>-0.8136000000000001</v>
      </c>
      <c r="AP1008">
        <v>7.5016666666666669</v>
      </c>
      <c r="AQ1008">
        <v>844.64</v>
      </c>
      <c r="AS1008">
        <v>1119.2</v>
      </c>
      <c r="AT1008">
        <v>1226</v>
      </c>
      <c r="AU1008">
        <v>4.13</v>
      </c>
      <c r="AX1008" t="s">
        <v>204</v>
      </c>
    </row>
    <row r="1009" spans="1:50" x14ac:dyDescent="0.45">
      <c r="A1009">
        <v>11008</v>
      </c>
      <c r="B1009">
        <v>1</v>
      </c>
      <c r="C1009">
        <v>82.97</v>
      </c>
      <c r="D1009">
        <v>6.42</v>
      </c>
      <c r="E1009">
        <v>0</v>
      </c>
      <c r="F1009">
        <v>1.26</v>
      </c>
      <c r="G1009">
        <v>0</v>
      </c>
      <c r="H1009">
        <v>0</v>
      </c>
      <c r="I1009">
        <v>0</v>
      </c>
      <c r="J1009">
        <v>2.25</v>
      </c>
      <c r="K1009">
        <v>1.93</v>
      </c>
      <c r="L1009">
        <v>3.05</v>
      </c>
      <c r="M1009">
        <v>2.12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Y1009">
        <v>1</v>
      </c>
      <c r="Z1009">
        <v>0</v>
      </c>
      <c r="AA1009">
        <v>0</v>
      </c>
      <c r="AB1009">
        <v>0</v>
      </c>
      <c r="AC1009">
        <v>1</v>
      </c>
      <c r="AD1009">
        <v>930</v>
      </c>
      <c r="AE1009">
        <v>2</v>
      </c>
      <c r="AF1009">
        <v>0</v>
      </c>
      <c r="AG1009">
        <v>1</v>
      </c>
      <c r="AH1009">
        <v>0</v>
      </c>
      <c r="AI1009">
        <v>1</v>
      </c>
      <c r="AJ1009">
        <v>500</v>
      </c>
      <c r="AK1009">
        <v>4</v>
      </c>
      <c r="AL1009">
        <v>0</v>
      </c>
      <c r="AM1009">
        <v>1</v>
      </c>
      <c r="AN1009">
        <v>0</v>
      </c>
      <c r="AO1009">
        <v>-0.8136000000000001</v>
      </c>
      <c r="AP1009">
        <v>7.5016666666666669</v>
      </c>
      <c r="AQ1009">
        <v>844.64</v>
      </c>
      <c r="AS1009">
        <v>1108</v>
      </c>
      <c r="AT1009">
        <v>1255</v>
      </c>
      <c r="AU1009">
        <v>2.5</v>
      </c>
      <c r="AX1009" t="s">
        <v>204</v>
      </c>
    </row>
    <row r="1010" spans="1:50" x14ac:dyDescent="0.45">
      <c r="A1010">
        <v>11009</v>
      </c>
      <c r="B1010">
        <v>1</v>
      </c>
      <c r="C1010">
        <v>82.97</v>
      </c>
      <c r="D1010">
        <v>6.42</v>
      </c>
      <c r="E1010">
        <v>0</v>
      </c>
      <c r="F1010">
        <v>1.26</v>
      </c>
      <c r="G1010">
        <v>0</v>
      </c>
      <c r="H1010">
        <v>0</v>
      </c>
      <c r="I1010">
        <v>0</v>
      </c>
      <c r="J1010">
        <v>2.25</v>
      </c>
      <c r="K1010">
        <v>1.93</v>
      </c>
      <c r="L1010">
        <v>3.05</v>
      </c>
      <c r="M1010">
        <v>2.12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0</v>
      </c>
      <c r="U1010">
        <v>0</v>
      </c>
      <c r="V1010">
        <v>0</v>
      </c>
      <c r="Y1010">
        <v>1</v>
      </c>
      <c r="Z1010">
        <v>0</v>
      </c>
      <c r="AA1010">
        <v>0</v>
      </c>
      <c r="AB1010">
        <v>0</v>
      </c>
      <c r="AC1010">
        <v>1</v>
      </c>
      <c r="AD1010">
        <v>930</v>
      </c>
      <c r="AE1010">
        <v>2</v>
      </c>
      <c r="AF1010">
        <v>0</v>
      </c>
      <c r="AG1010">
        <v>1</v>
      </c>
      <c r="AH1010">
        <v>0</v>
      </c>
      <c r="AI1010">
        <v>1</v>
      </c>
      <c r="AJ1010">
        <v>530</v>
      </c>
      <c r="AK1010">
        <v>4</v>
      </c>
      <c r="AL1010">
        <v>0</v>
      </c>
      <c r="AM1010">
        <v>1</v>
      </c>
      <c r="AN1010">
        <v>0</v>
      </c>
      <c r="AO1010">
        <v>-0.8136000000000001</v>
      </c>
      <c r="AP1010">
        <v>7.5016666666666669</v>
      </c>
      <c r="AQ1010">
        <v>844.64</v>
      </c>
      <c r="AS1010">
        <v>1109</v>
      </c>
      <c r="AT1010">
        <v>1261</v>
      </c>
      <c r="AU1010">
        <v>5.35</v>
      </c>
      <c r="AX1010" t="s">
        <v>204</v>
      </c>
    </row>
    <row r="1011" spans="1:50" x14ac:dyDescent="0.45">
      <c r="A1011">
        <v>11010</v>
      </c>
      <c r="B1011">
        <v>1</v>
      </c>
      <c r="C1011">
        <v>82.97</v>
      </c>
      <c r="D1011">
        <v>6.42</v>
      </c>
      <c r="E1011">
        <v>0</v>
      </c>
      <c r="F1011">
        <v>1.26</v>
      </c>
      <c r="G1011">
        <v>0</v>
      </c>
      <c r="H1011">
        <v>0</v>
      </c>
      <c r="I1011">
        <v>0</v>
      </c>
      <c r="J1011">
        <v>2.25</v>
      </c>
      <c r="K1011">
        <v>1.93</v>
      </c>
      <c r="L1011">
        <v>3.05</v>
      </c>
      <c r="M1011">
        <v>2.12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0</v>
      </c>
      <c r="U1011">
        <v>0</v>
      </c>
      <c r="V1011">
        <v>0</v>
      </c>
      <c r="Y1011">
        <v>1</v>
      </c>
      <c r="Z1011">
        <v>0</v>
      </c>
      <c r="AA1011">
        <v>0</v>
      </c>
      <c r="AB1011">
        <v>0</v>
      </c>
      <c r="AC1011">
        <v>1</v>
      </c>
      <c r="AD1011">
        <v>930</v>
      </c>
      <c r="AE1011">
        <v>2</v>
      </c>
      <c r="AF1011">
        <v>0</v>
      </c>
      <c r="AG1011">
        <v>1</v>
      </c>
      <c r="AH1011">
        <v>0</v>
      </c>
      <c r="AI1011">
        <v>1</v>
      </c>
      <c r="AJ1011">
        <v>560</v>
      </c>
      <c r="AK1011">
        <v>4</v>
      </c>
      <c r="AL1011">
        <v>0</v>
      </c>
      <c r="AM1011">
        <v>1</v>
      </c>
      <c r="AN1011">
        <v>0</v>
      </c>
      <c r="AO1011">
        <v>-0.8136000000000001</v>
      </c>
      <c r="AP1011">
        <v>7.5016666666666669</v>
      </c>
      <c r="AQ1011">
        <v>844.64</v>
      </c>
      <c r="AS1011">
        <v>1124</v>
      </c>
      <c r="AT1011">
        <v>1265</v>
      </c>
      <c r="AU1011">
        <v>2.94</v>
      </c>
      <c r="AX1011" t="s">
        <v>204</v>
      </c>
    </row>
    <row r="1012" spans="1:50" x14ac:dyDescent="0.45">
      <c r="A1012">
        <v>11011</v>
      </c>
      <c r="B1012">
        <v>1</v>
      </c>
      <c r="C1012">
        <v>82.97</v>
      </c>
      <c r="D1012">
        <v>6.42</v>
      </c>
      <c r="E1012">
        <v>0</v>
      </c>
      <c r="F1012">
        <v>1.26</v>
      </c>
      <c r="G1012">
        <v>0</v>
      </c>
      <c r="H1012">
        <v>0</v>
      </c>
      <c r="I1012">
        <v>0</v>
      </c>
      <c r="J1012">
        <v>2.25</v>
      </c>
      <c r="K1012">
        <v>1.93</v>
      </c>
      <c r="L1012">
        <v>3.05</v>
      </c>
      <c r="M1012">
        <v>2.12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0</v>
      </c>
      <c r="U1012">
        <v>0</v>
      </c>
      <c r="V1012">
        <v>0</v>
      </c>
      <c r="Y1012">
        <v>1</v>
      </c>
      <c r="Z1012">
        <v>0</v>
      </c>
      <c r="AA1012">
        <v>0</v>
      </c>
      <c r="AB1012">
        <v>0</v>
      </c>
      <c r="AC1012">
        <v>1</v>
      </c>
      <c r="AD1012">
        <v>930</v>
      </c>
      <c r="AE1012">
        <v>2</v>
      </c>
      <c r="AF1012">
        <v>0</v>
      </c>
      <c r="AG1012">
        <v>1</v>
      </c>
      <c r="AH1012">
        <v>0</v>
      </c>
      <c r="AI1012">
        <v>1</v>
      </c>
      <c r="AJ1012">
        <v>590</v>
      </c>
      <c r="AK1012">
        <v>4</v>
      </c>
      <c r="AL1012">
        <v>0</v>
      </c>
      <c r="AM1012">
        <v>1</v>
      </c>
      <c r="AN1012">
        <v>0</v>
      </c>
      <c r="AO1012">
        <v>-0.8136000000000001</v>
      </c>
      <c r="AP1012">
        <v>7.5016666666666669</v>
      </c>
      <c r="AQ1012">
        <v>844.64</v>
      </c>
      <c r="AS1012">
        <v>1095</v>
      </c>
      <c r="AT1012">
        <v>1238</v>
      </c>
      <c r="AU1012">
        <v>4.3600000000000003</v>
      </c>
      <c r="AX1012" t="s">
        <v>204</v>
      </c>
    </row>
    <row r="1013" spans="1:50" x14ac:dyDescent="0.45">
      <c r="A1013">
        <v>11012</v>
      </c>
      <c r="B1013">
        <v>1</v>
      </c>
      <c r="C1013">
        <v>83.4</v>
      </c>
      <c r="D1013">
        <v>6</v>
      </c>
      <c r="E1013">
        <v>0</v>
      </c>
      <c r="F1013">
        <v>1.5</v>
      </c>
      <c r="G1013">
        <v>0</v>
      </c>
      <c r="H1013">
        <v>0</v>
      </c>
      <c r="I1013">
        <v>0</v>
      </c>
      <c r="J1013">
        <v>2</v>
      </c>
      <c r="K1013">
        <v>2</v>
      </c>
      <c r="L1013">
        <v>3</v>
      </c>
      <c r="M1013">
        <v>2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Y1013">
        <v>1</v>
      </c>
      <c r="Z1013">
        <v>0</v>
      </c>
      <c r="AA1013">
        <v>0</v>
      </c>
      <c r="AB1013">
        <v>0</v>
      </c>
      <c r="AC1013">
        <v>1</v>
      </c>
      <c r="AD1013">
        <v>850</v>
      </c>
      <c r="AE1013">
        <v>1</v>
      </c>
      <c r="AF1013">
        <v>0</v>
      </c>
      <c r="AG1013">
        <v>1</v>
      </c>
      <c r="AH1013">
        <v>0</v>
      </c>
      <c r="AI1013">
        <v>1</v>
      </c>
      <c r="AJ1013">
        <v>600</v>
      </c>
      <c r="AK1013">
        <v>4</v>
      </c>
      <c r="AL1013">
        <v>0</v>
      </c>
      <c r="AM1013">
        <v>1</v>
      </c>
      <c r="AN1013">
        <v>0</v>
      </c>
      <c r="AO1013">
        <v>-3.9999999999999147E-2</v>
      </c>
      <c r="AP1013">
        <v>7</v>
      </c>
      <c r="AQ1013">
        <v>842.55000000000007</v>
      </c>
      <c r="AS1013">
        <v>1136</v>
      </c>
      <c r="AT1013">
        <v>1213</v>
      </c>
      <c r="AU1013">
        <v>10</v>
      </c>
      <c r="AX1013" t="s">
        <v>205</v>
      </c>
    </row>
    <row r="1014" spans="1:50" x14ac:dyDescent="0.45">
      <c r="A1014">
        <v>11013</v>
      </c>
      <c r="B1014">
        <v>1</v>
      </c>
      <c r="C1014">
        <v>83.4</v>
      </c>
      <c r="D1014">
        <v>6</v>
      </c>
      <c r="E1014">
        <v>0</v>
      </c>
      <c r="F1014">
        <v>1.5</v>
      </c>
      <c r="G1014">
        <v>0</v>
      </c>
      <c r="H1014">
        <v>0</v>
      </c>
      <c r="I1014">
        <v>0</v>
      </c>
      <c r="J1014">
        <v>2</v>
      </c>
      <c r="K1014">
        <v>2</v>
      </c>
      <c r="L1014">
        <v>3</v>
      </c>
      <c r="M1014">
        <v>2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T1014">
        <v>0</v>
      </c>
      <c r="U1014">
        <v>0</v>
      </c>
      <c r="V1014">
        <v>0</v>
      </c>
      <c r="Y1014">
        <v>1</v>
      </c>
      <c r="Z1014">
        <v>0</v>
      </c>
      <c r="AA1014">
        <v>0</v>
      </c>
      <c r="AB1014">
        <v>0</v>
      </c>
      <c r="AC1014">
        <v>1</v>
      </c>
      <c r="AD1014">
        <v>900</v>
      </c>
      <c r="AE1014">
        <v>1</v>
      </c>
      <c r="AF1014">
        <v>0</v>
      </c>
      <c r="AG1014">
        <v>1</v>
      </c>
      <c r="AH1014">
        <v>0</v>
      </c>
      <c r="AI1014">
        <v>1</v>
      </c>
      <c r="AJ1014">
        <v>600</v>
      </c>
      <c r="AK1014">
        <v>4</v>
      </c>
      <c r="AL1014">
        <v>0</v>
      </c>
      <c r="AM1014">
        <v>1</v>
      </c>
      <c r="AN1014">
        <v>0</v>
      </c>
      <c r="AO1014">
        <v>-3.9999999999999147E-2</v>
      </c>
      <c r="AP1014">
        <v>7</v>
      </c>
      <c r="AQ1014">
        <v>842.55000000000007</v>
      </c>
      <c r="AS1014">
        <v>1248</v>
      </c>
      <c r="AT1014">
        <v>1340</v>
      </c>
      <c r="AU1014">
        <v>9</v>
      </c>
      <c r="AX1014" t="s">
        <v>205</v>
      </c>
    </row>
    <row r="1015" spans="1:50" x14ac:dyDescent="0.45">
      <c r="A1015">
        <v>11014</v>
      </c>
      <c r="B1015">
        <v>1</v>
      </c>
      <c r="C1015">
        <v>83.4</v>
      </c>
      <c r="D1015">
        <v>6</v>
      </c>
      <c r="E1015">
        <v>0</v>
      </c>
      <c r="F1015">
        <v>1.5</v>
      </c>
      <c r="G1015">
        <v>0</v>
      </c>
      <c r="H1015">
        <v>0</v>
      </c>
      <c r="I1015">
        <v>0</v>
      </c>
      <c r="J1015">
        <v>2</v>
      </c>
      <c r="K1015">
        <v>2</v>
      </c>
      <c r="L1015">
        <v>3</v>
      </c>
      <c r="M1015">
        <v>2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Y1015">
        <v>1</v>
      </c>
      <c r="Z1015">
        <v>0</v>
      </c>
      <c r="AA1015">
        <v>0</v>
      </c>
      <c r="AB1015">
        <v>0</v>
      </c>
      <c r="AC1015">
        <v>1</v>
      </c>
      <c r="AD1015">
        <v>920</v>
      </c>
      <c r="AE1015">
        <v>1</v>
      </c>
      <c r="AF1015">
        <v>0</v>
      </c>
      <c r="AG1015">
        <v>1</v>
      </c>
      <c r="AH1015">
        <v>0</v>
      </c>
      <c r="AI1015">
        <v>1</v>
      </c>
      <c r="AJ1015">
        <v>600</v>
      </c>
      <c r="AK1015">
        <v>4</v>
      </c>
      <c r="AL1015">
        <v>0</v>
      </c>
      <c r="AM1015">
        <v>1</v>
      </c>
      <c r="AN1015">
        <v>0</v>
      </c>
      <c r="AO1015">
        <v>-3.9999999999999147E-2</v>
      </c>
      <c r="AP1015">
        <v>7</v>
      </c>
      <c r="AQ1015">
        <v>842.55000000000007</v>
      </c>
      <c r="AS1015">
        <v>1175</v>
      </c>
      <c r="AT1015">
        <v>1259</v>
      </c>
      <c r="AU1015">
        <v>8</v>
      </c>
      <c r="AX1015" t="s">
        <v>205</v>
      </c>
    </row>
    <row r="1016" spans="1:50" x14ac:dyDescent="0.45">
      <c r="A1016">
        <v>11015</v>
      </c>
      <c r="B1016">
        <v>1</v>
      </c>
      <c r="C1016">
        <v>83.4</v>
      </c>
      <c r="D1016">
        <v>6</v>
      </c>
      <c r="E1016">
        <v>0</v>
      </c>
      <c r="F1016">
        <v>1.5</v>
      </c>
      <c r="G1016">
        <v>0</v>
      </c>
      <c r="H1016">
        <v>0</v>
      </c>
      <c r="I1016">
        <v>0</v>
      </c>
      <c r="J1016">
        <v>2</v>
      </c>
      <c r="K1016">
        <v>2</v>
      </c>
      <c r="L1016">
        <v>3</v>
      </c>
      <c r="M1016">
        <v>2</v>
      </c>
      <c r="N1016">
        <v>0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0</v>
      </c>
      <c r="U1016">
        <v>0</v>
      </c>
      <c r="V1016">
        <v>0</v>
      </c>
      <c r="Y1016">
        <v>1</v>
      </c>
      <c r="Z1016">
        <v>0</v>
      </c>
      <c r="AA1016">
        <v>0</v>
      </c>
      <c r="AB1016">
        <v>0</v>
      </c>
      <c r="AC1016">
        <v>1</v>
      </c>
      <c r="AD1016">
        <v>920</v>
      </c>
      <c r="AE1016">
        <v>1</v>
      </c>
      <c r="AI1016">
        <v>0</v>
      </c>
      <c r="AO1016">
        <v>-3.9999999999999147E-2</v>
      </c>
      <c r="AP1016">
        <v>7</v>
      </c>
      <c r="AQ1016">
        <v>842.55000000000007</v>
      </c>
      <c r="AS1016">
        <v>943</v>
      </c>
      <c r="AT1016">
        <v>1018</v>
      </c>
      <c r="AU1016">
        <v>20</v>
      </c>
      <c r="AX1016" t="s">
        <v>205</v>
      </c>
    </row>
    <row r="1017" spans="1:50" x14ac:dyDescent="0.45">
      <c r="A1017">
        <v>11016</v>
      </c>
      <c r="B1017">
        <v>1</v>
      </c>
      <c r="C1017">
        <v>83.4</v>
      </c>
      <c r="D1017">
        <v>6</v>
      </c>
      <c r="E1017">
        <v>0</v>
      </c>
      <c r="F1017">
        <v>1.5</v>
      </c>
      <c r="G1017">
        <v>0</v>
      </c>
      <c r="H1017">
        <v>0</v>
      </c>
      <c r="I1017">
        <v>0</v>
      </c>
      <c r="J1017">
        <v>2</v>
      </c>
      <c r="K1017">
        <v>2</v>
      </c>
      <c r="L1017">
        <v>3</v>
      </c>
      <c r="M1017">
        <v>2</v>
      </c>
      <c r="N1017">
        <v>0</v>
      </c>
      <c r="O1017">
        <v>0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Y1017">
        <v>1</v>
      </c>
      <c r="Z1017">
        <v>0</v>
      </c>
      <c r="AA1017">
        <v>0</v>
      </c>
      <c r="AB1017">
        <v>0</v>
      </c>
      <c r="AC1017">
        <v>1</v>
      </c>
      <c r="AD1017">
        <v>970</v>
      </c>
      <c r="AE1017">
        <v>1</v>
      </c>
      <c r="AF1017">
        <v>0</v>
      </c>
      <c r="AG1017">
        <v>1</v>
      </c>
      <c r="AH1017">
        <v>0</v>
      </c>
      <c r="AI1017">
        <v>1</v>
      </c>
      <c r="AJ1017">
        <v>600</v>
      </c>
      <c r="AK1017">
        <v>4</v>
      </c>
      <c r="AL1017">
        <v>0</v>
      </c>
      <c r="AM1017">
        <v>1</v>
      </c>
      <c r="AN1017">
        <v>0</v>
      </c>
      <c r="AO1017">
        <v>-3.9999999999999147E-2</v>
      </c>
      <c r="AP1017">
        <v>7</v>
      </c>
      <c r="AQ1017">
        <v>842.55000000000007</v>
      </c>
      <c r="AS1017">
        <v>1299</v>
      </c>
      <c r="AT1017">
        <v>1318</v>
      </c>
      <c r="AU1017">
        <v>1</v>
      </c>
      <c r="AX1017" t="s">
        <v>205</v>
      </c>
    </row>
    <row r="1018" spans="1:50" x14ac:dyDescent="0.45">
      <c r="A1018">
        <v>11017</v>
      </c>
      <c r="B1018">
        <v>1</v>
      </c>
      <c r="C1018">
        <v>83.4</v>
      </c>
      <c r="D1018">
        <v>6</v>
      </c>
      <c r="E1018">
        <v>0</v>
      </c>
      <c r="F1018">
        <v>1.5</v>
      </c>
      <c r="G1018">
        <v>0</v>
      </c>
      <c r="H1018">
        <v>0</v>
      </c>
      <c r="I1018">
        <v>0</v>
      </c>
      <c r="J1018">
        <v>2</v>
      </c>
      <c r="K1018">
        <v>2</v>
      </c>
      <c r="L1018">
        <v>3</v>
      </c>
      <c r="M1018">
        <v>2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Y1018">
        <v>1</v>
      </c>
      <c r="Z1018">
        <v>0</v>
      </c>
      <c r="AA1018">
        <v>0</v>
      </c>
      <c r="AB1018">
        <v>0</v>
      </c>
      <c r="AC1018">
        <v>1</v>
      </c>
      <c r="AD1018">
        <v>970</v>
      </c>
      <c r="AE1018">
        <v>1</v>
      </c>
      <c r="AI1018">
        <v>1</v>
      </c>
      <c r="AJ1018">
        <v>600</v>
      </c>
      <c r="AK1018">
        <v>4</v>
      </c>
      <c r="AL1018">
        <v>0</v>
      </c>
      <c r="AM1018">
        <v>1</v>
      </c>
      <c r="AN1018">
        <v>0</v>
      </c>
      <c r="AO1018">
        <v>-3.9999999999999147E-2</v>
      </c>
      <c r="AP1018">
        <v>7</v>
      </c>
      <c r="AQ1018">
        <v>842.55000000000007</v>
      </c>
      <c r="AS1018">
        <v>938</v>
      </c>
      <c r="AT1018">
        <v>1064</v>
      </c>
      <c r="AU1018">
        <v>9</v>
      </c>
      <c r="AW1018" t="s">
        <v>356</v>
      </c>
      <c r="AX1018" t="s">
        <v>205</v>
      </c>
    </row>
    <row r="1019" spans="1:50" x14ac:dyDescent="0.45">
      <c r="A1019">
        <v>11018</v>
      </c>
      <c r="B1019">
        <v>1</v>
      </c>
      <c r="C1019">
        <v>83.4</v>
      </c>
      <c r="D1019">
        <v>6</v>
      </c>
      <c r="E1019">
        <v>0</v>
      </c>
      <c r="F1019">
        <v>1.5</v>
      </c>
      <c r="G1019">
        <v>0</v>
      </c>
      <c r="H1019">
        <v>0</v>
      </c>
      <c r="I1019">
        <v>0</v>
      </c>
      <c r="J1019">
        <v>2</v>
      </c>
      <c r="K1019">
        <v>2</v>
      </c>
      <c r="L1019">
        <v>3</v>
      </c>
      <c r="M1019">
        <v>2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Y1019">
        <v>1</v>
      </c>
      <c r="Z1019">
        <v>0</v>
      </c>
      <c r="AA1019">
        <v>0</v>
      </c>
      <c r="AB1019">
        <v>0</v>
      </c>
      <c r="AC1019">
        <v>1</v>
      </c>
      <c r="AD1019">
        <v>970</v>
      </c>
      <c r="AE1019">
        <v>1</v>
      </c>
      <c r="AI1019">
        <v>0</v>
      </c>
      <c r="AO1019">
        <v>-3.9999999999999147E-2</v>
      </c>
      <c r="AP1019">
        <v>7</v>
      </c>
      <c r="AQ1019">
        <v>842.55000000000007</v>
      </c>
      <c r="AS1019">
        <v>950</v>
      </c>
      <c r="AT1019">
        <v>1059</v>
      </c>
      <c r="AU1019">
        <v>10</v>
      </c>
      <c r="AW1019" t="s">
        <v>356</v>
      </c>
      <c r="AX1019" t="s">
        <v>205</v>
      </c>
    </row>
    <row r="1020" spans="1:50" x14ac:dyDescent="0.45">
      <c r="A1020">
        <v>11019</v>
      </c>
      <c r="B1020">
        <v>1</v>
      </c>
      <c r="C1020">
        <v>82.817999999999998</v>
      </c>
      <c r="D1020">
        <v>6.28</v>
      </c>
      <c r="E1020">
        <v>0</v>
      </c>
      <c r="F1020">
        <v>1.61</v>
      </c>
      <c r="G1020">
        <v>0</v>
      </c>
      <c r="H1020">
        <v>0</v>
      </c>
      <c r="I1020">
        <v>0</v>
      </c>
      <c r="J1020">
        <v>2.1800000000000002</v>
      </c>
      <c r="K1020">
        <v>1.89</v>
      </c>
      <c r="L1020">
        <v>3.06</v>
      </c>
      <c r="M1020">
        <v>2.04</v>
      </c>
      <c r="N1020">
        <v>0</v>
      </c>
      <c r="O1020">
        <v>0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Y1020">
        <v>1</v>
      </c>
      <c r="Z1020">
        <v>0</v>
      </c>
      <c r="AA1020">
        <v>0</v>
      </c>
      <c r="AB1020">
        <v>0</v>
      </c>
      <c r="AC1020">
        <v>1</v>
      </c>
      <c r="AD1020">
        <v>800</v>
      </c>
      <c r="AE1020">
        <v>1</v>
      </c>
      <c r="AF1020">
        <v>0</v>
      </c>
      <c r="AG1020">
        <v>1</v>
      </c>
      <c r="AH1020">
        <v>0</v>
      </c>
      <c r="AI1020">
        <v>0</v>
      </c>
      <c r="AO1020">
        <v>-0.11479999999999979</v>
      </c>
      <c r="AP1020">
        <v>7.3233333333333333</v>
      </c>
      <c r="AQ1020">
        <v>840.1629999999999</v>
      </c>
      <c r="AS1020">
        <v>1010</v>
      </c>
      <c r="AT1020">
        <v>1184</v>
      </c>
      <c r="AU1020">
        <v>19</v>
      </c>
      <c r="AW1020" t="s">
        <v>356</v>
      </c>
      <c r="AX1020" t="s">
        <v>108</v>
      </c>
    </row>
    <row r="1021" spans="1:50" x14ac:dyDescent="0.45">
      <c r="A1021">
        <v>11020</v>
      </c>
      <c r="B1021">
        <v>1</v>
      </c>
      <c r="C1021">
        <v>82.817999999999998</v>
      </c>
      <c r="D1021">
        <v>6.28</v>
      </c>
      <c r="E1021">
        <v>0</v>
      </c>
      <c r="F1021">
        <v>1.61</v>
      </c>
      <c r="G1021">
        <v>0</v>
      </c>
      <c r="H1021">
        <v>0</v>
      </c>
      <c r="I1021">
        <v>0</v>
      </c>
      <c r="J1021">
        <v>2.1800000000000002</v>
      </c>
      <c r="K1021">
        <v>1.89</v>
      </c>
      <c r="L1021">
        <v>3.06</v>
      </c>
      <c r="M1021">
        <v>2.04</v>
      </c>
      <c r="N1021">
        <v>0</v>
      </c>
      <c r="O1021">
        <v>0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Y1021">
        <v>1</v>
      </c>
      <c r="Z1021">
        <v>0</v>
      </c>
      <c r="AA1021">
        <v>0</v>
      </c>
      <c r="AB1021">
        <v>0</v>
      </c>
      <c r="AC1021">
        <v>1</v>
      </c>
      <c r="AD1021">
        <v>800</v>
      </c>
      <c r="AE1021">
        <v>3</v>
      </c>
      <c r="AF1021">
        <v>0</v>
      </c>
      <c r="AG1021">
        <v>1</v>
      </c>
      <c r="AH1021">
        <v>0</v>
      </c>
      <c r="AI1021">
        <v>0</v>
      </c>
      <c r="AO1021">
        <v>-0.11479999999999979</v>
      </c>
      <c r="AP1021">
        <v>7.3233333333333333</v>
      </c>
      <c r="AQ1021">
        <v>840.1629999999999</v>
      </c>
      <c r="AS1021">
        <v>1002</v>
      </c>
      <c r="AT1021">
        <v>1177</v>
      </c>
      <c r="AU1021">
        <v>19.3</v>
      </c>
      <c r="AW1021" t="s">
        <v>356</v>
      </c>
      <c r="AX1021" t="s">
        <v>108</v>
      </c>
    </row>
    <row r="1022" spans="1:50" x14ac:dyDescent="0.45">
      <c r="A1022">
        <v>11021</v>
      </c>
      <c r="B1022">
        <v>1</v>
      </c>
      <c r="C1022">
        <v>82.817999999999998</v>
      </c>
      <c r="D1022">
        <v>6.28</v>
      </c>
      <c r="E1022">
        <v>0</v>
      </c>
      <c r="F1022">
        <v>1.61</v>
      </c>
      <c r="G1022">
        <v>0</v>
      </c>
      <c r="H1022">
        <v>0</v>
      </c>
      <c r="I1022">
        <v>0</v>
      </c>
      <c r="J1022">
        <v>2.1800000000000002</v>
      </c>
      <c r="K1022">
        <v>1.89</v>
      </c>
      <c r="L1022">
        <v>3.06</v>
      </c>
      <c r="M1022">
        <v>2.04</v>
      </c>
      <c r="N1022">
        <v>0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Y1022">
        <v>1</v>
      </c>
      <c r="Z1022">
        <v>0</v>
      </c>
      <c r="AA1022">
        <v>0</v>
      </c>
      <c r="AB1022">
        <v>0</v>
      </c>
      <c r="AC1022">
        <v>1</v>
      </c>
      <c r="AD1022">
        <v>800</v>
      </c>
      <c r="AE1022">
        <v>6</v>
      </c>
      <c r="AF1022">
        <v>0</v>
      </c>
      <c r="AG1022">
        <v>1</v>
      </c>
      <c r="AH1022">
        <v>0</v>
      </c>
      <c r="AI1022">
        <v>0</v>
      </c>
      <c r="AO1022">
        <v>-0.11479999999999979</v>
      </c>
      <c r="AP1022">
        <v>7.3233333333333333</v>
      </c>
      <c r="AQ1022">
        <v>840.1629999999999</v>
      </c>
      <c r="AS1022">
        <v>990</v>
      </c>
      <c r="AT1022">
        <v>1156</v>
      </c>
      <c r="AU1022">
        <v>20.100000000000001</v>
      </c>
      <c r="AW1022" t="s">
        <v>356</v>
      </c>
      <c r="AX1022" t="s">
        <v>108</v>
      </c>
    </row>
    <row r="1023" spans="1:50" x14ac:dyDescent="0.45">
      <c r="A1023">
        <v>11022</v>
      </c>
      <c r="B1023">
        <v>1</v>
      </c>
      <c r="C1023">
        <v>82.817999999999998</v>
      </c>
      <c r="D1023">
        <v>6.28</v>
      </c>
      <c r="E1023">
        <v>0</v>
      </c>
      <c r="F1023">
        <v>1.61</v>
      </c>
      <c r="G1023">
        <v>0</v>
      </c>
      <c r="H1023">
        <v>0</v>
      </c>
      <c r="I1023">
        <v>0</v>
      </c>
      <c r="J1023">
        <v>2.1800000000000002</v>
      </c>
      <c r="K1023">
        <v>1.89</v>
      </c>
      <c r="L1023">
        <v>3.06</v>
      </c>
      <c r="M1023">
        <v>2.04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Y1023">
        <v>1</v>
      </c>
      <c r="Z1023">
        <v>0</v>
      </c>
      <c r="AA1023">
        <v>0</v>
      </c>
      <c r="AB1023">
        <v>0</v>
      </c>
      <c r="AC1023">
        <v>1</v>
      </c>
      <c r="AD1023">
        <v>880</v>
      </c>
      <c r="AE1023">
        <v>1</v>
      </c>
      <c r="AF1023">
        <v>0</v>
      </c>
      <c r="AG1023">
        <v>1</v>
      </c>
      <c r="AH1023">
        <v>0</v>
      </c>
      <c r="AI1023">
        <v>0</v>
      </c>
      <c r="AO1023">
        <v>-0.11479999999999979</v>
      </c>
      <c r="AP1023">
        <v>7.3233333333333333</v>
      </c>
      <c r="AQ1023">
        <v>840.1629999999999</v>
      </c>
      <c r="AS1023">
        <v>695</v>
      </c>
      <c r="AT1023">
        <v>1340</v>
      </c>
      <c r="AU1023">
        <v>20.3</v>
      </c>
      <c r="AW1023" t="s">
        <v>356</v>
      </c>
      <c r="AX1023" t="s">
        <v>108</v>
      </c>
    </row>
    <row r="1024" spans="1:50" x14ac:dyDescent="0.45">
      <c r="A1024">
        <v>11023</v>
      </c>
      <c r="B1024">
        <v>1</v>
      </c>
      <c r="C1024">
        <v>82.817999999999998</v>
      </c>
      <c r="D1024">
        <v>6.28</v>
      </c>
      <c r="E1024">
        <v>0</v>
      </c>
      <c r="F1024">
        <v>1.61</v>
      </c>
      <c r="G1024">
        <v>0</v>
      </c>
      <c r="H1024">
        <v>0</v>
      </c>
      <c r="I1024">
        <v>0</v>
      </c>
      <c r="J1024">
        <v>2.1800000000000002</v>
      </c>
      <c r="K1024">
        <v>1.89</v>
      </c>
      <c r="L1024">
        <v>3.06</v>
      </c>
      <c r="M1024">
        <v>2.04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0</v>
      </c>
      <c r="Y1024">
        <v>1</v>
      </c>
      <c r="Z1024">
        <v>0</v>
      </c>
      <c r="AA1024">
        <v>0</v>
      </c>
      <c r="AB1024">
        <v>0</v>
      </c>
      <c r="AC1024">
        <v>1</v>
      </c>
      <c r="AD1024">
        <v>880</v>
      </c>
      <c r="AE1024">
        <v>3</v>
      </c>
      <c r="AF1024">
        <v>0</v>
      </c>
      <c r="AG1024">
        <v>1</v>
      </c>
      <c r="AH1024">
        <v>0</v>
      </c>
      <c r="AI1024">
        <v>0</v>
      </c>
      <c r="AO1024">
        <v>-0.11479999999999979</v>
      </c>
      <c r="AP1024">
        <v>7.3233333333333333</v>
      </c>
      <c r="AQ1024">
        <v>840.1629999999999</v>
      </c>
      <c r="AS1024">
        <v>674</v>
      </c>
      <c r="AT1024">
        <v>1333</v>
      </c>
      <c r="AU1024">
        <v>20.399999999999999</v>
      </c>
      <c r="AX1024" t="s">
        <v>108</v>
      </c>
    </row>
    <row r="1025" spans="1:50" x14ac:dyDescent="0.45">
      <c r="A1025">
        <v>11024</v>
      </c>
      <c r="B1025">
        <v>1</v>
      </c>
      <c r="C1025">
        <v>82.817999999999998</v>
      </c>
      <c r="D1025">
        <v>6.28</v>
      </c>
      <c r="E1025">
        <v>0</v>
      </c>
      <c r="F1025">
        <v>1.61</v>
      </c>
      <c r="G1025">
        <v>0</v>
      </c>
      <c r="H1025">
        <v>0</v>
      </c>
      <c r="I1025">
        <v>0</v>
      </c>
      <c r="J1025">
        <v>2.1800000000000002</v>
      </c>
      <c r="K1025">
        <v>1.89</v>
      </c>
      <c r="L1025">
        <v>3.06</v>
      </c>
      <c r="M1025">
        <v>2.04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0</v>
      </c>
      <c r="Y1025">
        <v>1</v>
      </c>
      <c r="Z1025">
        <v>0</v>
      </c>
      <c r="AA1025">
        <v>0</v>
      </c>
      <c r="AB1025">
        <v>0</v>
      </c>
      <c r="AC1025">
        <v>1</v>
      </c>
      <c r="AD1025">
        <v>880</v>
      </c>
      <c r="AE1025">
        <v>6</v>
      </c>
      <c r="AF1025">
        <v>0</v>
      </c>
      <c r="AG1025">
        <v>1</v>
      </c>
      <c r="AH1025">
        <v>0</v>
      </c>
      <c r="AI1025">
        <v>0</v>
      </c>
      <c r="AO1025">
        <v>-0.11479999999999979</v>
      </c>
      <c r="AP1025">
        <v>7.3233333333333333</v>
      </c>
      <c r="AQ1025">
        <v>840.1629999999999</v>
      </c>
      <c r="AS1025">
        <v>656</v>
      </c>
      <c r="AT1025">
        <v>1317</v>
      </c>
      <c r="AU1025">
        <v>20.7</v>
      </c>
      <c r="AX1025" t="s">
        <v>108</v>
      </c>
    </row>
    <row r="1026" spans="1:50" x14ac:dyDescent="0.45">
      <c r="A1026">
        <v>11025</v>
      </c>
      <c r="B1026">
        <v>1</v>
      </c>
      <c r="C1026">
        <v>82.817999999999998</v>
      </c>
      <c r="D1026">
        <v>6.28</v>
      </c>
      <c r="E1026">
        <v>0</v>
      </c>
      <c r="F1026">
        <v>1.61</v>
      </c>
      <c r="G1026">
        <v>0</v>
      </c>
      <c r="H1026">
        <v>0</v>
      </c>
      <c r="I1026">
        <v>0</v>
      </c>
      <c r="J1026">
        <v>2.1800000000000002</v>
      </c>
      <c r="K1026">
        <v>1.89</v>
      </c>
      <c r="L1026">
        <v>3.06</v>
      </c>
      <c r="M1026">
        <v>2.04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0</v>
      </c>
      <c r="Y1026">
        <v>1</v>
      </c>
      <c r="Z1026">
        <v>0</v>
      </c>
      <c r="AA1026">
        <v>0</v>
      </c>
      <c r="AB1026">
        <v>0</v>
      </c>
      <c r="AC1026">
        <v>1</v>
      </c>
      <c r="AD1026">
        <v>920</v>
      </c>
      <c r="AE1026">
        <v>1</v>
      </c>
      <c r="AF1026">
        <v>0</v>
      </c>
      <c r="AG1026">
        <v>1</v>
      </c>
      <c r="AH1026">
        <v>0</v>
      </c>
      <c r="AI1026">
        <v>0</v>
      </c>
      <c r="AO1026">
        <v>-0.11479999999999979</v>
      </c>
      <c r="AP1026">
        <v>7.3233333333333333</v>
      </c>
      <c r="AQ1026">
        <v>840.1629999999999</v>
      </c>
      <c r="AS1026">
        <v>1126</v>
      </c>
      <c r="AT1026">
        <v>1582</v>
      </c>
      <c r="AU1026">
        <v>10.1</v>
      </c>
      <c r="AX1026" t="s">
        <v>108</v>
      </c>
    </row>
    <row r="1027" spans="1:50" x14ac:dyDescent="0.45">
      <c r="A1027">
        <v>11026</v>
      </c>
      <c r="B1027">
        <v>1</v>
      </c>
      <c r="C1027">
        <v>82.817999999999998</v>
      </c>
      <c r="D1027">
        <v>6.28</v>
      </c>
      <c r="E1027">
        <v>0</v>
      </c>
      <c r="F1027">
        <v>1.61</v>
      </c>
      <c r="G1027">
        <v>0</v>
      </c>
      <c r="H1027">
        <v>0</v>
      </c>
      <c r="I1027">
        <v>0</v>
      </c>
      <c r="J1027">
        <v>2.1800000000000002</v>
      </c>
      <c r="K1027">
        <v>1.89</v>
      </c>
      <c r="L1027">
        <v>3.06</v>
      </c>
      <c r="M1027">
        <v>2.04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Y1027">
        <v>1</v>
      </c>
      <c r="Z1027">
        <v>0</v>
      </c>
      <c r="AA1027">
        <v>0</v>
      </c>
      <c r="AB1027">
        <v>0</v>
      </c>
      <c r="AC1027">
        <v>1</v>
      </c>
      <c r="AD1027">
        <v>920</v>
      </c>
      <c r="AE1027">
        <v>3</v>
      </c>
      <c r="AF1027">
        <v>0</v>
      </c>
      <c r="AG1027">
        <v>1</v>
      </c>
      <c r="AH1027">
        <v>0</v>
      </c>
      <c r="AI1027">
        <v>0</v>
      </c>
      <c r="AO1027">
        <v>-0.11479999999999979</v>
      </c>
      <c r="AP1027">
        <v>7.3233333333333333</v>
      </c>
      <c r="AQ1027">
        <v>840.1629999999999</v>
      </c>
      <c r="AS1027">
        <v>1040</v>
      </c>
      <c r="AT1027">
        <v>1565</v>
      </c>
      <c r="AU1027">
        <v>10.7</v>
      </c>
      <c r="AX1027" t="s">
        <v>108</v>
      </c>
    </row>
    <row r="1028" spans="1:50" x14ac:dyDescent="0.45">
      <c r="A1028">
        <v>11027</v>
      </c>
      <c r="B1028">
        <v>1</v>
      </c>
      <c r="C1028">
        <v>82.817999999999998</v>
      </c>
      <c r="D1028">
        <v>6.28</v>
      </c>
      <c r="E1028">
        <v>0</v>
      </c>
      <c r="F1028">
        <v>1.61</v>
      </c>
      <c r="G1028">
        <v>0</v>
      </c>
      <c r="H1028">
        <v>0</v>
      </c>
      <c r="I1028">
        <v>0</v>
      </c>
      <c r="J1028">
        <v>2.1800000000000002</v>
      </c>
      <c r="K1028">
        <v>1.89</v>
      </c>
      <c r="L1028">
        <v>3.06</v>
      </c>
      <c r="M1028">
        <v>2.04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Y1028">
        <v>1</v>
      </c>
      <c r="Z1028">
        <v>0</v>
      </c>
      <c r="AA1028">
        <v>0</v>
      </c>
      <c r="AB1028">
        <v>0</v>
      </c>
      <c r="AC1028">
        <v>1</v>
      </c>
      <c r="AD1028">
        <v>920</v>
      </c>
      <c r="AE1028">
        <v>6</v>
      </c>
      <c r="AF1028">
        <v>0</v>
      </c>
      <c r="AG1028">
        <v>1</v>
      </c>
      <c r="AH1028">
        <v>0</v>
      </c>
      <c r="AI1028">
        <v>0</v>
      </c>
      <c r="AO1028">
        <v>-0.11479999999999979</v>
      </c>
      <c r="AP1028">
        <v>7.3233333333333333</v>
      </c>
      <c r="AQ1028">
        <v>840.1629999999999</v>
      </c>
      <c r="AS1028">
        <v>1051</v>
      </c>
      <c r="AT1028">
        <v>1605</v>
      </c>
      <c r="AU1028">
        <v>10.7</v>
      </c>
      <c r="AX1028" t="s">
        <v>108</v>
      </c>
    </row>
    <row r="1029" spans="1:50" x14ac:dyDescent="0.45">
      <c r="A1029">
        <v>11028</v>
      </c>
      <c r="B1029">
        <v>1</v>
      </c>
      <c r="C1029">
        <v>83.5</v>
      </c>
      <c r="D1029">
        <v>6.17</v>
      </c>
      <c r="E1029">
        <v>0</v>
      </c>
      <c r="F1029">
        <v>1.41</v>
      </c>
      <c r="G1029">
        <v>0</v>
      </c>
      <c r="H1029">
        <v>0</v>
      </c>
      <c r="I1029">
        <v>0</v>
      </c>
      <c r="J1029">
        <v>1.93</v>
      </c>
      <c r="K1029">
        <v>2.0099999999999998</v>
      </c>
      <c r="L1029">
        <v>3.01</v>
      </c>
      <c r="M1029">
        <v>1.97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Y1029">
        <v>1</v>
      </c>
      <c r="Z1029">
        <v>0</v>
      </c>
      <c r="AA1029">
        <v>0</v>
      </c>
      <c r="AB1029">
        <v>0</v>
      </c>
      <c r="AC1029">
        <v>0</v>
      </c>
      <c r="AI1029">
        <v>0</v>
      </c>
      <c r="AO1029">
        <v>-0.34120000000000061</v>
      </c>
      <c r="AP1029">
        <v>7.1483333333333325</v>
      </c>
      <c r="AQ1029">
        <v>844.25799999999992</v>
      </c>
      <c r="AS1029">
        <v>1136</v>
      </c>
      <c r="AT1029">
        <v>1183</v>
      </c>
      <c r="AU1029">
        <v>7.5</v>
      </c>
      <c r="AX1029" t="s">
        <v>206</v>
      </c>
    </row>
    <row r="1030" spans="1:50" x14ac:dyDescent="0.45">
      <c r="A1030">
        <v>11029</v>
      </c>
      <c r="B1030">
        <v>1</v>
      </c>
      <c r="C1030">
        <v>83.5</v>
      </c>
      <c r="D1030">
        <v>6.17</v>
      </c>
      <c r="E1030">
        <v>0</v>
      </c>
      <c r="F1030">
        <v>1.41</v>
      </c>
      <c r="G1030">
        <v>0</v>
      </c>
      <c r="H1030">
        <v>0</v>
      </c>
      <c r="I1030">
        <v>0</v>
      </c>
      <c r="J1030">
        <v>1.93</v>
      </c>
      <c r="K1030">
        <v>2.0099999999999998</v>
      </c>
      <c r="L1030">
        <v>3.01</v>
      </c>
      <c r="M1030">
        <v>1.97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Y1030">
        <v>1</v>
      </c>
      <c r="Z1030">
        <v>0</v>
      </c>
      <c r="AA1030">
        <v>0</v>
      </c>
      <c r="AB1030">
        <v>0</v>
      </c>
      <c r="AC1030">
        <v>1</v>
      </c>
      <c r="AD1030">
        <v>880</v>
      </c>
      <c r="AE1030">
        <v>1</v>
      </c>
      <c r="AF1030">
        <v>0</v>
      </c>
      <c r="AG1030">
        <v>1</v>
      </c>
      <c r="AH1030">
        <v>0</v>
      </c>
      <c r="AI1030">
        <v>1</v>
      </c>
      <c r="AJ1030">
        <v>590</v>
      </c>
      <c r="AK1030">
        <v>2</v>
      </c>
      <c r="AO1030">
        <v>-0.34120000000000061</v>
      </c>
      <c r="AP1030">
        <v>7.1483333333333325</v>
      </c>
      <c r="AQ1030">
        <v>844.25799999999992</v>
      </c>
      <c r="AT1030">
        <v>1145</v>
      </c>
      <c r="AU1030">
        <v>12.5</v>
      </c>
      <c r="AX1030" t="s">
        <v>206</v>
      </c>
    </row>
    <row r="1031" spans="1:50" x14ac:dyDescent="0.45">
      <c r="A1031">
        <v>11030</v>
      </c>
      <c r="B1031">
        <v>1</v>
      </c>
      <c r="C1031">
        <v>80.63</v>
      </c>
      <c r="D1031">
        <v>5.21</v>
      </c>
      <c r="E1031">
        <v>4.91</v>
      </c>
      <c r="F1031">
        <v>2.76</v>
      </c>
      <c r="G1031">
        <v>0</v>
      </c>
      <c r="H1031">
        <v>0.39</v>
      </c>
      <c r="I1031">
        <v>0</v>
      </c>
      <c r="J1031">
        <v>1.1000000000000001</v>
      </c>
      <c r="K1031">
        <v>0</v>
      </c>
      <c r="L1031">
        <v>5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Y1031">
        <v>1</v>
      </c>
      <c r="Z1031">
        <v>0</v>
      </c>
      <c r="AA1031">
        <v>0</v>
      </c>
      <c r="AB1031">
        <v>0</v>
      </c>
      <c r="AC1031">
        <v>1</v>
      </c>
      <c r="AD1031">
        <v>840</v>
      </c>
      <c r="AE1031">
        <v>1.5</v>
      </c>
      <c r="AF1031">
        <v>0</v>
      </c>
      <c r="AG1031">
        <v>0</v>
      </c>
      <c r="AH1031">
        <v>1</v>
      </c>
      <c r="AI1031">
        <v>1</v>
      </c>
      <c r="AJ1031">
        <v>580</v>
      </c>
      <c r="AK1031">
        <v>8</v>
      </c>
      <c r="AL1031">
        <v>0</v>
      </c>
      <c r="AM1031">
        <v>1</v>
      </c>
      <c r="AN1031">
        <v>0</v>
      </c>
      <c r="AO1031">
        <v>8.6266999999999996</v>
      </c>
      <c r="AP1031">
        <v>5.3933333333333335</v>
      </c>
      <c r="AQ1031">
        <v>740.51100000000008</v>
      </c>
      <c r="AT1031">
        <v>1154</v>
      </c>
      <c r="AU1031">
        <v>16.899999999999999</v>
      </c>
      <c r="AX1031" t="s">
        <v>207</v>
      </c>
    </row>
    <row r="1032" spans="1:50" x14ac:dyDescent="0.45">
      <c r="A1032">
        <v>11031</v>
      </c>
      <c r="B1032">
        <v>1</v>
      </c>
      <c r="C1032">
        <v>80.63</v>
      </c>
      <c r="D1032">
        <v>5.21</v>
      </c>
      <c r="E1032">
        <v>4.91</v>
      </c>
      <c r="F1032">
        <v>2.76</v>
      </c>
      <c r="G1032">
        <v>0</v>
      </c>
      <c r="H1032">
        <v>0.39</v>
      </c>
      <c r="I1032">
        <v>0</v>
      </c>
      <c r="J1032">
        <v>1.1000000000000001</v>
      </c>
      <c r="K1032">
        <v>0</v>
      </c>
      <c r="L1032">
        <v>5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Y1032">
        <v>1</v>
      </c>
      <c r="Z1032">
        <v>0</v>
      </c>
      <c r="AA1032">
        <v>0</v>
      </c>
      <c r="AB1032">
        <v>0</v>
      </c>
      <c r="AC1032">
        <v>1</v>
      </c>
      <c r="AD1032">
        <v>860</v>
      </c>
      <c r="AE1032">
        <v>1.5</v>
      </c>
      <c r="AF1032">
        <v>0</v>
      </c>
      <c r="AG1032">
        <v>0</v>
      </c>
      <c r="AH1032">
        <v>1</v>
      </c>
      <c r="AI1032">
        <v>1</v>
      </c>
      <c r="AJ1032">
        <v>580</v>
      </c>
      <c r="AK1032">
        <v>8</v>
      </c>
      <c r="AL1032">
        <v>0</v>
      </c>
      <c r="AM1032">
        <v>1</v>
      </c>
      <c r="AN1032">
        <v>0</v>
      </c>
      <c r="AO1032">
        <v>8.6266999999999996</v>
      </c>
      <c r="AP1032">
        <v>5.3933333333333335</v>
      </c>
      <c r="AQ1032">
        <v>740.51100000000008</v>
      </c>
      <c r="AT1032">
        <v>1158</v>
      </c>
      <c r="AU1032">
        <v>17.3</v>
      </c>
      <c r="AX1032" t="s">
        <v>207</v>
      </c>
    </row>
    <row r="1033" spans="1:50" x14ac:dyDescent="0.45">
      <c r="A1033">
        <v>11032</v>
      </c>
      <c r="B1033">
        <v>1</v>
      </c>
      <c r="C1033">
        <v>80.63</v>
      </c>
      <c r="D1033">
        <v>5.21</v>
      </c>
      <c r="E1033">
        <v>4.91</v>
      </c>
      <c r="F1033">
        <v>2.76</v>
      </c>
      <c r="G1033">
        <v>0</v>
      </c>
      <c r="H1033">
        <v>0.39</v>
      </c>
      <c r="I1033">
        <v>0</v>
      </c>
      <c r="J1033">
        <v>1.1000000000000001</v>
      </c>
      <c r="K1033">
        <v>0</v>
      </c>
      <c r="L1033">
        <v>5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Y1033">
        <v>1</v>
      </c>
      <c r="Z1033">
        <v>0</v>
      </c>
      <c r="AA1033">
        <v>0</v>
      </c>
      <c r="AB1033">
        <v>0</v>
      </c>
      <c r="AC1033">
        <v>1</v>
      </c>
      <c r="AD1033">
        <v>870</v>
      </c>
      <c r="AE1033">
        <v>1.5</v>
      </c>
      <c r="AF1033">
        <v>0</v>
      </c>
      <c r="AG1033">
        <v>0</v>
      </c>
      <c r="AH1033">
        <v>1</v>
      </c>
      <c r="AI1033">
        <v>1</v>
      </c>
      <c r="AJ1033">
        <v>580</v>
      </c>
      <c r="AK1033">
        <v>8</v>
      </c>
      <c r="AL1033">
        <v>0</v>
      </c>
      <c r="AM1033">
        <v>1</v>
      </c>
      <c r="AN1033">
        <v>0</v>
      </c>
      <c r="AO1033">
        <v>8.6266999999999996</v>
      </c>
      <c r="AP1033">
        <v>5.3933333333333335</v>
      </c>
      <c r="AQ1033">
        <v>740.51100000000008</v>
      </c>
      <c r="AT1033">
        <v>1156</v>
      </c>
      <c r="AU1033">
        <v>15.7</v>
      </c>
      <c r="AX1033" t="s">
        <v>207</v>
      </c>
    </row>
    <row r="1034" spans="1:50" x14ac:dyDescent="0.45">
      <c r="A1034">
        <v>11033</v>
      </c>
      <c r="B1034">
        <v>1</v>
      </c>
      <c r="C1034">
        <v>80.63</v>
      </c>
      <c r="D1034">
        <v>5.21</v>
      </c>
      <c r="E1034">
        <v>4.91</v>
      </c>
      <c r="F1034">
        <v>2.76</v>
      </c>
      <c r="G1034">
        <v>0</v>
      </c>
      <c r="H1034">
        <v>0.39</v>
      </c>
      <c r="I1034">
        <v>0</v>
      </c>
      <c r="J1034">
        <v>1.1000000000000001</v>
      </c>
      <c r="K1034">
        <v>0</v>
      </c>
      <c r="L1034">
        <v>5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Y1034">
        <v>1</v>
      </c>
      <c r="Z1034">
        <v>0</v>
      </c>
      <c r="AA1034">
        <v>0</v>
      </c>
      <c r="AB1034">
        <v>0</v>
      </c>
      <c r="AC1034">
        <v>1</v>
      </c>
      <c r="AD1034">
        <v>880</v>
      </c>
      <c r="AE1034">
        <v>1.5</v>
      </c>
      <c r="AF1034">
        <v>0</v>
      </c>
      <c r="AG1034">
        <v>0</v>
      </c>
      <c r="AH1034">
        <v>1</v>
      </c>
      <c r="AI1034">
        <v>1</v>
      </c>
      <c r="AJ1034">
        <v>580</v>
      </c>
      <c r="AK1034">
        <v>8</v>
      </c>
      <c r="AL1034">
        <v>0</v>
      </c>
      <c r="AM1034">
        <v>1</v>
      </c>
      <c r="AN1034">
        <v>0</v>
      </c>
      <c r="AO1034">
        <v>8.6266999999999996</v>
      </c>
      <c r="AP1034">
        <v>5.3933333333333335</v>
      </c>
      <c r="AQ1034">
        <v>740.51100000000008</v>
      </c>
      <c r="AT1034">
        <v>1150</v>
      </c>
      <c r="AU1034">
        <v>14.9</v>
      </c>
      <c r="AX1034" t="s">
        <v>207</v>
      </c>
    </row>
    <row r="1035" spans="1:50" x14ac:dyDescent="0.45">
      <c r="A1035">
        <v>11034</v>
      </c>
      <c r="B1035">
        <v>1</v>
      </c>
      <c r="C1035">
        <v>80.63</v>
      </c>
      <c r="D1035">
        <v>5.21</v>
      </c>
      <c r="E1035">
        <v>4.91</v>
      </c>
      <c r="F1035">
        <v>2.76</v>
      </c>
      <c r="G1035">
        <v>0</v>
      </c>
      <c r="H1035">
        <v>0.39</v>
      </c>
      <c r="I1035">
        <v>0</v>
      </c>
      <c r="J1035">
        <v>1.1000000000000001</v>
      </c>
      <c r="K1035">
        <v>0</v>
      </c>
      <c r="L1035">
        <v>5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Y1035">
        <v>1</v>
      </c>
      <c r="Z1035">
        <v>0</v>
      </c>
      <c r="AA1035">
        <v>0</v>
      </c>
      <c r="AB1035">
        <v>0</v>
      </c>
      <c r="AC1035">
        <v>1</v>
      </c>
      <c r="AD1035">
        <v>900</v>
      </c>
      <c r="AE1035">
        <v>1.5</v>
      </c>
      <c r="AF1035">
        <v>0</v>
      </c>
      <c r="AG1035">
        <v>0</v>
      </c>
      <c r="AH1035">
        <v>1</v>
      </c>
      <c r="AI1035">
        <v>1</v>
      </c>
      <c r="AJ1035">
        <v>580</v>
      </c>
      <c r="AK1035">
        <v>8</v>
      </c>
      <c r="AL1035">
        <v>0</v>
      </c>
      <c r="AM1035">
        <v>1</v>
      </c>
      <c r="AN1035">
        <v>0</v>
      </c>
      <c r="AO1035">
        <v>8.6266999999999996</v>
      </c>
      <c r="AP1035">
        <v>5.3933333333333335</v>
      </c>
      <c r="AQ1035">
        <v>740.51100000000008</v>
      </c>
      <c r="AT1035">
        <v>1176</v>
      </c>
      <c r="AU1035">
        <v>13.8</v>
      </c>
      <c r="AX1035" t="s">
        <v>207</v>
      </c>
    </row>
    <row r="1036" spans="1:50" x14ac:dyDescent="0.45">
      <c r="A1036">
        <v>11035</v>
      </c>
      <c r="B1036">
        <v>1</v>
      </c>
      <c r="C1036">
        <v>80.63</v>
      </c>
      <c r="D1036">
        <v>5.21</v>
      </c>
      <c r="E1036">
        <v>4.91</v>
      </c>
      <c r="F1036">
        <v>2.76</v>
      </c>
      <c r="G1036">
        <v>0</v>
      </c>
      <c r="H1036">
        <v>0.39</v>
      </c>
      <c r="I1036">
        <v>0</v>
      </c>
      <c r="J1036">
        <v>1.1000000000000001</v>
      </c>
      <c r="K1036">
        <v>0</v>
      </c>
      <c r="L1036">
        <v>5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Y1036">
        <v>1</v>
      </c>
      <c r="Z1036">
        <v>0</v>
      </c>
      <c r="AA1036">
        <v>0</v>
      </c>
      <c r="AB1036">
        <v>0</v>
      </c>
      <c r="AC1036">
        <v>1</v>
      </c>
      <c r="AD1036">
        <v>790</v>
      </c>
      <c r="AE1036">
        <v>1</v>
      </c>
      <c r="AF1036">
        <v>0</v>
      </c>
      <c r="AG1036">
        <v>1</v>
      </c>
      <c r="AH1036">
        <v>0</v>
      </c>
      <c r="AI1036">
        <v>1</v>
      </c>
      <c r="AJ1036">
        <v>580</v>
      </c>
      <c r="AK1036">
        <v>8</v>
      </c>
      <c r="AL1036">
        <v>0</v>
      </c>
      <c r="AM1036">
        <v>1</v>
      </c>
      <c r="AN1036">
        <v>0</v>
      </c>
      <c r="AO1036">
        <v>8.6266999999999996</v>
      </c>
      <c r="AP1036">
        <v>5.3933333333333335</v>
      </c>
      <c r="AQ1036">
        <v>740.51100000000008</v>
      </c>
      <c r="AT1036">
        <v>1037</v>
      </c>
      <c r="AU1036">
        <v>13.8</v>
      </c>
      <c r="AX1036" t="s">
        <v>207</v>
      </c>
    </row>
    <row r="1037" spans="1:50" x14ac:dyDescent="0.45">
      <c r="A1037">
        <v>11036</v>
      </c>
      <c r="B1037">
        <v>1</v>
      </c>
      <c r="C1037">
        <v>80.63</v>
      </c>
      <c r="D1037">
        <v>5.21</v>
      </c>
      <c r="E1037">
        <v>4.91</v>
      </c>
      <c r="F1037">
        <v>2.76</v>
      </c>
      <c r="G1037">
        <v>0</v>
      </c>
      <c r="H1037">
        <v>0.39</v>
      </c>
      <c r="I1037">
        <v>0</v>
      </c>
      <c r="J1037">
        <v>1.1000000000000001</v>
      </c>
      <c r="K1037">
        <v>0</v>
      </c>
      <c r="L1037">
        <v>5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Y1037">
        <v>1</v>
      </c>
      <c r="Z1037">
        <v>0</v>
      </c>
      <c r="AA1037">
        <v>0</v>
      </c>
      <c r="AB1037">
        <v>0</v>
      </c>
      <c r="AC1037">
        <v>1</v>
      </c>
      <c r="AD1037">
        <v>800</v>
      </c>
      <c r="AE1037">
        <v>1</v>
      </c>
      <c r="AF1037">
        <v>0</v>
      </c>
      <c r="AG1037">
        <v>1</v>
      </c>
      <c r="AH1037">
        <v>0</v>
      </c>
      <c r="AI1037">
        <v>1</v>
      </c>
      <c r="AJ1037">
        <v>580</v>
      </c>
      <c r="AK1037">
        <v>8</v>
      </c>
      <c r="AL1037">
        <v>0</v>
      </c>
      <c r="AM1037">
        <v>1</v>
      </c>
      <c r="AN1037">
        <v>0</v>
      </c>
      <c r="AO1037">
        <v>8.6266999999999996</v>
      </c>
      <c r="AP1037">
        <v>5.3933333333333335</v>
      </c>
      <c r="AQ1037">
        <v>740.51100000000008</v>
      </c>
      <c r="AT1037">
        <v>1357</v>
      </c>
      <c r="AU1037">
        <v>13.1</v>
      </c>
      <c r="AX1037" t="s">
        <v>207</v>
      </c>
    </row>
    <row r="1038" spans="1:50" x14ac:dyDescent="0.45">
      <c r="A1038">
        <v>11037</v>
      </c>
      <c r="B1038">
        <v>1</v>
      </c>
      <c r="C1038">
        <v>80.63</v>
      </c>
      <c r="D1038">
        <v>5.21</v>
      </c>
      <c r="E1038">
        <v>4.91</v>
      </c>
      <c r="F1038">
        <v>2.76</v>
      </c>
      <c r="G1038">
        <v>0</v>
      </c>
      <c r="H1038">
        <v>0.39</v>
      </c>
      <c r="I1038">
        <v>0</v>
      </c>
      <c r="J1038">
        <v>1.1000000000000001</v>
      </c>
      <c r="K1038">
        <v>0</v>
      </c>
      <c r="L1038">
        <v>5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Y1038">
        <v>1</v>
      </c>
      <c r="Z1038">
        <v>0</v>
      </c>
      <c r="AA1038">
        <v>0</v>
      </c>
      <c r="AB1038">
        <v>0</v>
      </c>
      <c r="AC1038">
        <v>1</v>
      </c>
      <c r="AD1038">
        <v>805</v>
      </c>
      <c r="AE1038">
        <v>1</v>
      </c>
      <c r="AF1038">
        <v>0</v>
      </c>
      <c r="AG1038">
        <v>1</v>
      </c>
      <c r="AH1038">
        <v>0</v>
      </c>
      <c r="AI1038">
        <v>1</v>
      </c>
      <c r="AJ1038">
        <v>580</v>
      </c>
      <c r="AK1038">
        <v>8</v>
      </c>
      <c r="AL1038">
        <v>0</v>
      </c>
      <c r="AM1038">
        <v>1</v>
      </c>
      <c r="AN1038">
        <v>0</v>
      </c>
      <c r="AO1038">
        <v>8.6266999999999996</v>
      </c>
      <c r="AP1038">
        <v>5.3933333333333335</v>
      </c>
      <c r="AQ1038">
        <v>740.51100000000008</v>
      </c>
      <c r="AT1038">
        <v>1311</v>
      </c>
      <c r="AU1038">
        <v>15.7</v>
      </c>
      <c r="AX1038" t="s">
        <v>207</v>
      </c>
    </row>
    <row r="1039" spans="1:50" x14ac:dyDescent="0.45">
      <c r="A1039">
        <v>11038</v>
      </c>
      <c r="B1039">
        <v>1</v>
      </c>
      <c r="C1039">
        <v>80.63</v>
      </c>
      <c r="D1039">
        <v>5.21</v>
      </c>
      <c r="E1039">
        <v>4.91</v>
      </c>
      <c r="F1039">
        <v>2.76</v>
      </c>
      <c r="G1039">
        <v>0</v>
      </c>
      <c r="H1039">
        <v>0.39</v>
      </c>
      <c r="I1039">
        <v>0</v>
      </c>
      <c r="J1039">
        <v>1.1000000000000001</v>
      </c>
      <c r="K1039">
        <v>0</v>
      </c>
      <c r="L1039">
        <v>5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Y1039">
        <v>1</v>
      </c>
      <c r="Z1039">
        <v>0</v>
      </c>
      <c r="AA1039">
        <v>0</v>
      </c>
      <c r="AB1039">
        <v>0</v>
      </c>
      <c r="AC1039">
        <v>1</v>
      </c>
      <c r="AD1039">
        <v>810</v>
      </c>
      <c r="AE1039">
        <v>1</v>
      </c>
      <c r="AF1039">
        <v>0</v>
      </c>
      <c r="AG1039">
        <v>1</v>
      </c>
      <c r="AH1039">
        <v>0</v>
      </c>
      <c r="AI1039">
        <v>1</v>
      </c>
      <c r="AJ1039">
        <v>580</v>
      </c>
      <c r="AK1039">
        <v>8</v>
      </c>
      <c r="AL1039">
        <v>0</v>
      </c>
      <c r="AM1039">
        <v>1</v>
      </c>
      <c r="AN1039">
        <v>0</v>
      </c>
      <c r="AO1039">
        <v>8.6266999999999996</v>
      </c>
      <c r="AP1039">
        <v>5.3933333333333335</v>
      </c>
      <c r="AQ1039">
        <v>740.51100000000008</v>
      </c>
      <c r="AT1039">
        <v>1311</v>
      </c>
      <c r="AU1039">
        <v>16.7</v>
      </c>
      <c r="AX1039" t="s">
        <v>207</v>
      </c>
    </row>
    <row r="1040" spans="1:50" x14ac:dyDescent="0.45">
      <c r="A1040">
        <v>11039</v>
      </c>
      <c r="B1040">
        <v>1</v>
      </c>
      <c r="C1040">
        <v>80.63</v>
      </c>
      <c r="D1040">
        <v>5.21</v>
      </c>
      <c r="E1040">
        <v>4.91</v>
      </c>
      <c r="F1040">
        <v>2.76</v>
      </c>
      <c r="G1040">
        <v>0</v>
      </c>
      <c r="H1040">
        <v>0.39</v>
      </c>
      <c r="I1040">
        <v>0</v>
      </c>
      <c r="J1040">
        <v>1.1000000000000001</v>
      </c>
      <c r="K1040">
        <v>0</v>
      </c>
      <c r="L1040">
        <v>5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Y1040">
        <v>1</v>
      </c>
      <c r="Z1040">
        <v>0</v>
      </c>
      <c r="AA1040">
        <v>0</v>
      </c>
      <c r="AB1040">
        <v>0</v>
      </c>
      <c r="AC1040">
        <v>1</v>
      </c>
      <c r="AD1040">
        <v>815</v>
      </c>
      <c r="AE1040">
        <v>1</v>
      </c>
      <c r="AF1040">
        <v>0</v>
      </c>
      <c r="AG1040">
        <v>1</v>
      </c>
      <c r="AH1040">
        <v>0</v>
      </c>
      <c r="AI1040">
        <v>1</v>
      </c>
      <c r="AJ1040">
        <v>580</v>
      </c>
      <c r="AK1040">
        <v>8</v>
      </c>
      <c r="AL1040">
        <v>0</v>
      </c>
      <c r="AM1040">
        <v>1</v>
      </c>
      <c r="AN1040">
        <v>0</v>
      </c>
      <c r="AO1040">
        <v>8.6266999999999996</v>
      </c>
      <c r="AP1040">
        <v>5.3933333333333335</v>
      </c>
      <c r="AQ1040">
        <v>740.51100000000008</v>
      </c>
      <c r="AT1040">
        <v>1342</v>
      </c>
      <c r="AU1040">
        <v>14</v>
      </c>
      <c r="AX1040" t="s">
        <v>207</v>
      </c>
    </row>
    <row r="1041" spans="1:50" x14ac:dyDescent="0.45">
      <c r="A1041">
        <v>11040</v>
      </c>
      <c r="B1041">
        <v>1</v>
      </c>
      <c r="C1041">
        <v>80.63</v>
      </c>
      <c r="D1041">
        <v>5.21</v>
      </c>
      <c r="E1041">
        <v>4.91</v>
      </c>
      <c r="F1041">
        <v>2.76</v>
      </c>
      <c r="G1041">
        <v>0</v>
      </c>
      <c r="H1041">
        <v>0.39</v>
      </c>
      <c r="I1041">
        <v>0</v>
      </c>
      <c r="J1041">
        <v>1.1000000000000001</v>
      </c>
      <c r="K1041">
        <v>0</v>
      </c>
      <c r="L1041">
        <v>5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Y1041">
        <v>1</v>
      </c>
      <c r="Z1041">
        <v>0</v>
      </c>
      <c r="AA1041">
        <v>0</v>
      </c>
      <c r="AB1041">
        <v>0</v>
      </c>
      <c r="AC1041">
        <v>1</v>
      </c>
      <c r="AD1041">
        <v>820</v>
      </c>
      <c r="AE1041">
        <v>1</v>
      </c>
      <c r="AF1041">
        <v>0</v>
      </c>
      <c r="AG1041">
        <v>1</v>
      </c>
      <c r="AH1041">
        <v>0</v>
      </c>
      <c r="AI1041">
        <v>1</v>
      </c>
      <c r="AJ1041">
        <v>580</v>
      </c>
      <c r="AK1041">
        <v>8</v>
      </c>
      <c r="AL1041">
        <v>0</v>
      </c>
      <c r="AM1041">
        <v>1</v>
      </c>
      <c r="AN1041">
        <v>0</v>
      </c>
      <c r="AO1041">
        <v>8.6266999999999996</v>
      </c>
      <c r="AP1041">
        <v>5.3933333333333335</v>
      </c>
      <c r="AQ1041">
        <v>740.51100000000008</v>
      </c>
      <c r="AT1041">
        <v>1365</v>
      </c>
      <c r="AU1041">
        <v>11.6</v>
      </c>
      <c r="AX1041" t="s">
        <v>207</v>
      </c>
    </row>
    <row r="1042" spans="1:50" x14ac:dyDescent="0.45">
      <c r="A1042">
        <v>11041</v>
      </c>
      <c r="B1042">
        <v>1</v>
      </c>
      <c r="C1042">
        <v>80.63</v>
      </c>
      <c r="D1042">
        <v>5.21</v>
      </c>
      <c r="E1042">
        <v>4.91</v>
      </c>
      <c r="F1042">
        <v>2.76</v>
      </c>
      <c r="G1042">
        <v>0</v>
      </c>
      <c r="H1042">
        <v>0.39</v>
      </c>
      <c r="I1042">
        <v>0</v>
      </c>
      <c r="J1042">
        <v>1.1000000000000001</v>
      </c>
      <c r="K1042">
        <v>0</v>
      </c>
      <c r="L1042">
        <v>5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Y1042">
        <v>1</v>
      </c>
      <c r="Z1042">
        <v>0</v>
      </c>
      <c r="AA1042">
        <v>0</v>
      </c>
      <c r="AB1042">
        <v>0</v>
      </c>
      <c r="AC1042">
        <v>1</v>
      </c>
      <c r="AD1042">
        <v>830</v>
      </c>
      <c r="AE1042">
        <v>1</v>
      </c>
      <c r="AF1042">
        <v>0</v>
      </c>
      <c r="AG1042">
        <v>1</v>
      </c>
      <c r="AH1042">
        <v>0</v>
      </c>
      <c r="AI1042">
        <v>1</v>
      </c>
      <c r="AJ1042">
        <v>580</v>
      </c>
      <c r="AK1042">
        <v>8</v>
      </c>
      <c r="AL1042">
        <v>0</v>
      </c>
      <c r="AM1042">
        <v>1</v>
      </c>
      <c r="AN1042">
        <v>0</v>
      </c>
      <c r="AO1042">
        <v>8.6266999999999996</v>
      </c>
      <c r="AP1042">
        <v>5.3933333333333335</v>
      </c>
      <c r="AQ1042">
        <v>740.51100000000008</v>
      </c>
      <c r="AT1042">
        <v>1356</v>
      </c>
      <c r="AU1042">
        <v>9.4</v>
      </c>
      <c r="AX1042" t="s">
        <v>207</v>
      </c>
    </row>
    <row r="1043" spans="1:50" x14ac:dyDescent="0.45">
      <c r="A1043">
        <v>11042</v>
      </c>
      <c r="B1043">
        <v>1</v>
      </c>
      <c r="C1043">
        <v>86.125</v>
      </c>
      <c r="D1043">
        <v>4.8600000000000003</v>
      </c>
      <c r="E1043">
        <v>4.87</v>
      </c>
      <c r="F1043">
        <v>1.3</v>
      </c>
      <c r="G1043">
        <v>0</v>
      </c>
      <c r="H1043">
        <v>0.8</v>
      </c>
      <c r="I1043">
        <v>0</v>
      </c>
      <c r="J1043">
        <v>2.5000000000000001E-2</v>
      </c>
      <c r="K1043">
        <v>0</v>
      </c>
      <c r="L1043">
        <v>1.87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Y1043">
        <v>1</v>
      </c>
      <c r="Z1043">
        <v>0</v>
      </c>
      <c r="AA1043">
        <v>0</v>
      </c>
      <c r="AB1043">
        <v>0</v>
      </c>
      <c r="AC1043">
        <v>1</v>
      </c>
      <c r="AD1043">
        <v>800</v>
      </c>
      <c r="AE1043">
        <v>1</v>
      </c>
      <c r="AF1043">
        <v>1</v>
      </c>
      <c r="AG1043">
        <v>0</v>
      </c>
      <c r="AH1043">
        <v>0</v>
      </c>
      <c r="AI1043">
        <v>0</v>
      </c>
      <c r="AO1043">
        <v>4.6728999999999994</v>
      </c>
      <c r="AP1043">
        <v>4.8641666666666667</v>
      </c>
      <c r="AQ1043">
        <v>788.75249999999994</v>
      </c>
      <c r="AS1043">
        <v>870</v>
      </c>
      <c r="AT1043">
        <v>990</v>
      </c>
      <c r="AU1043">
        <v>17</v>
      </c>
      <c r="AX1043" t="s">
        <v>209</v>
      </c>
    </row>
    <row r="1044" spans="1:50" x14ac:dyDescent="0.45">
      <c r="A1044">
        <v>11043</v>
      </c>
      <c r="B1044">
        <v>1</v>
      </c>
      <c r="C1044">
        <v>86.125</v>
      </c>
      <c r="D1044">
        <v>4.8600000000000003</v>
      </c>
      <c r="E1044">
        <v>4.87</v>
      </c>
      <c r="F1044">
        <v>1.3</v>
      </c>
      <c r="G1044">
        <v>0</v>
      </c>
      <c r="H1044">
        <v>0.8</v>
      </c>
      <c r="I1044">
        <v>0</v>
      </c>
      <c r="J1044">
        <v>2.5000000000000001E-2</v>
      </c>
      <c r="K1044">
        <v>0</v>
      </c>
      <c r="L1044">
        <v>1.87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0</v>
      </c>
      <c r="Y1044">
        <v>1</v>
      </c>
      <c r="Z1044">
        <v>0</v>
      </c>
      <c r="AA1044">
        <v>0</v>
      </c>
      <c r="AB1044">
        <v>0</v>
      </c>
      <c r="AC1044">
        <v>1</v>
      </c>
      <c r="AD1044">
        <v>860</v>
      </c>
      <c r="AE1044">
        <v>1</v>
      </c>
      <c r="AF1044">
        <v>1</v>
      </c>
      <c r="AG1044">
        <v>0</v>
      </c>
      <c r="AH1044">
        <v>0</v>
      </c>
      <c r="AI1044">
        <v>0</v>
      </c>
      <c r="AO1044">
        <v>4.6728999999999994</v>
      </c>
      <c r="AP1044">
        <v>4.8641666666666667</v>
      </c>
      <c r="AQ1044">
        <v>788.75249999999994</v>
      </c>
      <c r="AS1044">
        <v>920</v>
      </c>
      <c r="AT1044">
        <v>1050</v>
      </c>
      <c r="AU1044">
        <v>11</v>
      </c>
      <c r="AX1044" t="s">
        <v>209</v>
      </c>
    </row>
    <row r="1045" spans="1:50" x14ac:dyDescent="0.45">
      <c r="A1045">
        <v>11044</v>
      </c>
      <c r="B1045">
        <v>1</v>
      </c>
      <c r="C1045">
        <v>82.14</v>
      </c>
      <c r="D1045">
        <v>5.0999999999999996</v>
      </c>
      <c r="E1045">
        <v>0</v>
      </c>
      <c r="F1045">
        <v>3.21</v>
      </c>
      <c r="G1045">
        <v>0</v>
      </c>
      <c r="H1045">
        <v>0.1</v>
      </c>
      <c r="I1045">
        <v>0</v>
      </c>
      <c r="J1045">
        <v>1.83</v>
      </c>
      <c r="K1045">
        <v>0</v>
      </c>
      <c r="L1045">
        <v>4.7</v>
      </c>
      <c r="M1045">
        <v>2.88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0</v>
      </c>
      <c r="Y1045">
        <v>1</v>
      </c>
      <c r="Z1045">
        <v>0</v>
      </c>
      <c r="AA1045">
        <v>0</v>
      </c>
      <c r="AB1045">
        <v>0</v>
      </c>
      <c r="AC1045">
        <v>0</v>
      </c>
      <c r="AI1045">
        <v>1</v>
      </c>
      <c r="AJ1045">
        <v>630</v>
      </c>
      <c r="AK1045">
        <v>8</v>
      </c>
      <c r="AL1045">
        <v>0</v>
      </c>
      <c r="AM1045">
        <v>1</v>
      </c>
      <c r="AN1045">
        <v>0</v>
      </c>
      <c r="AO1045">
        <v>5.0260000000000016</v>
      </c>
      <c r="AP1045">
        <v>6.3649999999999993</v>
      </c>
      <c r="AQ1045">
        <v>807.14800000000014</v>
      </c>
      <c r="AS1045">
        <v>1030</v>
      </c>
      <c r="AT1045">
        <v>1120</v>
      </c>
      <c r="AU1045">
        <v>7</v>
      </c>
      <c r="AX1045" t="s">
        <v>210</v>
      </c>
    </row>
    <row r="1046" spans="1:50" x14ac:dyDescent="0.45">
      <c r="A1046">
        <v>11045</v>
      </c>
      <c r="B1046">
        <v>0</v>
      </c>
      <c r="C1046">
        <v>82.594999999999999</v>
      </c>
      <c r="D1046">
        <v>5.22</v>
      </c>
      <c r="E1046">
        <v>0</v>
      </c>
      <c r="F1046">
        <v>3.66</v>
      </c>
      <c r="G1046">
        <v>0</v>
      </c>
      <c r="H1046">
        <v>0.09</v>
      </c>
      <c r="I1046">
        <v>0</v>
      </c>
      <c r="J1046">
        <v>2.0499999999999998</v>
      </c>
      <c r="K1046">
        <v>0</v>
      </c>
      <c r="L1046">
        <v>4.12</v>
      </c>
      <c r="M1046">
        <v>2.15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0</v>
      </c>
      <c r="Y1046">
        <v>1</v>
      </c>
      <c r="Z1046">
        <v>0</v>
      </c>
      <c r="AA1046">
        <v>0</v>
      </c>
      <c r="AB1046">
        <v>0</v>
      </c>
      <c r="AC1046">
        <v>1</v>
      </c>
      <c r="AD1046">
        <v>600</v>
      </c>
      <c r="AE1046">
        <v>8</v>
      </c>
      <c r="AF1046">
        <v>0</v>
      </c>
      <c r="AG1046">
        <v>1</v>
      </c>
      <c r="AH1046">
        <v>0</v>
      </c>
      <c r="AI1046">
        <v>0</v>
      </c>
      <c r="AO1046">
        <v>5.0170000000000021</v>
      </c>
      <c r="AP1046">
        <v>6.2783333333333333</v>
      </c>
      <c r="AQ1046">
        <v>803.03500000000008</v>
      </c>
      <c r="AX1046" t="s">
        <v>212</v>
      </c>
    </row>
    <row r="1047" spans="1:50" x14ac:dyDescent="0.45">
      <c r="A1047">
        <v>11046</v>
      </c>
      <c r="B1047">
        <v>0</v>
      </c>
      <c r="C1047">
        <v>82.594999999999999</v>
      </c>
      <c r="D1047">
        <v>5.22</v>
      </c>
      <c r="E1047">
        <v>0</v>
      </c>
      <c r="F1047">
        <v>3.66</v>
      </c>
      <c r="G1047">
        <v>0</v>
      </c>
      <c r="H1047">
        <v>0.09</v>
      </c>
      <c r="I1047">
        <v>0</v>
      </c>
      <c r="J1047">
        <v>2.0499999999999998</v>
      </c>
      <c r="K1047">
        <v>0</v>
      </c>
      <c r="L1047">
        <v>4.12</v>
      </c>
      <c r="M1047">
        <v>2.15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1</v>
      </c>
      <c r="X1047">
        <v>20</v>
      </c>
      <c r="Y1047">
        <v>0</v>
      </c>
      <c r="Z1047">
        <v>0</v>
      </c>
      <c r="AA1047">
        <v>0</v>
      </c>
      <c r="AB1047">
        <v>0</v>
      </c>
      <c r="AC1047">
        <v>1</v>
      </c>
      <c r="AD1047">
        <v>601</v>
      </c>
      <c r="AE1047">
        <v>8.0166666666666693</v>
      </c>
      <c r="AF1047">
        <v>0</v>
      </c>
      <c r="AG1047">
        <v>1</v>
      </c>
      <c r="AH1047">
        <v>0</v>
      </c>
      <c r="AI1047">
        <v>0</v>
      </c>
      <c r="AO1047">
        <v>5.0170000000000021</v>
      </c>
      <c r="AP1047">
        <v>6.2783333333333333</v>
      </c>
      <c r="AQ1047">
        <v>803.03500000000008</v>
      </c>
      <c r="AX1047" t="s">
        <v>212</v>
      </c>
    </row>
    <row r="1048" spans="1:50" x14ac:dyDescent="0.45">
      <c r="A1048">
        <v>11047</v>
      </c>
      <c r="B1048">
        <v>0</v>
      </c>
      <c r="C1048">
        <v>82.594999999999999</v>
      </c>
      <c r="D1048">
        <v>5.22</v>
      </c>
      <c r="E1048">
        <v>0</v>
      </c>
      <c r="F1048">
        <v>3.66</v>
      </c>
      <c r="G1048">
        <v>0</v>
      </c>
      <c r="H1048">
        <v>0.09</v>
      </c>
      <c r="I1048">
        <v>0</v>
      </c>
      <c r="J1048">
        <v>2.0499999999999998</v>
      </c>
      <c r="K1048">
        <v>0</v>
      </c>
      <c r="L1048">
        <v>4.12</v>
      </c>
      <c r="M1048">
        <v>2.15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1</v>
      </c>
      <c r="X1048">
        <v>40</v>
      </c>
      <c r="Y1048">
        <v>0</v>
      </c>
      <c r="Z1048">
        <v>0</v>
      </c>
      <c r="AA1048">
        <v>0</v>
      </c>
      <c r="AB1048">
        <v>0</v>
      </c>
      <c r="AC1048">
        <v>1</v>
      </c>
      <c r="AD1048">
        <v>602</v>
      </c>
      <c r="AE1048">
        <v>8.0333333333333297</v>
      </c>
      <c r="AF1048">
        <v>0</v>
      </c>
      <c r="AG1048">
        <v>1</v>
      </c>
      <c r="AH1048">
        <v>0</v>
      </c>
      <c r="AI1048">
        <v>0</v>
      </c>
      <c r="AO1048">
        <v>5.0170000000000021</v>
      </c>
      <c r="AP1048">
        <v>6.2783333333333333</v>
      </c>
      <c r="AQ1048">
        <v>803.03500000000008</v>
      </c>
      <c r="AX1048" t="s">
        <v>212</v>
      </c>
    </row>
    <row r="1049" spans="1:50" x14ac:dyDescent="0.45">
      <c r="A1049">
        <v>11048</v>
      </c>
      <c r="B1049">
        <v>0</v>
      </c>
      <c r="C1049">
        <v>82.594999999999999</v>
      </c>
      <c r="D1049">
        <v>5.22</v>
      </c>
      <c r="E1049">
        <v>0</v>
      </c>
      <c r="F1049">
        <v>3.66</v>
      </c>
      <c r="G1049">
        <v>0</v>
      </c>
      <c r="H1049">
        <v>0.09</v>
      </c>
      <c r="I1049">
        <v>0</v>
      </c>
      <c r="J1049">
        <v>2.0499999999999998</v>
      </c>
      <c r="K1049">
        <v>0</v>
      </c>
      <c r="L1049">
        <v>4.12</v>
      </c>
      <c r="M1049">
        <v>2.15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  <c r="V1049">
        <v>1</v>
      </c>
      <c r="X1049">
        <v>60</v>
      </c>
      <c r="Y1049">
        <v>0</v>
      </c>
      <c r="Z1049">
        <v>0</v>
      </c>
      <c r="AA1049">
        <v>0</v>
      </c>
      <c r="AB1049">
        <v>0</v>
      </c>
      <c r="AC1049">
        <v>1</v>
      </c>
      <c r="AD1049">
        <v>603</v>
      </c>
      <c r="AE1049">
        <v>8.0500000000000007</v>
      </c>
      <c r="AF1049">
        <v>0</v>
      </c>
      <c r="AG1049">
        <v>1</v>
      </c>
      <c r="AH1049">
        <v>0</v>
      </c>
      <c r="AI1049">
        <v>0</v>
      </c>
      <c r="AO1049">
        <v>5.0170000000000021</v>
      </c>
      <c r="AP1049">
        <v>6.2783333333333333</v>
      </c>
      <c r="AQ1049">
        <v>803.03500000000008</v>
      </c>
      <c r="AX1049" t="s">
        <v>212</v>
      </c>
    </row>
    <row r="1050" spans="1:50" x14ac:dyDescent="0.45">
      <c r="A1050">
        <v>11049</v>
      </c>
      <c r="B1050">
        <v>1</v>
      </c>
      <c r="C1050">
        <v>83.978999999999999</v>
      </c>
      <c r="D1050">
        <v>5.93</v>
      </c>
      <c r="E1050">
        <v>1.99</v>
      </c>
      <c r="F1050">
        <v>2</v>
      </c>
      <c r="G1050">
        <v>0</v>
      </c>
      <c r="H1050">
        <v>0</v>
      </c>
      <c r="I1050">
        <v>0</v>
      </c>
      <c r="J1050">
        <v>2.0299999999999998</v>
      </c>
      <c r="K1050">
        <v>0</v>
      </c>
      <c r="L1050">
        <v>2.04</v>
      </c>
      <c r="M1050">
        <v>1.97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0</v>
      </c>
      <c r="Y1050">
        <v>1</v>
      </c>
      <c r="Z1050">
        <v>0</v>
      </c>
      <c r="AA1050">
        <v>0</v>
      </c>
      <c r="AB1050">
        <v>0</v>
      </c>
      <c r="AC1050">
        <v>0</v>
      </c>
      <c r="AI1050">
        <v>0</v>
      </c>
      <c r="AO1050">
        <v>0.64330000000000087</v>
      </c>
      <c r="AP1050">
        <v>6.9249999999999989</v>
      </c>
      <c r="AQ1050">
        <v>821.65800000000002</v>
      </c>
      <c r="AS1050">
        <v>943</v>
      </c>
      <c r="AT1050">
        <v>1025</v>
      </c>
      <c r="AU1050">
        <v>6</v>
      </c>
      <c r="AX1050" t="s">
        <v>213</v>
      </c>
    </row>
    <row r="1051" spans="1:50" x14ac:dyDescent="0.45">
      <c r="A1051">
        <v>11050</v>
      </c>
      <c r="B1051">
        <v>0</v>
      </c>
      <c r="C1051">
        <v>83.978999999999999</v>
      </c>
      <c r="D1051">
        <v>5.93</v>
      </c>
      <c r="E1051">
        <v>1.99</v>
      </c>
      <c r="F1051">
        <v>2</v>
      </c>
      <c r="G1051">
        <v>0</v>
      </c>
      <c r="H1051">
        <v>0</v>
      </c>
      <c r="I1051">
        <v>0</v>
      </c>
      <c r="J1051">
        <v>2.0299999999999998</v>
      </c>
      <c r="K1051">
        <v>0</v>
      </c>
      <c r="L1051">
        <v>2.04</v>
      </c>
      <c r="M1051">
        <v>1.97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Y1051">
        <v>1</v>
      </c>
      <c r="Z1051">
        <v>0</v>
      </c>
      <c r="AA1051">
        <v>0</v>
      </c>
      <c r="AB1051">
        <v>0</v>
      </c>
      <c r="AC1051">
        <v>1</v>
      </c>
      <c r="AD1051">
        <v>900</v>
      </c>
      <c r="AE1051">
        <v>2</v>
      </c>
      <c r="AF1051">
        <v>0</v>
      </c>
      <c r="AG1051">
        <v>1</v>
      </c>
      <c r="AH1051">
        <v>0</v>
      </c>
      <c r="AI1051">
        <v>0</v>
      </c>
      <c r="AO1051">
        <v>0.64330000000000087</v>
      </c>
      <c r="AP1051">
        <v>6.9249999999999989</v>
      </c>
      <c r="AQ1051">
        <v>821.65800000000002</v>
      </c>
      <c r="AX1051" t="s">
        <v>213</v>
      </c>
    </row>
    <row r="1052" spans="1:50" x14ac:dyDescent="0.45">
      <c r="A1052">
        <v>11051</v>
      </c>
      <c r="B1052">
        <v>0</v>
      </c>
      <c r="C1052">
        <v>83.978999999999999</v>
      </c>
      <c r="D1052">
        <v>5.93</v>
      </c>
      <c r="E1052">
        <v>1.99</v>
      </c>
      <c r="F1052">
        <v>2</v>
      </c>
      <c r="G1052">
        <v>0</v>
      </c>
      <c r="H1052">
        <v>0</v>
      </c>
      <c r="I1052">
        <v>0</v>
      </c>
      <c r="J1052">
        <v>2.0299999999999998</v>
      </c>
      <c r="K1052">
        <v>0</v>
      </c>
      <c r="L1052">
        <v>2.04</v>
      </c>
      <c r="M1052">
        <v>1.97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Y1052">
        <v>1</v>
      </c>
      <c r="Z1052">
        <v>0</v>
      </c>
      <c r="AA1052">
        <v>0</v>
      </c>
      <c r="AB1052">
        <v>0</v>
      </c>
      <c r="AC1052">
        <v>1</v>
      </c>
      <c r="AD1052">
        <v>920</v>
      </c>
      <c r="AE1052">
        <v>2</v>
      </c>
      <c r="AF1052">
        <v>0</v>
      </c>
      <c r="AG1052">
        <v>1</v>
      </c>
      <c r="AH1052">
        <v>0</v>
      </c>
      <c r="AI1052">
        <v>1</v>
      </c>
      <c r="AJ1052">
        <v>540</v>
      </c>
      <c r="AK1052">
        <v>4</v>
      </c>
      <c r="AL1052">
        <v>0</v>
      </c>
      <c r="AM1052">
        <v>1</v>
      </c>
      <c r="AN1052">
        <v>0</v>
      </c>
      <c r="AO1052">
        <v>0.64330000000000087</v>
      </c>
      <c r="AP1052">
        <v>6.9249999999999989</v>
      </c>
      <c r="AQ1052">
        <v>821.65800000000002</v>
      </c>
      <c r="AX1052" t="s">
        <v>213</v>
      </c>
    </row>
    <row r="1053" spans="1:50" x14ac:dyDescent="0.45">
      <c r="A1053">
        <v>11052</v>
      </c>
      <c r="B1053">
        <v>1</v>
      </c>
      <c r="C1053">
        <v>83.978999999999999</v>
      </c>
      <c r="D1053">
        <v>5.93</v>
      </c>
      <c r="E1053">
        <v>1.99</v>
      </c>
      <c r="F1053">
        <v>2</v>
      </c>
      <c r="G1053">
        <v>0</v>
      </c>
      <c r="H1053">
        <v>0</v>
      </c>
      <c r="I1053">
        <v>0</v>
      </c>
      <c r="J1053">
        <v>2.0299999999999998</v>
      </c>
      <c r="K1053">
        <v>0</v>
      </c>
      <c r="L1053">
        <v>2.04</v>
      </c>
      <c r="M1053">
        <v>1.97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Y1053">
        <v>1</v>
      </c>
      <c r="Z1053">
        <v>0</v>
      </c>
      <c r="AA1053">
        <v>0</v>
      </c>
      <c r="AB1053">
        <v>0</v>
      </c>
      <c r="AC1053">
        <v>1</v>
      </c>
      <c r="AD1053">
        <v>940</v>
      </c>
      <c r="AE1053">
        <v>2</v>
      </c>
      <c r="AF1053">
        <v>0</v>
      </c>
      <c r="AG1053">
        <v>1</v>
      </c>
      <c r="AH1053">
        <v>0</v>
      </c>
      <c r="AI1053">
        <v>0</v>
      </c>
      <c r="AO1053">
        <v>0.64330000000000087</v>
      </c>
      <c r="AP1053">
        <v>6.9249999999999989</v>
      </c>
      <c r="AQ1053">
        <v>821.65800000000002</v>
      </c>
      <c r="AS1053">
        <v>1080.7</v>
      </c>
      <c r="AT1053">
        <v>1197.4000000000001</v>
      </c>
      <c r="AU1053">
        <v>7.8</v>
      </c>
      <c r="AX1053" t="s">
        <v>213</v>
      </c>
    </row>
    <row r="1054" spans="1:50" x14ac:dyDescent="0.45">
      <c r="A1054">
        <v>11053</v>
      </c>
      <c r="B1054">
        <v>1</v>
      </c>
      <c r="C1054">
        <v>86.74</v>
      </c>
      <c r="D1054">
        <v>6</v>
      </c>
      <c r="E1054">
        <v>0</v>
      </c>
      <c r="F1054">
        <v>0</v>
      </c>
      <c r="G1054">
        <v>0</v>
      </c>
      <c r="H1054">
        <v>0</v>
      </c>
      <c r="I1054">
        <v>0</v>
      </c>
      <c r="J1054">
        <v>3.6</v>
      </c>
      <c r="K1054">
        <v>0.12</v>
      </c>
      <c r="L1054">
        <v>0.13</v>
      </c>
      <c r="M1054">
        <v>2.8</v>
      </c>
      <c r="N1054">
        <v>0</v>
      </c>
      <c r="O1054">
        <v>0.24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Y1054">
        <v>1</v>
      </c>
      <c r="Z1054">
        <v>0</v>
      </c>
      <c r="AA1054">
        <v>0</v>
      </c>
      <c r="AB1054">
        <v>0</v>
      </c>
      <c r="AC1054">
        <v>1</v>
      </c>
      <c r="AD1054">
        <v>950</v>
      </c>
      <c r="AE1054">
        <v>1</v>
      </c>
      <c r="AF1054">
        <v>1</v>
      </c>
      <c r="AG1054">
        <v>0</v>
      </c>
      <c r="AH1054">
        <v>0</v>
      </c>
      <c r="AI1054">
        <v>1</v>
      </c>
      <c r="AJ1054">
        <v>650</v>
      </c>
      <c r="AK1054">
        <v>6</v>
      </c>
      <c r="AL1054">
        <v>0</v>
      </c>
      <c r="AM1054">
        <v>1</v>
      </c>
      <c r="AN1054">
        <v>0</v>
      </c>
      <c r="AO1054">
        <v>-5.7835999999999999</v>
      </c>
      <c r="AP1054">
        <v>7.5333333333333332</v>
      </c>
      <c r="AQ1054">
        <v>880.28499999999997</v>
      </c>
      <c r="AS1054">
        <v>883</v>
      </c>
      <c r="AT1054">
        <v>995</v>
      </c>
      <c r="AU1054">
        <v>8.1</v>
      </c>
      <c r="AX1054" t="s">
        <v>108</v>
      </c>
    </row>
    <row r="1055" spans="1:50" x14ac:dyDescent="0.45">
      <c r="A1055">
        <v>11054</v>
      </c>
      <c r="B1055">
        <v>1</v>
      </c>
      <c r="C1055">
        <v>82.465999999999994</v>
      </c>
      <c r="D1055">
        <v>5.0199999999999996</v>
      </c>
      <c r="E1055">
        <v>2.99</v>
      </c>
      <c r="F1055">
        <v>2.06</v>
      </c>
      <c r="G1055">
        <v>0</v>
      </c>
      <c r="H1055">
        <v>0.99</v>
      </c>
      <c r="I1055">
        <v>0</v>
      </c>
      <c r="J1055">
        <v>2.0099999999999998</v>
      </c>
      <c r="K1055">
        <v>1.37</v>
      </c>
      <c r="L1055">
        <v>3.03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1</v>
      </c>
      <c r="Y1055">
        <v>0</v>
      </c>
      <c r="Z1055">
        <v>1</v>
      </c>
      <c r="AA1055">
        <v>0</v>
      </c>
      <c r="AB1055">
        <v>0</v>
      </c>
      <c r="AC1055">
        <v>1</v>
      </c>
      <c r="AD1055">
        <v>830</v>
      </c>
      <c r="AE1055">
        <v>1</v>
      </c>
      <c r="AF1055">
        <v>0</v>
      </c>
      <c r="AG1055">
        <v>1</v>
      </c>
      <c r="AH1055">
        <v>0</v>
      </c>
      <c r="AI1055">
        <v>1</v>
      </c>
      <c r="AJ1055">
        <v>570</v>
      </c>
      <c r="AK1055">
        <v>8</v>
      </c>
      <c r="AL1055">
        <v>0</v>
      </c>
      <c r="AM1055">
        <v>1</v>
      </c>
      <c r="AN1055">
        <v>0</v>
      </c>
      <c r="AO1055">
        <v>6.5639000000000003</v>
      </c>
      <c r="AP1055">
        <v>5.3549999999999995</v>
      </c>
      <c r="AQ1055">
        <v>774.43399999999997</v>
      </c>
      <c r="AS1055">
        <v>1196</v>
      </c>
      <c r="AT1055">
        <v>1296</v>
      </c>
      <c r="AU1055">
        <v>12.3</v>
      </c>
      <c r="AX1055" t="s">
        <v>214</v>
      </c>
    </row>
    <row r="1056" spans="1:50" x14ac:dyDescent="0.45">
      <c r="A1056">
        <v>11055</v>
      </c>
      <c r="B1056">
        <v>1</v>
      </c>
      <c r="C1056">
        <v>82.465999999999994</v>
      </c>
      <c r="D1056">
        <v>5.0199999999999996</v>
      </c>
      <c r="E1056">
        <v>2.99</v>
      </c>
      <c r="F1056">
        <v>2.06</v>
      </c>
      <c r="G1056">
        <v>0</v>
      </c>
      <c r="H1056">
        <v>0.99</v>
      </c>
      <c r="I1056">
        <v>0</v>
      </c>
      <c r="J1056">
        <v>2.0099999999999998</v>
      </c>
      <c r="K1056">
        <v>1.37</v>
      </c>
      <c r="L1056">
        <v>3.03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1</v>
      </c>
      <c r="Y1056">
        <v>0</v>
      </c>
      <c r="Z1056">
        <v>1</v>
      </c>
      <c r="AA1056">
        <v>0</v>
      </c>
      <c r="AB1056">
        <v>0</v>
      </c>
      <c r="AC1056">
        <v>1</v>
      </c>
      <c r="AD1056">
        <v>830</v>
      </c>
      <c r="AE1056">
        <v>1</v>
      </c>
      <c r="AI1056">
        <v>1</v>
      </c>
      <c r="AJ1056">
        <v>570</v>
      </c>
      <c r="AK1056">
        <v>8</v>
      </c>
      <c r="AL1056">
        <v>0</v>
      </c>
      <c r="AM1056">
        <v>1</v>
      </c>
      <c r="AN1056">
        <v>0</v>
      </c>
      <c r="AO1056">
        <v>6.5639000000000003</v>
      </c>
      <c r="AP1056">
        <v>5.3549999999999995</v>
      </c>
      <c r="AQ1056">
        <v>774.43399999999997</v>
      </c>
      <c r="AS1056">
        <v>969</v>
      </c>
      <c r="AT1056">
        <v>1060</v>
      </c>
      <c r="AU1056">
        <v>20</v>
      </c>
      <c r="AX1056" t="s">
        <v>214</v>
      </c>
    </row>
    <row r="1057" spans="1:50" x14ac:dyDescent="0.45">
      <c r="A1057">
        <v>11056</v>
      </c>
      <c r="B1057">
        <v>1</v>
      </c>
      <c r="C1057">
        <v>82.465999999999994</v>
      </c>
      <c r="D1057">
        <v>5.0199999999999996</v>
      </c>
      <c r="E1057">
        <v>2.99</v>
      </c>
      <c r="F1057">
        <v>2.06</v>
      </c>
      <c r="G1057">
        <v>0</v>
      </c>
      <c r="H1057">
        <v>0.99</v>
      </c>
      <c r="I1057">
        <v>0</v>
      </c>
      <c r="J1057">
        <v>2.0099999999999998</v>
      </c>
      <c r="K1057">
        <v>1.37</v>
      </c>
      <c r="L1057">
        <v>3.03</v>
      </c>
      <c r="M1057">
        <v>0</v>
      </c>
      <c r="N1057">
        <v>0</v>
      </c>
      <c r="O1057">
        <v>0</v>
      </c>
      <c r="P1057">
        <v>0</v>
      </c>
      <c r="Q1057">
        <v>0</v>
      </c>
      <c r="R1057">
        <v>0</v>
      </c>
      <c r="S1057">
        <v>0</v>
      </c>
      <c r="T1057">
        <v>0</v>
      </c>
      <c r="U1057">
        <v>0</v>
      </c>
      <c r="V1057">
        <v>1</v>
      </c>
      <c r="Y1057">
        <v>0</v>
      </c>
      <c r="Z1057">
        <v>1</v>
      </c>
      <c r="AA1057">
        <v>0</v>
      </c>
      <c r="AB1057">
        <v>0</v>
      </c>
      <c r="AC1057">
        <v>1</v>
      </c>
      <c r="AD1057">
        <v>900</v>
      </c>
      <c r="AE1057">
        <v>1</v>
      </c>
      <c r="AI1057">
        <v>1</v>
      </c>
      <c r="AJ1057">
        <v>570</v>
      </c>
      <c r="AK1057">
        <v>8</v>
      </c>
      <c r="AL1057">
        <v>0</v>
      </c>
      <c r="AM1057">
        <v>1</v>
      </c>
      <c r="AN1057">
        <v>0</v>
      </c>
      <c r="AO1057">
        <v>6.5639000000000003</v>
      </c>
      <c r="AP1057">
        <v>5.3549999999999995</v>
      </c>
      <c r="AQ1057">
        <v>774.43399999999997</v>
      </c>
      <c r="AS1057">
        <v>915</v>
      </c>
      <c r="AT1057">
        <v>1052</v>
      </c>
      <c r="AU1057">
        <v>14.5</v>
      </c>
      <c r="AX1057" t="s">
        <v>214</v>
      </c>
    </row>
    <row r="1058" spans="1:50" x14ac:dyDescent="0.45">
      <c r="A1058">
        <v>11057</v>
      </c>
      <c r="B1058">
        <v>1</v>
      </c>
      <c r="C1058">
        <v>99.971000000000004</v>
      </c>
      <c r="D1058">
        <v>0</v>
      </c>
      <c r="E1058">
        <v>0</v>
      </c>
      <c r="F1058">
        <v>0</v>
      </c>
      <c r="G1058">
        <v>0</v>
      </c>
      <c r="H1058">
        <v>0</v>
      </c>
      <c r="I1058">
        <v>0</v>
      </c>
      <c r="J1058">
        <v>0</v>
      </c>
      <c r="K1058">
        <v>0</v>
      </c>
      <c r="L1058">
        <v>0</v>
      </c>
      <c r="M1058">
        <v>0</v>
      </c>
      <c r="N1058">
        <v>0</v>
      </c>
      <c r="O1058">
        <v>0</v>
      </c>
      <c r="P1058">
        <v>0</v>
      </c>
      <c r="Q1058">
        <v>0</v>
      </c>
      <c r="R1058">
        <v>0</v>
      </c>
      <c r="S1058">
        <v>0</v>
      </c>
      <c r="T1058">
        <v>0</v>
      </c>
      <c r="U1058">
        <v>0</v>
      </c>
      <c r="V1058">
        <v>1</v>
      </c>
      <c r="W1058">
        <v>1150</v>
      </c>
      <c r="X1058">
        <v>70</v>
      </c>
      <c r="Y1058">
        <v>0</v>
      </c>
      <c r="Z1058">
        <v>0</v>
      </c>
      <c r="AA1058">
        <v>1</v>
      </c>
      <c r="AB1058">
        <v>0</v>
      </c>
      <c r="AC1058">
        <v>1</v>
      </c>
      <c r="AD1058">
        <v>800</v>
      </c>
      <c r="AE1058">
        <v>1</v>
      </c>
      <c r="AF1058">
        <v>0</v>
      </c>
      <c r="AG1058">
        <v>1</v>
      </c>
      <c r="AH1058">
        <v>0</v>
      </c>
      <c r="AI1058">
        <v>0</v>
      </c>
      <c r="AO1058">
        <v>0</v>
      </c>
      <c r="AP1058">
        <v>0</v>
      </c>
      <c r="AQ1058">
        <v>882</v>
      </c>
      <c r="AT1058">
        <v>260</v>
      </c>
      <c r="AU1058">
        <v>71.5</v>
      </c>
      <c r="AX1058" t="s">
        <v>50</v>
      </c>
    </row>
    <row r="1059" spans="1:50" x14ac:dyDescent="0.45">
      <c r="A1059">
        <v>11058</v>
      </c>
      <c r="B1059">
        <v>0</v>
      </c>
      <c r="C1059">
        <v>96.141900000000007</v>
      </c>
      <c r="D1059">
        <v>0</v>
      </c>
      <c r="E1059">
        <v>0</v>
      </c>
      <c r="F1059">
        <v>0</v>
      </c>
      <c r="G1059">
        <v>0</v>
      </c>
      <c r="H1059">
        <v>0</v>
      </c>
      <c r="I1059">
        <v>0</v>
      </c>
      <c r="J1059">
        <v>0</v>
      </c>
      <c r="K1059">
        <v>3.73</v>
      </c>
      <c r="L1059">
        <v>0</v>
      </c>
      <c r="M1059">
        <v>0</v>
      </c>
      <c r="N1059">
        <v>0</v>
      </c>
      <c r="O1059">
        <v>0</v>
      </c>
      <c r="P1059">
        <v>0</v>
      </c>
      <c r="Q1059">
        <v>0</v>
      </c>
      <c r="R1059">
        <v>0</v>
      </c>
      <c r="S1059">
        <v>0</v>
      </c>
      <c r="T1059">
        <v>0</v>
      </c>
      <c r="U1059">
        <v>0</v>
      </c>
      <c r="V1059">
        <v>1</v>
      </c>
      <c r="W1059">
        <v>880</v>
      </c>
      <c r="Y1059">
        <v>0</v>
      </c>
      <c r="Z1059">
        <v>0</v>
      </c>
      <c r="AA1059">
        <v>1</v>
      </c>
      <c r="AB1059">
        <v>0</v>
      </c>
      <c r="AC1059">
        <v>0</v>
      </c>
      <c r="AI1059">
        <v>0</v>
      </c>
      <c r="AO1059">
        <v>1.0444</v>
      </c>
      <c r="AP1059">
        <v>0</v>
      </c>
      <c r="AQ1059">
        <v>882</v>
      </c>
      <c r="AX1059" t="s">
        <v>59</v>
      </c>
    </row>
    <row r="1060" spans="1:50" x14ac:dyDescent="0.45">
      <c r="A1060">
        <v>11059</v>
      </c>
      <c r="B1060">
        <v>1</v>
      </c>
      <c r="C1060">
        <v>96.222499999999997</v>
      </c>
      <c r="D1060">
        <v>0</v>
      </c>
      <c r="E1060">
        <v>0</v>
      </c>
      <c r="F1060">
        <v>0</v>
      </c>
      <c r="G1060">
        <v>0</v>
      </c>
      <c r="H1060">
        <v>0</v>
      </c>
      <c r="I1060">
        <v>0</v>
      </c>
      <c r="J1060">
        <v>0</v>
      </c>
      <c r="K1060">
        <v>3.66</v>
      </c>
      <c r="L1060">
        <v>0</v>
      </c>
      <c r="M1060">
        <v>0</v>
      </c>
      <c r="N1060">
        <v>0</v>
      </c>
      <c r="O1060">
        <v>0</v>
      </c>
      <c r="P1060">
        <v>0</v>
      </c>
      <c r="Q1060">
        <v>0</v>
      </c>
      <c r="R1060">
        <v>0</v>
      </c>
      <c r="S1060">
        <v>0</v>
      </c>
      <c r="T1060">
        <v>0</v>
      </c>
      <c r="U1060">
        <v>0</v>
      </c>
      <c r="V1060">
        <v>1</v>
      </c>
      <c r="W1060">
        <v>880</v>
      </c>
      <c r="X1060">
        <v>60</v>
      </c>
      <c r="Y1060">
        <v>0</v>
      </c>
      <c r="Z1060">
        <v>0</v>
      </c>
      <c r="AA1060">
        <v>1</v>
      </c>
      <c r="AB1060">
        <v>0</v>
      </c>
      <c r="AC1060">
        <v>1</v>
      </c>
      <c r="AD1060">
        <v>750</v>
      </c>
      <c r="AE1060">
        <v>2</v>
      </c>
      <c r="AF1060">
        <v>0</v>
      </c>
      <c r="AG1060">
        <v>1</v>
      </c>
      <c r="AH1060">
        <v>0</v>
      </c>
      <c r="AI1060">
        <v>0</v>
      </c>
      <c r="AO1060">
        <v>1.0248000000000002</v>
      </c>
      <c r="AP1060">
        <v>0</v>
      </c>
      <c r="AQ1060">
        <v>882</v>
      </c>
      <c r="AS1060">
        <v>387</v>
      </c>
      <c r="AT1060">
        <v>503</v>
      </c>
      <c r="AU1060">
        <v>27</v>
      </c>
      <c r="AX1060" t="s">
        <v>59</v>
      </c>
    </row>
    <row r="1061" spans="1:50" x14ac:dyDescent="0.45">
      <c r="A1061">
        <v>11060</v>
      </c>
      <c r="B1061">
        <v>1</v>
      </c>
      <c r="C1061">
        <v>96.298599999999993</v>
      </c>
      <c r="D1061">
        <v>0</v>
      </c>
      <c r="E1061">
        <v>0</v>
      </c>
      <c r="F1061">
        <v>0</v>
      </c>
      <c r="G1061">
        <v>0</v>
      </c>
      <c r="H1061">
        <v>0</v>
      </c>
      <c r="I1061">
        <v>0</v>
      </c>
      <c r="J1061">
        <v>0</v>
      </c>
      <c r="K1061">
        <v>3.57</v>
      </c>
      <c r="L1061">
        <v>0</v>
      </c>
      <c r="M1061">
        <v>0</v>
      </c>
      <c r="N1061">
        <v>0</v>
      </c>
      <c r="O1061">
        <v>0</v>
      </c>
      <c r="P1061">
        <v>0</v>
      </c>
      <c r="Q1061">
        <v>0</v>
      </c>
      <c r="R1061">
        <v>0</v>
      </c>
      <c r="S1061">
        <v>0</v>
      </c>
      <c r="T1061">
        <v>0</v>
      </c>
      <c r="U1061">
        <v>0</v>
      </c>
      <c r="V1061">
        <v>1</v>
      </c>
      <c r="W1061">
        <v>880</v>
      </c>
      <c r="X1061">
        <v>60</v>
      </c>
      <c r="Y1061">
        <v>0</v>
      </c>
      <c r="Z1061">
        <v>0</v>
      </c>
      <c r="AA1061">
        <v>1</v>
      </c>
      <c r="AB1061">
        <v>0</v>
      </c>
      <c r="AC1061">
        <v>1</v>
      </c>
      <c r="AD1061">
        <v>800</v>
      </c>
      <c r="AE1061">
        <v>2</v>
      </c>
      <c r="AF1061">
        <v>0</v>
      </c>
      <c r="AG1061">
        <v>1</v>
      </c>
      <c r="AH1061">
        <v>0</v>
      </c>
      <c r="AI1061">
        <v>0</v>
      </c>
      <c r="AO1061">
        <v>0.99960000000000004</v>
      </c>
      <c r="AP1061">
        <v>0</v>
      </c>
      <c r="AQ1061">
        <v>882</v>
      </c>
      <c r="AS1061">
        <v>372</v>
      </c>
      <c r="AT1061">
        <v>506</v>
      </c>
      <c r="AU1061">
        <v>27</v>
      </c>
      <c r="AX1061" t="s">
        <v>59</v>
      </c>
    </row>
    <row r="1062" spans="1:50" x14ac:dyDescent="0.45">
      <c r="A1062">
        <v>11061</v>
      </c>
      <c r="B1062">
        <v>1</v>
      </c>
      <c r="C1062">
        <v>96.221699999999998</v>
      </c>
      <c r="D1062">
        <v>0</v>
      </c>
      <c r="E1062">
        <v>0</v>
      </c>
      <c r="F1062">
        <v>0</v>
      </c>
      <c r="G1062">
        <v>0</v>
      </c>
      <c r="H1062">
        <v>0</v>
      </c>
      <c r="I1062">
        <v>0</v>
      </c>
      <c r="J1062">
        <v>0</v>
      </c>
      <c r="K1062">
        <v>3.66</v>
      </c>
      <c r="L1062">
        <v>0</v>
      </c>
      <c r="M1062">
        <v>0</v>
      </c>
      <c r="N1062">
        <v>0</v>
      </c>
      <c r="O1062">
        <v>0</v>
      </c>
      <c r="P1062">
        <v>0</v>
      </c>
      <c r="Q1062">
        <v>0</v>
      </c>
      <c r="R1062">
        <v>0</v>
      </c>
      <c r="S1062">
        <v>0</v>
      </c>
      <c r="T1062">
        <v>0</v>
      </c>
      <c r="U1062">
        <v>0</v>
      </c>
      <c r="V1062">
        <v>1</v>
      </c>
      <c r="W1062">
        <v>880</v>
      </c>
      <c r="X1062">
        <v>60</v>
      </c>
      <c r="Y1062">
        <v>0</v>
      </c>
      <c r="Z1062">
        <v>0</v>
      </c>
      <c r="AA1062">
        <v>1</v>
      </c>
      <c r="AB1062">
        <v>0</v>
      </c>
      <c r="AC1062">
        <v>1</v>
      </c>
      <c r="AD1062">
        <v>830</v>
      </c>
      <c r="AE1062">
        <v>2</v>
      </c>
      <c r="AF1062">
        <v>0</v>
      </c>
      <c r="AG1062">
        <v>1</v>
      </c>
      <c r="AH1062">
        <v>0</v>
      </c>
      <c r="AI1062">
        <v>0</v>
      </c>
      <c r="AO1062">
        <v>1.0248000000000002</v>
      </c>
      <c r="AP1062">
        <v>0</v>
      </c>
      <c r="AQ1062">
        <v>882</v>
      </c>
      <c r="AS1062">
        <v>347</v>
      </c>
      <c r="AT1062">
        <v>496</v>
      </c>
      <c r="AU1062">
        <v>31</v>
      </c>
      <c r="AX1062" t="s">
        <v>59</v>
      </c>
    </row>
    <row r="1063" spans="1:50" x14ac:dyDescent="0.45">
      <c r="A1063">
        <v>11062</v>
      </c>
      <c r="B1063">
        <v>1</v>
      </c>
      <c r="C1063">
        <v>85</v>
      </c>
      <c r="D1063">
        <v>0</v>
      </c>
      <c r="E1063">
        <v>0</v>
      </c>
      <c r="F1063">
        <v>0</v>
      </c>
      <c r="G1063">
        <v>0</v>
      </c>
      <c r="H1063">
        <v>0</v>
      </c>
      <c r="I1063">
        <v>0</v>
      </c>
      <c r="J1063">
        <v>0</v>
      </c>
      <c r="K1063">
        <v>0</v>
      </c>
      <c r="L1063">
        <v>15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1</v>
      </c>
      <c r="Y1063">
        <v>0</v>
      </c>
      <c r="Z1063">
        <v>0</v>
      </c>
      <c r="AA1063">
        <v>1</v>
      </c>
      <c r="AB1063">
        <v>0</v>
      </c>
      <c r="AC1063">
        <v>1</v>
      </c>
      <c r="AD1063">
        <v>900</v>
      </c>
      <c r="AE1063">
        <v>1</v>
      </c>
      <c r="AI1063">
        <v>0</v>
      </c>
      <c r="AO1063">
        <v>15</v>
      </c>
      <c r="AP1063">
        <v>0</v>
      </c>
      <c r="AQ1063">
        <v>739.5</v>
      </c>
      <c r="AS1063">
        <v>440</v>
      </c>
      <c r="AT1063">
        <v>701</v>
      </c>
      <c r="AU1063">
        <v>34</v>
      </c>
      <c r="AX1063" t="s">
        <v>70</v>
      </c>
    </row>
    <row r="1064" spans="1:50" x14ac:dyDescent="0.45">
      <c r="A1064">
        <v>11063</v>
      </c>
      <c r="B1064">
        <v>0</v>
      </c>
      <c r="C1064">
        <v>94.129000000000005</v>
      </c>
      <c r="D1064">
        <v>5.73</v>
      </c>
      <c r="E1064">
        <v>0</v>
      </c>
      <c r="F1064">
        <v>0</v>
      </c>
      <c r="G1064">
        <v>0</v>
      </c>
      <c r="H1064">
        <v>0</v>
      </c>
      <c r="I1064">
        <v>0</v>
      </c>
      <c r="J1064">
        <v>0</v>
      </c>
      <c r="K1064">
        <v>0</v>
      </c>
      <c r="L1064">
        <v>0</v>
      </c>
      <c r="M1064">
        <v>0</v>
      </c>
      <c r="N1064">
        <v>0</v>
      </c>
      <c r="O1064">
        <v>0</v>
      </c>
      <c r="P1064">
        <v>0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1</v>
      </c>
      <c r="Y1064">
        <v>0</v>
      </c>
      <c r="Z1064">
        <v>0</v>
      </c>
      <c r="AA1064">
        <v>1</v>
      </c>
      <c r="AB1064">
        <v>0</v>
      </c>
      <c r="AC1064">
        <v>1</v>
      </c>
      <c r="AD1064">
        <v>830</v>
      </c>
      <c r="AE1064">
        <v>2</v>
      </c>
      <c r="AF1064">
        <v>0</v>
      </c>
      <c r="AG1064">
        <v>1</v>
      </c>
      <c r="AH1064">
        <v>0</v>
      </c>
      <c r="AI1064">
        <v>0</v>
      </c>
      <c r="AO1064">
        <v>-5.73</v>
      </c>
      <c r="AP1064">
        <v>5.73</v>
      </c>
      <c r="AQ1064">
        <v>894.03300000000002</v>
      </c>
      <c r="AX1064" t="s">
        <v>78</v>
      </c>
    </row>
    <row r="1065" spans="1:50" x14ac:dyDescent="0.45">
      <c r="A1065">
        <v>11064</v>
      </c>
      <c r="B1065">
        <v>1</v>
      </c>
      <c r="C1065">
        <v>93.977000000000004</v>
      </c>
      <c r="D1065">
        <v>5.96</v>
      </c>
      <c r="E1065">
        <v>0</v>
      </c>
      <c r="F1065">
        <v>0</v>
      </c>
      <c r="G1065">
        <v>0</v>
      </c>
      <c r="H1065">
        <v>0</v>
      </c>
      <c r="I1065">
        <v>0</v>
      </c>
      <c r="J1065">
        <v>0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1</v>
      </c>
      <c r="W1065">
        <v>1150</v>
      </c>
      <c r="X1065">
        <v>70</v>
      </c>
      <c r="Y1065">
        <v>0</v>
      </c>
      <c r="Z1065">
        <v>0</v>
      </c>
      <c r="AA1065">
        <v>1</v>
      </c>
      <c r="AB1065">
        <v>0</v>
      </c>
      <c r="AC1065">
        <v>1</v>
      </c>
      <c r="AD1065">
        <v>1000</v>
      </c>
      <c r="AE1065">
        <v>1</v>
      </c>
      <c r="AF1065">
        <v>0</v>
      </c>
      <c r="AG1065">
        <v>1</v>
      </c>
      <c r="AH1065">
        <v>0</v>
      </c>
      <c r="AI1065">
        <v>0</v>
      </c>
      <c r="AO1065">
        <v>-5.96</v>
      </c>
      <c r="AP1065">
        <v>5.96</v>
      </c>
      <c r="AQ1065">
        <v>894.51599999999996</v>
      </c>
      <c r="AT1065">
        <v>684</v>
      </c>
      <c r="AU1065">
        <v>19.5</v>
      </c>
      <c r="AX1065" t="s">
        <v>50</v>
      </c>
    </row>
    <row r="1066" spans="1:50" x14ac:dyDescent="0.45">
      <c r="A1066">
        <v>11065</v>
      </c>
      <c r="B1066">
        <v>1</v>
      </c>
      <c r="C1066">
        <v>51.8</v>
      </c>
      <c r="D1066">
        <v>0</v>
      </c>
      <c r="E1066">
        <v>0</v>
      </c>
      <c r="F1066">
        <v>0</v>
      </c>
      <c r="G1066">
        <v>0</v>
      </c>
      <c r="H1066">
        <v>0</v>
      </c>
      <c r="I1066">
        <v>0</v>
      </c>
      <c r="J1066">
        <v>7.1</v>
      </c>
      <c r="K1066">
        <v>41.1</v>
      </c>
      <c r="L1066">
        <v>0</v>
      </c>
      <c r="M1066">
        <v>0</v>
      </c>
      <c r="N1066">
        <v>0</v>
      </c>
      <c r="O1066">
        <v>0</v>
      </c>
      <c r="P1066">
        <v>0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1</v>
      </c>
      <c r="W1066">
        <v>20</v>
      </c>
      <c r="X1066">
        <v>89</v>
      </c>
      <c r="Y1066">
        <v>0</v>
      </c>
      <c r="Z1066">
        <v>0</v>
      </c>
      <c r="AA1066">
        <v>1</v>
      </c>
      <c r="AB1066">
        <v>0</v>
      </c>
      <c r="AC1066">
        <v>1</v>
      </c>
      <c r="AD1066">
        <v>1000</v>
      </c>
      <c r="AE1066">
        <v>2</v>
      </c>
      <c r="AF1066">
        <v>1</v>
      </c>
      <c r="AG1066">
        <v>0</v>
      </c>
      <c r="AH1066">
        <v>0</v>
      </c>
      <c r="AI1066">
        <v>1</v>
      </c>
      <c r="AJ1066">
        <v>1000</v>
      </c>
      <c r="AK1066">
        <v>2</v>
      </c>
      <c r="AL1066">
        <v>1</v>
      </c>
      <c r="AM1066">
        <v>0</v>
      </c>
      <c r="AN1066">
        <v>0</v>
      </c>
      <c r="AO1066">
        <v>11.508000000000001</v>
      </c>
      <c r="AP1066">
        <v>1.1833333333333333</v>
      </c>
      <c r="AQ1066">
        <v>833.01</v>
      </c>
      <c r="AT1066">
        <v>490</v>
      </c>
      <c r="AU1066">
        <v>16</v>
      </c>
      <c r="AW1066" t="s">
        <v>335</v>
      </c>
      <c r="AX1066" t="s">
        <v>84</v>
      </c>
    </row>
    <row r="1067" spans="1:50" x14ac:dyDescent="0.45">
      <c r="A1067">
        <v>11066</v>
      </c>
      <c r="B1067">
        <v>1</v>
      </c>
      <c r="C1067">
        <v>75</v>
      </c>
      <c r="D1067">
        <v>0</v>
      </c>
      <c r="E1067">
        <v>0</v>
      </c>
      <c r="F1067">
        <v>0</v>
      </c>
      <c r="G1067">
        <v>0</v>
      </c>
      <c r="H1067">
        <v>0</v>
      </c>
      <c r="I1067">
        <v>0</v>
      </c>
      <c r="J1067">
        <v>0</v>
      </c>
      <c r="K1067">
        <v>13</v>
      </c>
      <c r="L1067">
        <v>12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0</v>
      </c>
      <c r="S1067">
        <v>0</v>
      </c>
      <c r="T1067">
        <v>0</v>
      </c>
      <c r="U1067">
        <v>0</v>
      </c>
      <c r="V1067">
        <v>1</v>
      </c>
      <c r="W1067">
        <v>900</v>
      </c>
      <c r="X1067">
        <v>80</v>
      </c>
      <c r="Y1067">
        <v>0</v>
      </c>
      <c r="Z1067">
        <v>0</v>
      </c>
      <c r="AA1067">
        <v>1</v>
      </c>
      <c r="AB1067">
        <v>0</v>
      </c>
      <c r="AC1067">
        <v>1</v>
      </c>
      <c r="AD1067">
        <v>1000</v>
      </c>
      <c r="AE1067">
        <v>24</v>
      </c>
      <c r="AF1067">
        <v>1</v>
      </c>
      <c r="AG1067">
        <v>0</v>
      </c>
      <c r="AH1067">
        <v>0</v>
      </c>
      <c r="AI1067">
        <v>1</v>
      </c>
      <c r="AJ1067">
        <v>500</v>
      </c>
      <c r="AK1067">
        <v>24</v>
      </c>
      <c r="AL1067">
        <v>1</v>
      </c>
      <c r="AM1067">
        <v>0</v>
      </c>
      <c r="AN1067">
        <v>0</v>
      </c>
      <c r="AO1067">
        <v>15.64</v>
      </c>
      <c r="AP1067">
        <v>0</v>
      </c>
      <c r="AQ1067">
        <v>768</v>
      </c>
      <c r="AT1067">
        <v>1111</v>
      </c>
      <c r="AU1067">
        <v>6.3</v>
      </c>
      <c r="AX1067" t="s">
        <v>113</v>
      </c>
    </row>
    <row r="1068" spans="1:50" x14ac:dyDescent="0.45">
      <c r="A1068">
        <v>11067</v>
      </c>
      <c r="B1068">
        <v>1</v>
      </c>
      <c r="C1068">
        <v>80</v>
      </c>
      <c r="D1068">
        <v>0</v>
      </c>
      <c r="E1068">
        <v>0</v>
      </c>
      <c r="F1068">
        <v>0</v>
      </c>
      <c r="G1068">
        <v>0</v>
      </c>
      <c r="H1068">
        <v>0</v>
      </c>
      <c r="I1068">
        <v>0</v>
      </c>
      <c r="J1068">
        <v>0</v>
      </c>
      <c r="K1068">
        <v>8</v>
      </c>
      <c r="L1068">
        <v>12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0</v>
      </c>
      <c r="S1068">
        <v>0</v>
      </c>
      <c r="T1068">
        <v>0</v>
      </c>
      <c r="U1068">
        <v>0</v>
      </c>
      <c r="V1068">
        <v>1</v>
      </c>
      <c r="W1068">
        <v>780</v>
      </c>
      <c r="X1068">
        <v>80</v>
      </c>
      <c r="Y1068">
        <v>0</v>
      </c>
      <c r="Z1068">
        <v>0</v>
      </c>
      <c r="AA1068">
        <v>1</v>
      </c>
      <c r="AB1068">
        <v>0</v>
      </c>
      <c r="AC1068">
        <v>1</v>
      </c>
      <c r="AD1068">
        <v>950</v>
      </c>
      <c r="AE1068">
        <v>1</v>
      </c>
      <c r="AF1068">
        <v>1</v>
      </c>
      <c r="AG1068">
        <v>0</v>
      </c>
      <c r="AH1068">
        <v>0</v>
      </c>
      <c r="AI1068">
        <v>0</v>
      </c>
      <c r="AO1068">
        <v>14.24</v>
      </c>
      <c r="AP1068">
        <v>0</v>
      </c>
      <c r="AQ1068">
        <v>768</v>
      </c>
      <c r="AT1068">
        <v>716</v>
      </c>
      <c r="AU1068">
        <v>33</v>
      </c>
      <c r="AX1068" t="s">
        <v>94</v>
      </c>
    </row>
    <row r="1069" spans="1:50" x14ac:dyDescent="0.45">
      <c r="A1069">
        <v>11068</v>
      </c>
      <c r="B1069">
        <v>0</v>
      </c>
      <c r="C1069">
        <v>90.924999999999997</v>
      </c>
      <c r="D1069">
        <v>5.91</v>
      </c>
      <c r="E1069">
        <v>0</v>
      </c>
      <c r="F1069">
        <v>0</v>
      </c>
      <c r="G1069">
        <v>0</v>
      </c>
      <c r="H1069">
        <v>0</v>
      </c>
      <c r="I1069">
        <v>0</v>
      </c>
      <c r="J1069">
        <v>0</v>
      </c>
      <c r="K1069">
        <v>3.03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0</v>
      </c>
      <c r="S1069">
        <v>0</v>
      </c>
      <c r="T1069">
        <v>0</v>
      </c>
      <c r="U1069">
        <v>0</v>
      </c>
      <c r="V1069">
        <v>1</v>
      </c>
      <c r="Y1069">
        <v>0</v>
      </c>
      <c r="Z1069">
        <v>0</v>
      </c>
      <c r="AA1069">
        <v>1</v>
      </c>
      <c r="AB1069">
        <v>0</v>
      </c>
      <c r="AC1069">
        <v>1</v>
      </c>
      <c r="AD1069">
        <v>830</v>
      </c>
      <c r="AE1069">
        <v>2</v>
      </c>
      <c r="AF1069">
        <v>0</v>
      </c>
      <c r="AG1069">
        <v>1</v>
      </c>
      <c r="AH1069">
        <v>0</v>
      </c>
      <c r="AI1069">
        <v>0</v>
      </c>
      <c r="AO1069">
        <v>-5.0616000000000003</v>
      </c>
      <c r="AP1069">
        <v>5.91</v>
      </c>
      <c r="AQ1069">
        <v>894.41100000000006</v>
      </c>
      <c r="AX1069" t="s">
        <v>78</v>
      </c>
    </row>
    <row r="1070" spans="1:50" x14ac:dyDescent="0.45">
      <c r="A1070">
        <v>11069</v>
      </c>
      <c r="B1070">
        <v>0</v>
      </c>
      <c r="C1070">
        <v>92.155000000000001</v>
      </c>
      <c r="D1070">
        <v>5.73</v>
      </c>
      <c r="E1070">
        <v>0</v>
      </c>
      <c r="F1070">
        <v>0</v>
      </c>
      <c r="G1070">
        <v>0</v>
      </c>
      <c r="H1070">
        <v>0</v>
      </c>
      <c r="I1070">
        <v>0</v>
      </c>
      <c r="J1070">
        <v>0</v>
      </c>
      <c r="K1070">
        <v>0</v>
      </c>
      <c r="L1070">
        <v>2</v>
      </c>
      <c r="M1070">
        <v>0</v>
      </c>
      <c r="N1070">
        <v>0</v>
      </c>
      <c r="O1070">
        <v>0</v>
      </c>
      <c r="P1070">
        <v>0</v>
      </c>
      <c r="Q1070">
        <v>0</v>
      </c>
      <c r="R1070">
        <v>0</v>
      </c>
      <c r="S1070">
        <v>0</v>
      </c>
      <c r="T1070">
        <v>0</v>
      </c>
      <c r="U1070">
        <v>0</v>
      </c>
      <c r="V1070">
        <v>1</v>
      </c>
      <c r="Y1070">
        <v>0</v>
      </c>
      <c r="Z1070">
        <v>0</v>
      </c>
      <c r="AA1070">
        <v>1</v>
      </c>
      <c r="AB1070">
        <v>0</v>
      </c>
      <c r="AC1070">
        <v>1</v>
      </c>
      <c r="AD1070">
        <v>830</v>
      </c>
      <c r="AE1070">
        <v>2</v>
      </c>
      <c r="AF1070">
        <v>0</v>
      </c>
      <c r="AG1070">
        <v>1</v>
      </c>
      <c r="AH1070">
        <v>0</v>
      </c>
      <c r="AI1070">
        <v>0</v>
      </c>
      <c r="AO1070">
        <v>-3.7300000000000004</v>
      </c>
      <c r="AP1070">
        <v>5.73</v>
      </c>
      <c r="AQ1070">
        <v>875.03300000000002</v>
      </c>
      <c r="AX1070" t="s">
        <v>78</v>
      </c>
    </row>
    <row r="1071" spans="1:50" x14ac:dyDescent="0.45">
      <c r="A1071">
        <v>11070</v>
      </c>
      <c r="B1071">
        <v>1</v>
      </c>
      <c r="C1071">
        <v>84</v>
      </c>
      <c r="D1071">
        <v>0</v>
      </c>
      <c r="E1071">
        <v>0</v>
      </c>
      <c r="F1071">
        <v>0</v>
      </c>
      <c r="G1071">
        <v>0</v>
      </c>
      <c r="H1071">
        <v>1</v>
      </c>
      <c r="I1071">
        <v>0</v>
      </c>
      <c r="J1071">
        <v>0</v>
      </c>
      <c r="K1071">
        <v>0</v>
      </c>
      <c r="L1071">
        <v>15</v>
      </c>
      <c r="M1071">
        <v>0</v>
      </c>
      <c r="N1071">
        <v>0</v>
      </c>
      <c r="O1071">
        <v>0</v>
      </c>
      <c r="P1071">
        <v>0</v>
      </c>
      <c r="Q1071">
        <v>0</v>
      </c>
      <c r="R1071">
        <v>0</v>
      </c>
      <c r="S1071">
        <v>0</v>
      </c>
      <c r="T1071">
        <v>0</v>
      </c>
      <c r="U1071">
        <v>0</v>
      </c>
      <c r="V1071">
        <v>1</v>
      </c>
      <c r="Y1071">
        <v>0</v>
      </c>
      <c r="Z1071">
        <v>0</v>
      </c>
      <c r="AA1071">
        <v>1</v>
      </c>
      <c r="AB1071">
        <v>0</v>
      </c>
      <c r="AC1071">
        <v>1</v>
      </c>
      <c r="AD1071">
        <v>900</v>
      </c>
      <c r="AE1071">
        <v>1</v>
      </c>
      <c r="AI1071">
        <v>0</v>
      </c>
      <c r="AO1071">
        <v>17.899999999999999</v>
      </c>
      <c r="AP1071">
        <v>0</v>
      </c>
      <c r="AQ1071">
        <v>724.1</v>
      </c>
      <c r="AS1071">
        <v>845</v>
      </c>
      <c r="AX1071" t="s">
        <v>70</v>
      </c>
    </row>
    <row r="1072" spans="1:50" x14ac:dyDescent="0.45">
      <c r="A1072">
        <v>11071</v>
      </c>
      <c r="B1072">
        <v>1</v>
      </c>
      <c r="C1072">
        <v>52.5</v>
      </c>
      <c r="D1072">
        <v>0</v>
      </c>
      <c r="E1072">
        <v>0</v>
      </c>
      <c r="F1072">
        <v>0</v>
      </c>
      <c r="G1072">
        <v>0</v>
      </c>
      <c r="H1072">
        <v>0</v>
      </c>
      <c r="I1072">
        <v>0</v>
      </c>
      <c r="J1072">
        <v>7.1</v>
      </c>
      <c r="K1072">
        <v>35.299999999999997</v>
      </c>
      <c r="L1072">
        <v>0</v>
      </c>
      <c r="M1072">
        <v>0</v>
      </c>
      <c r="N1072">
        <v>0</v>
      </c>
      <c r="O1072">
        <v>5.0999999999999996</v>
      </c>
      <c r="P1072">
        <v>0</v>
      </c>
      <c r="Q1072">
        <v>0</v>
      </c>
      <c r="R1072">
        <v>0</v>
      </c>
      <c r="S1072">
        <v>0</v>
      </c>
      <c r="T1072">
        <v>0</v>
      </c>
      <c r="U1072">
        <v>0</v>
      </c>
      <c r="V1072">
        <v>1</v>
      </c>
      <c r="W1072">
        <v>20</v>
      </c>
      <c r="X1072">
        <v>89</v>
      </c>
      <c r="Y1072">
        <v>0</v>
      </c>
      <c r="Z1072">
        <v>0</v>
      </c>
      <c r="AA1072">
        <v>1</v>
      </c>
      <c r="AB1072">
        <v>0</v>
      </c>
      <c r="AC1072">
        <v>1</v>
      </c>
      <c r="AD1072">
        <v>1000</v>
      </c>
      <c r="AE1072">
        <v>2</v>
      </c>
      <c r="AF1072">
        <v>1</v>
      </c>
      <c r="AG1072">
        <v>0</v>
      </c>
      <c r="AH1072">
        <v>0</v>
      </c>
      <c r="AI1072">
        <v>1</v>
      </c>
      <c r="AJ1072">
        <v>1000</v>
      </c>
      <c r="AK1072">
        <v>2</v>
      </c>
      <c r="AL1072">
        <v>1</v>
      </c>
      <c r="AM1072">
        <v>0</v>
      </c>
      <c r="AN1072">
        <v>0</v>
      </c>
      <c r="AO1072">
        <v>11.006</v>
      </c>
      <c r="AP1072">
        <v>1.1833333333333333</v>
      </c>
      <c r="AQ1072">
        <v>833.01</v>
      </c>
      <c r="AT1072">
        <v>550</v>
      </c>
      <c r="AU1072">
        <v>21</v>
      </c>
      <c r="AX1072" t="s">
        <v>84</v>
      </c>
    </row>
    <row r="1073" spans="1:50" x14ac:dyDescent="0.45">
      <c r="A1073">
        <v>11072</v>
      </c>
      <c r="B1073">
        <v>0</v>
      </c>
      <c r="C1073">
        <v>89.566900000000004</v>
      </c>
      <c r="D1073">
        <v>6.12</v>
      </c>
      <c r="E1073">
        <v>4.0999999999999996</v>
      </c>
      <c r="F1073">
        <v>0</v>
      </c>
      <c r="G1073">
        <v>0</v>
      </c>
      <c r="H1073">
        <v>0.06</v>
      </c>
      <c r="I1073">
        <v>0</v>
      </c>
      <c r="J1073">
        <v>0</v>
      </c>
      <c r="K1073">
        <v>0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0</v>
      </c>
      <c r="S1073">
        <v>0</v>
      </c>
      <c r="T1073">
        <v>0</v>
      </c>
      <c r="U1073">
        <v>0</v>
      </c>
      <c r="V1073">
        <v>1</v>
      </c>
      <c r="W1073">
        <v>930</v>
      </c>
      <c r="X1073">
        <v>20</v>
      </c>
      <c r="Y1073">
        <v>0</v>
      </c>
      <c r="Z1073">
        <v>0</v>
      </c>
      <c r="AA1073">
        <v>1</v>
      </c>
      <c r="AB1073">
        <v>0</v>
      </c>
      <c r="AC1073">
        <v>1</v>
      </c>
      <c r="AD1073">
        <v>600</v>
      </c>
      <c r="AE1073">
        <v>1</v>
      </c>
      <c r="AF1073">
        <v>0</v>
      </c>
      <c r="AG1073">
        <v>0</v>
      </c>
      <c r="AH1073">
        <v>1</v>
      </c>
      <c r="AI1073">
        <v>0</v>
      </c>
      <c r="AO1073">
        <v>-3.1990000000000003</v>
      </c>
      <c r="AP1073">
        <v>6.12</v>
      </c>
      <c r="AQ1073">
        <v>845.548</v>
      </c>
      <c r="AX1073" t="s">
        <v>126</v>
      </c>
    </row>
    <row r="1074" spans="1:50" x14ac:dyDescent="0.45">
      <c r="A1074">
        <v>11073</v>
      </c>
      <c r="B1074">
        <v>0</v>
      </c>
      <c r="C1074">
        <v>89.566900000000004</v>
      </c>
      <c r="D1074">
        <v>6.12</v>
      </c>
      <c r="E1074">
        <v>4.0999999999999996</v>
      </c>
      <c r="F1074">
        <v>0</v>
      </c>
      <c r="G1074">
        <v>0</v>
      </c>
      <c r="H1074">
        <v>0.06</v>
      </c>
      <c r="I1074">
        <v>0</v>
      </c>
      <c r="J1074">
        <v>0</v>
      </c>
      <c r="K1074">
        <v>0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0</v>
      </c>
      <c r="R1074">
        <v>0</v>
      </c>
      <c r="S1074">
        <v>0</v>
      </c>
      <c r="T1074">
        <v>0</v>
      </c>
      <c r="U1074">
        <v>0</v>
      </c>
      <c r="V1074">
        <v>1</v>
      </c>
      <c r="W1074">
        <v>950</v>
      </c>
      <c r="X1074">
        <v>20</v>
      </c>
      <c r="Y1074">
        <v>0</v>
      </c>
      <c r="Z1074">
        <v>0</v>
      </c>
      <c r="AA1074">
        <v>1</v>
      </c>
      <c r="AB1074">
        <v>0</v>
      </c>
      <c r="AC1074">
        <v>1</v>
      </c>
      <c r="AD1074">
        <v>700</v>
      </c>
      <c r="AE1074">
        <v>1</v>
      </c>
      <c r="AF1074">
        <v>0</v>
      </c>
      <c r="AG1074">
        <v>0</v>
      </c>
      <c r="AH1074">
        <v>1</v>
      </c>
      <c r="AI1074">
        <v>0</v>
      </c>
      <c r="AO1074">
        <v>-3.1990000000000003</v>
      </c>
      <c r="AP1074">
        <v>6.12</v>
      </c>
      <c r="AQ1074">
        <v>845.548</v>
      </c>
      <c r="AX1074" t="s">
        <v>126</v>
      </c>
    </row>
    <row r="1075" spans="1:50" x14ac:dyDescent="0.45">
      <c r="A1075">
        <v>11074</v>
      </c>
      <c r="B1075">
        <v>0</v>
      </c>
      <c r="C1075">
        <v>89.566900000000004</v>
      </c>
      <c r="D1075">
        <v>6.12</v>
      </c>
      <c r="E1075">
        <v>4.0999999999999996</v>
      </c>
      <c r="F1075">
        <v>0</v>
      </c>
      <c r="G1075">
        <v>0</v>
      </c>
      <c r="H1075">
        <v>0.06</v>
      </c>
      <c r="I1075">
        <v>0</v>
      </c>
      <c r="J1075">
        <v>0</v>
      </c>
      <c r="K1075">
        <v>0</v>
      </c>
      <c r="L1075">
        <v>0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0</v>
      </c>
      <c r="S1075">
        <v>0</v>
      </c>
      <c r="T1075">
        <v>0</v>
      </c>
      <c r="U1075">
        <v>0</v>
      </c>
      <c r="V1075">
        <v>1</v>
      </c>
      <c r="W1075">
        <v>970</v>
      </c>
      <c r="X1075">
        <v>20</v>
      </c>
      <c r="Y1075">
        <v>0</v>
      </c>
      <c r="Z1075">
        <v>0</v>
      </c>
      <c r="AA1075">
        <v>1</v>
      </c>
      <c r="AB1075">
        <v>0</v>
      </c>
      <c r="AC1075">
        <v>1</v>
      </c>
      <c r="AD1075">
        <v>800</v>
      </c>
      <c r="AE1075">
        <v>1</v>
      </c>
      <c r="AF1075">
        <v>0</v>
      </c>
      <c r="AG1075">
        <v>0</v>
      </c>
      <c r="AH1075">
        <v>1</v>
      </c>
      <c r="AI1075">
        <v>0</v>
      </c>
      <c r="AO1075">
        <v>-3.1990000000000003</v>
      </c>
      <c r="AP1075">
        <v>6.12</v>
      </c>
      <c r="AQ1075">
        <v>845.548</v>
      </c>
      <c r="AX1075" t="s">
        <v>126</v>
      </c>
    </row>
    <row r="1076" spans="1:50" x14ac:dyDescent="0.45">
      <c r="A1076">
        <v>11075</v>
      </c>
      <c r="B1076">
        <v>0</v>
      </c>
      <c r="C1076">
        <v>89.566900000000004</v>
      </c>
      <c r="D1076">
        <v>6.12</v>
      </c>
      <c r="E1076">
        <v>4.0999999999999996</v>
      </c>
      <c r="F1076">
        <v>0</v>
      </c>
      <c r="G1076">
        <v>0</v>
      </c>
      <c r="H1076">
        <v>0.06</v>
      </c>
      <c r="I1076">
        <v>0</v>
      </c>
      <c r="J1076">
        <v>0</v>
      </c>
      <c r="K1076">
        <v>0</v>
      </c>
      <c r="L1076">
        <v>0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0</v>
      </c>
      <c r="S1076">
        <v>0</v>
      </c>
      <c r="T1076">
        <v>0</v>
      </c>
      <c r="U1076">
        <v>0</v>
      </c>
      <c r="V1076">
        <v>1</v>
      </c>
      <c r="W1076">
        <v>930</v>
      </c>
      <c r="X1076">
        <v>50</v>
      </c>
      <c r="Y1076">
        <v>0</v>
      </c>
      <c r="Z1076">
        <v>0</v>
      </c>
      <c r="AA1076">
        <v>1</v>
      </c>
      <c r="AB1076">
        <v>0</v>
      </c>
      <c r="AC1076">
        <v>1</v>
      </c>
      <c r="AD1076">
        <v>600</v>
      </c>
      <c r="AE1076">
        <v>1</v>
      </c>
      <c r="AF1076">
        <v>0</v>
      </c>
      <c r="AG1076">
        <v>0</v>
      </c>
      <c r="AH1076">
        <v>1</v>
      </c>
      <c r="AI1076">
        <v>0</v>
      </c>
      <c r="AO1076">
        <v>-3.1990000000000003</v>
      </c>
      <c r="AP1076">
        <v>6.12</v>
      </c>
      <c r="AQ1076">
        <v>845.548</v>
      </c>
      <c r="AX1076" t="s">
        <v>126</v>
      </c>
    </row>
    <row r="1077" spans="1:50" x14ac:dyDescent="0.45">
      <c r="A1077">
        <v>11076</v>
      </c>
      <c r="B1077">
        <v>0</v>
      </c>
      <c r="C1077">
        <v>89.566900000000004</v>
      </c>
      <c r="D1077">
        <v>6.12</v>
      </c>
      <c r="E1077">
        <v>4.0999999999999996</v>
      </c>
      <c r="F1077">
        <v>0</v>
      </c>
      <c r="G1077">
        <v>0</v>
      </c>
      <c r="H1077">
        <v>0.06</v>
      </c>
      <c r="I1077">
        <v>0</v>
      </c>
      <c r="J1077">
        <v>0</v>
      </c>
      <c r="K1077">
        <v>0</v>
      </c>
      <c r="L1077">
        <v>0</v>
      </c>
      <c r="M1077">
        <v>0</v>
      </c>
      <c r="N1077">
        <v>0</v>
      </c>
      <c r="O1077">
        <v>0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1</v>
      </c>
      <c r="W1077">
        <v>950</v>
      </c>
      <c r="X1077">
        <v>50</v>
      </c>
      <c r="Y1077">
        <v>0</v>
      </c>
      <c r="Z1077">
        <v>0</v>
      </c>
      <c r="AA1077">
        <v>1</v>
      </c>
      <c r="AB1077">
        <v>0</v>
      </c>
      <c r="AC1077">
        <v>1</v>
      </c>
      <c r="AD1077">
        <v>700</v>
      </c>
      <c r="AE1077">
        <v>1</v>
      </c>
      <c r="AF1077">
        <v>0</v>
      </c>
      <c r="AG1077">
        <v>0</v>
      </c>
      <c r="AH1077">
        <v>1</v>
      </c>
      <c r="AI1077">
        <v>0</v>
      </c>
      <c r="AO1077">
        <v>-3.1990000000000003</v>
      </c>
      <c r="AP1077">
        <v>6.12</v>
      </c>
      <c r="AQ1077">
        <v>845.548</v>
      </c>
      <c r="AX1077" t="s">
        <v>126</v>
      </c>
    </row>
    <row r="1078" spans="1:50" x14ac:dyDescent="0.45">
      <c r="A1078">
        <v>11077</v>
      </c>
      <c r="B1078">
        <v>1</v>
      </c>
      <c r="C1078">
        <v>89.566900000000004</v>
      </c>
      <c r="D1078">
        <v>6.12</v>
      </c>
      <c r="E1078">
        <v>4.0999999999999996</v>
      </c>
      <c r="F1078">
        <v>0</v>
      </c>
      <c r="G1078">
        <v>0</v>
      </c>
      <c r="H1078">
        <v>0.06</v>
      </c>
      <c r="I1078">
        <v>0</v>
      </c>
      <c r="J1078">
        <v>0</v>
      </c>
      <c r="K1078">
        <v>0</v>
      </c>
      <c r="L1078">
        <v>0</v>
      </c>
      <c r="M1078">
        <v>0</v>
      </c>
      <c r="N1078">
        <v>0</v>
      </c>
      <c r="O1078">
        <v>0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1</v>
      </c>
      <c r="W1078">
        <v>970</v>
      </c>
      <c r="X1078">
        <v>50</v>
      </c>
      <c r="Y1078">
        <v>0</v>
      </c>
      <c r="Z1078">
        <v>0</v>
      </c>
      <c r="AA1078">
        <v>1</v>
      </c>
      <c r="AB1078">
        <v>0</v>
      </c>
      <c r="AC1078">
        <v>1</v>
      </c>
      <c r="AD1078">
        <v>800</v>
      </c>
      <c r="AE1078">
        <v>1</v>
      </c>
      <c r="AF1078">
        <v>0</v>
      </c>
      <c r="AG1078">
        <v>0</v>
      </c>
      <c r="AH1078">
        <v>1</v>
      </c>
      <c r="AI1078">
        <v>0</v>
      </c>
      <c r="AO1078">
        <v>-3.1990000000000003</v>
      </c>
      <c r="AP1078">
        <v>6.12</v>
      </c>
      <c r="AQ1078">
        <v>845.548</v>
      </c>
      <c r="AS1078">
        <v>798</v>
      </c>
      <c r="AT1078">
        <v>900</v>
      </c>
      <c r="AU1078">
        <v>15.8</v>
      </c>
      <c r="AX1078" t="s">
        <v>126</v>
      </c>
    </row>
    <row r="1079" spans="1:50" x14ac:dyDescent="0.45">
      <c r="A1079">
        <v>11078</v>
      </c>
      <c r="B1079">
        <v>0</v>
      </c>
      <c r="C1079">
        <v>89.566900000000004</v>
      </c>
      <c r="D1079">
        <v>6.12</v>
      </c>
      <c r="E1079">
        <v>4.0999999999999996</v>
      </c>
      <c r="F1079">
        <v>0</v>
      </c>
      <c r="G1079">
        <v>0</v>
      </c>
      <c r="H1079">
        <v>0.06</v>
      </c>
      <c r="I1079">
        <v>0</v>
      </c>
      <c r="J1079">
        <v>0</v>
      </c>
      <c r="K1079">
        <v>0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1</v>
      </c>
      <c r="W1079">
        <v>950</v>
      </c>
      <c r="X1079">
        <v>80</v>
      </c>
      <c r="Y1079">
        <v>0</v>
      </c>
      <c r="Z1079">
        <v>0</v>
      </c>
      <c r="AA1079">
        <v>1</v>
      </c>
      <c r="AB1079">
        <v>0</v>
      </c>
      <c r="AC1079">
        <v>1</v>
      </c>
      <c r="AD1079">
        <v>600</v>
      </c>
      <c r="AE1079">
        <v>1</v>
      </c>
      <c r="AF1079">
        <v>0</v>
      </c>
      <c r="AG1079">
        <v>0</v>
      </c>
      <c r="AH1079">
        <v>1</v>
      </c>
      <c r="AI1079">
        <v>0</v>
      </c>
      <c r="AO1079">
        <v>-3.1990000000000003</v>
      </c>
      <c r="AP1079">
        <v>6.12</v>
      </c>
      <c r="AQ1079">
        <v>845.548</v>
      </c>
      <c r="AX1079" t="s">
        <v>126</v>
      </c>
    </row>
    <row r="1080" spans="1:50" x14ac:dyDescent="0.45">
      <c r="A1080">
        <v>11079</v>
      </c>
      <c r="B1080">
        <v>0</v>
      </c>
      <c r="C1080">
        <v>89.566900000000004</v>
      </c>
      <c r="D1080">
        <v>6.12</v>
      </c>
      <c r="E1080">
        <v>4.0999999999999996</v>
      </c>
      <c r="F1080">
        <v>0</v>
      </c>
      <c r="G1080">
        <v>0</v>
      </c>
      <c r="H1080">
        <v>0.06</v>
      </c>
      <c r="I1080">
        <v>0</v>
      </c>
      <c r="J1080">
        <v>0</v>
      </c>
      <c r="K1080">
        <v>0</v>
      </c>
      <c r="L1080">
        <v>0</v>
      </c>
      <c r="M1080">
        <v>0</v>
      </c>
      <c r="N1080">
        <v>0</v>
      </c>
      <c r="O1080">
        <v>0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1</v>
      </c>
      <c r="W1080">
        <v>970</v>
      </c>
      <c r="X1080">
        <v>80</v>
      </c>
      <c r="Y1080">
        <v>0</v>
      </c>
      <c r="Z1080">
        <v>0</v>
      </c>
      <c r="AA1080">
        <v>1</v>
      </c>
      <c r="AB1080">
        <v>0</v>
      </c>
      <c r="AC1080">
        <v>1</v>
      </c>
      <c r="AD1080">
        <v>700</v>
      </c>
      <c r="AE1080">
        <v>1</v>
      </c>
      <c r="AF1080">
        <v>0</v>
      </c>
      <c r="AG1080">
        <v>0</v>
      </c>
      <c r="AH1080">
        <v>1</v>
      </c>
      <c r="AI1080">
        <v>0</v>
      </c>
      <c r="AO1080">
        <v>-3.1990000000000003</v>
      </c>
      <c r="AP1080">
        <v>6.12</v>
      </c>
      <c r="AQ1080">
        <v>845.548</v>
      </c>
      <c r="AX1080" t="s">
        <v>126</v>
      </c>
    </row>
    <row r="1081" spans="1:50" x14ac:dyDescent="0.45">
      <c r="A1081">
        <v>11080</v>
      </c>
      <c r="B1081">
        <v>0</v>
      </c>
      <c r="C1081">
        <v>89.566900000000004</v>
      </c>
      <c r="D1081">
        <v>6.12</v>
      </c>
      <c r="E1081">
        <v>4.0999999999999996</v>
      </c>
      <c r="F1081">
        <v>0</v>
      </c>
      <c r="G1081">
        <v>0</v>
      </c>
      <c r="H1081">
        <v>0.06</v>
      </c>
      <c r="I1081">
        <v>0</v>
      </c>
      <c r="J1081">
        <v>0</v>
      </c>
      <c r="K1081">
        <v>0</v>
      </c>
      <c r="L1081">
        <v>0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1</v>
      </c>
      <c r="W1081">
        <v>930</v>
      </c>
      <c r="X1081">
        <v>80</v>
      </c>
      <c r="Y1081">
        <v>0</v>
      </c>
      <c r="Z1081">
        <v>0</v>
      </c>
      <c r="AA1081">
        <v>1</v>
      </c>
      <c r="AB1081">
        <v>0</v>
      </c>
      <c r="AC1081">
        <v>1</v>
      </c>
      <c r="AD1081">
        <v>800</v>
      </c>
      <c r="AE1081">
        <v>1</v>
      </c>
      <c r="AF1081">
        <v>0</v>
      </c>
      <c r="AG1081">
        <v>0</v>
      </c>
      <c r="AH1081">
        <v>1</v>
      </c>
      <c r="AI1081">
        <v>0</v>
      </c>
      <c r="AO1081">
        <v>-3.1990000000000003</v>
      </c>
      <c r="AP1081">
        <v>6.12</v>
      </c>
      <c r="AQ1081">
        <v>845.548</v>
      </c>
      <c r="AX1081" t="s">
        <v>126</v>
      </c>
    </row>
    <row r="1082" spans="1:50" x14ac:dyDescent="0.45">
      <c r="A1082">
        <v>11081</v>
      </c>
      <c r="B1082">
        <v>0</v>
      </c>
      <c r="C1082">
        <v>89.566900000000004</v>
      </c>
      <c r="D1082">
        <v>6.12</v>
      </c>
      <c r="E1082">
        <v>4.0999999999999996</v>
      </c>
      <c r="F1082">
        <v>0</v>
      </c>
      <c r="G1082">
        <v>0</v>
      </c>
      <c r="H1082">
        <v>0.06</v>
      </c>
      <c r="I1082">
        <v>0</v>
      </c>
      <c r="J1082">
        <v>0</v>
      </c>
      <c r="K1082">
        <v>0</v>
      </c>
      <c r="L1082">
        <v>0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1</v>
      </c>
      <c r="W1082">
        <v>970</v>
      </c>
      <c r="X1082">
        <v>20</v>
      </c>
      <c r="Y1082">
        <v>0</v>
      </c>
      <c r="Z1082">
        <v>0</v>
      </c>
      <c r="AA1082">
        <v>1</v>
      </c>
      <c r="AB1082">
        <v>0</v>
      </c>
      <c r="AC1082">
        <v>1</v>
      </c>
      <c r="AD1082">
        <v>600</v>
      </c>
      <c r="AE1082">
        <v>2</v>
      </c>
      <c r="AF1082">
        <v>0</v>
      </c>
      <c r="AG1082">
        <v>0</v>
      </c>
      <c r="AH1082">
        <v>1</v>
      </c>
      <c r="AI1082">
        <v>0</v>
      </c>
      <c r="AO1082">
        <v>-3.1990000000000003</v>
      </c>
      <c r="AP1082">
        <v>6.12</v>
      </c>
      <c r="AQ1082">
        <v>845.548</v>
      </c>
      <c r="AX1082" t="s">
        <v>126</v>
      </c>
    </row>
    <row r="1083" spans="1:50" x14ac:dyDescent="0.45">
      <c r="A1083">
        <v>11082</v>
      </c>
      <c r="B1083">
        <v>0</v>
      </c>
      <c r="C1083">
        <v>89.566900000000004</v>
      </c>
      <c r="D1083">
        <v>6.12</v>
      </c>
      <c r="E1083">
        <v>4.0999999999999996</v>
      </c>
      <c r="F1083">
        <v>0</v>
      </c>
      <c r="G1083">
        <v>0</v>
      </c>
      <c r="H1083">
        <v>0.06</v>
      </c>
      <c r="I1083">
        <v>0</v>
      </c>
      <c r="J1083">
        <v>0</v>
      </c>
      <c r="K1083">
        <v>0</v>
      </c>
      <c r="L1083">
        <v>0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1</v>
      </c>
      <c r="W1083">
        <v>930</v>
      </c>
      <c r="X1083">
        <v>20</v>
      </c>
      <c r="Y1083">
        <v>0</v>
      </c>
      <c r="Z1083">
        <v>0</v>
      </c>
      <c r="AA1083">
        <v>1</v>
      </c>
      <c r="AB1083">
        <v>0</v>
      </c>
      <c r="AC1083">
        <v>1</v>
      </c>
      <c r="AD1083">
        <v>700</v>
      </c>
      <c r="AE1083">
        <v>2</v>
      </c>
      <c r="AF1083">
        <v>0</v>
      </c>
      <c r="AG1083">
        <v>0</v>
      </c>
      <c r="AH1083">
        <v>1</v>
      </c>
      <c r="AI1083">
        <v>0</v>
      </c>
      <c r="AO1083">
        <v>-3.1990000000000003</v>
      </c>
      <c r="AP1083">
        <v>6.12</v>
      </c>
      <c r="AQ1083">
        <v>845.548</v>
      </c>
      <c r="AX1083" t="s">
        <v>126</v>
      </c>
    </row>
    <row r="1084" spans="1:50" x14ac:dyDescent="0.45">
      <c r="A1084">
        <v>11083</v>
      </c>
      <c r="B1084">
        <v>0</v>
      </c>
      <c r="C1084">
        <v>89.566900000000004</v>
      </c>
      <c r="D1084">
        <v>6.12</v>
      </c>
      <c r="E1084">
        <v>4.0999999999999996</v>
      </c>
      <c r="F1084">
        <v>0</v>
      </c>
      <c r="G1084">
        <v>0</v>
      </c>
      <c r="H1084">
        <v>0.06</v>
      </c>
      <c r="I1084">
        <v>0</v>
      </c>
      <c r="J1084">
        <v>0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1</v>
      </c>
      <c r="W1084">
        <v>950</v>
      </c>
      <c r="X1084">
        <v>20</v>
      </c>
      <c r="Y1084">
        <v>0</v>
      </c>
      <c r="Z1084">
        <v>0</v>
      </c>
      <c r="AA1084">
        <v>1</v>
      </c>
      <c r="AB1084">
        <v>0</v>
      </c>
      <c r="AC1084">
        <v>1</v>
      </c>
      <c r="AD1084">
        <v>800</v>
      </c>
      <c r="AE1084">
        <v>2</v>
      </c>
      <c r="AF1084">
        <v>0</v>
      </c>
      <c r="AG1084">
        <v>0</v>
      </c>
      <c r="AH1084">
        <v>1</v>
      </c>
      <c r="AI1084">
        <v>0</v>
      </c>
      <c r="AO1084">
        <v>-3.1990000000000003</v>
      </c>
      <c r="AP1084">
        <v>6.12</v>
      </c>
      <c r="AQ1084">
        <v>845.548</v>
      </c>
      <c r="AX1084" t="s">
        <v>126</v>
      </c>
    </row>
    <row r="1085" spans="1:50" x14ac:dyDescent="0.45">
      <c r="A1085">
        <v>11084</v>
      </c>
      <c r="B1085">
        <v>0</v>
      </c>
      <c r="C1085">
        <v>89.566900000000004</v>
      </c>
      <c r="D1085">
        <v>6.12</v>
      </c>
      <c r="E1085">
        <v>4.0999999999999996</v>
      </c>
      <c r="F1085">
        <v>0</v>
      </c>
      <c r="G1085">
        <v>0</v>
      </c>
      <c r="H1085">
        <v>0.06</v>
      </c>
      <c r="I1085">
        <v>0</v>
      </c>
      <c r="J1085">
        <v>0</v>
      </c>
      <c r="K1085">
        <v>0</v>
      </c>
      <c r="L1085">
        <v>0</v>
      </c>
      <c r="M1085">
        <v>0</v>
      </c>
      <c r="N1085">
        <v>0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1</v>
      </c>
      <c r="W1085">
        <v>950</v>
      </c>
      <c r="X1085">
        <v>50</v>
      </c>
      <c r="Y1085">
        <v>0</v>
      </c>
      <c r="Z1085">
        <v>0</v>
      </c>
      <c r="AA1085">
        <v>1</v>
      </c>
      <c r="AB1085">
        <v>0</v>
      </c>
      <c r="AC1085">
        <v>1</v>
      </c>
      <c r="AD1085">
        <v>600</v>
      </c>
      <c r="AE1085">
        <v>2</v>
      </c>
      <c r="AF1085">
        <v>0</v>
      </c>
      <c r="AG1085">
        <v>0</v>
      </c>
      <c r="AH1085">
        <v>1</v>
      </c>
      <c r="AI1085">
        <v>0</v>
      </c>
      <c r="AO1085">
        <v>-3.1990000000000003</v>
      </c>
      <c r="AP1085">
        <v>6.12</v>
      </c>
      <c r="AQ1085">
        <v>845.548</v>
      </c>
      <c r="AX1085" t="s">
        <v>126</v>
      </c>
    </row>
    <row r="1086" spans="1:50" x14ac:dyDescent="0.45">
      <c r="A1086">
        <v>11085</v>
      </c>
      <c r="B1086">
        <v>0</v>
      </c>
      <c r="C1086">
        <v>89.566900000000004</v>
      </c>
      <c r="D1086">
        <v>6.12</v>
      </c>
      <c r="E1086">
        <v>4.0999999999999996</v>
      </c>
      <c r="F1086">
        <v>0</v>
      </c>
      <c r="G1086">
        <v>0</v>
      </c>
      <c r="H1086">
        <v>0.06</v>
      </c>
      <c r="I1086">
        <v>0</v>
      </c>
      <c r="J1086">
        <v>0</v>
      </c>
      <c r="K1086">
        <v>0</v>
      </c>
      <c r="L1086">
        <v>0</v>
      </c>
      <c r="M1086">
        <v>0</v>
      </c>
      <c r="N1086">
        <v>0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1</v>
      </c>
      <c r="W1086">
        <v>970</v>
      </c>
      <c r="X1086">
        <v>50</v>
      </c>
      <c r="Y1086">
        <v>0</v>
      </c>
      <c r="Z1086">
        <v>0</v>
      </c>
      <c r="AA1086">
        <v>1</v>
      </c>
      <c r="AB1086">
        <v>0</v>
      </c>
      <c r="AC1086">
        <v>1</v>
      </c>
      <c r="AD1086">
        <v>700</v>
      </c>
      <c r="AE1086">
        <v>2</v>
      </c>
      <c r="AF1086">
        <v>0</v>
      </c>
      <c r="AG1086">
        <v>0</v>
      </c>
      <c r="AH1086">
        <v>1</v>
      </c>
      <c r="AI1086">
        <v>0</v>
      </c>
      <c r="AO1086">
        <v>-3.1990000000000003</v>
      </c>
      <c r="AP1086">
        <v>6.12</v>
      </c>
      <c r="AQ1086">
        <v>845.548</v>
      </c>
      <c r="AX1086" t="s">
        <v>126</v>
      </c>
    </row>
    <row r="1087" spans="1:50" x14ac:dyDescent="0.45">
      <c r="A1087">
        <v>11086</v>
      </c>
      <c r="B1087">
        <v>0</v>
      </c>
      <c r="C1087">
        <v>89.566900000000004</v>
      </c>
      <c r="D1087">
        <v>6.12</v>
      </c>
      <c r="E1087">
        <v>4.0999999999999996</v>
      </c>
      <c r="F1087">
        <v>0</v>
      </c>
      <c r="G1087">
        <v>0</v>
      </c>
      <c r="H1087">
        <v>0.06</v>
      </c>
      <c r="I1087">
        <v>0</v>
      </c>
      <c r="J1087">
        <v>0</v>
      </c>
      <c r="K1087">
        <v>0</v>
      </c>
      <c r="L1087">
        <v>0</v>
      </c>
      <c r="M1087">
        <v>0</v>
      </c>
      <c r="N1087">
        <v>0</v>
      </c>
      <c r="O1087">
        <v>0</v>
      </c>
      <c r="P1087">
        <v>0</v>
      </c>
      <c r="Q1087">
        <v>0</v>
      </c>
      <c r="R1087">
        <v>0</v>
      </c>
      <c r="S1087">
        <v>0</v>
      </c>
      <c r="T1087">
        <v>0</v>
      </c>
      <c r="U1087">
        <v>0</v>
      </c>
      <c r="V1087">
        <v>1</v>
      </c>
      <c r="W1087">
        <v>930</v>
      </c>
      <c r="X1087">
        <v>50</v>
      </c>
      <c r="Y1087">
        <v>0</v>
      </c>
      <c r="Z1087">
        <v>0</v>
      </c>
      <c r="AA1087">
        <v>1</v>
      </c>
      <c r="AB1087">
        <v>0</v>
      </c>
      <c r="AC1087">
        <v>1</v>
      </c>
      <c r="AD1087">
        <v>800</v>
      </c>
      <c r="AE1087">
        <v>2</v>
      </c>
      <c r="AF1087">
        <v>0</v>
      </c>
      <c r="AG1087">
        <v>0</v>
      </c>
      <c r="AH1087">
        <v>1</v>
      </c>
      <c r="AI1087">
        <v>0</v>
      </c>
      <c r="AO1087">
        <v>-3.1990000000000003</v>
      </c>
      <c r="AP1087">
        <v>6.12</v>
      </c>
      <c r="AQ1087">
        <v>845.548</v>
      </c>
      <c r="AX1087" t="s">
        <v>126</v>
      </c>
    </row>
    <row r="1088" spans="1:50" x14ac:dyDescent="0.45">
      <c r="A1088">
        <v>11087</v>
      </c>
      <c r="B1088">
        <v>0</v>
      </c>
      <c r="C1088">
        <v>89.566900000000004</v>
      </c>
      <c r="D1088">
        <v>6.12</v>
      </c>
      <c r="E1088">
        <v>4.0999999999999996</v>
      </c>
      <c r="F1088">
        <v>0</v>
      </c>
      <c r="G1088">
        <v>0</v>
      </c>
      <c r="H1088">
        <v>0.06</v>
      </c>
      <c r="I1088">
        <v>0</v>
      </c>
      <c r="J1088">
        <v>0</v>
      </c>
      <c r="K1088">
        <v>0</v>
      </c>
      <c r="L1088">
        <v>0</v>
      </c>
      <c r="M1088">
        <v>0</v>
      </c>
      <c r="N1088">
        <v>0</v>
      </c>
      <c r="O1088">
        <v>0</v>
      </c>
      <c r="P1088">
        <v>0</v>
      </c>
      <c r="Q1088">
        <v>0</v>
      </c>
      <c r="R1088">
        <v>0</v>
      </c>
      <c r="S1088">
        <v>0</v>
      </c>
      <c r="T1088">
        <v>0</v>
      </c>
      <c r="U1088">
        <v>0</v>
      </c>
      <c r="V1088">
        <v>1</v>
      </c>
      <c r="W1088">
        <v>970</v>
      </c>
      <c r="X1088">
        <v>80</v>
      </c>
      <c r="Y1088">
        <v>0</v>
      </c>
      <c r="Z1088">
        <v>0</v>
      </c>
      <c r="AA1088">
        <v>1</v>
      </c>
      <c r="AB1088">
        <v>0</v>
      </c>
      <c r="AC1088">
        <v>1</v>
      </c>
      <c r="AD1088">
        <v>600</v>
      </c>
      <c r="AE1088">
        <v>2</v>
      </c>
      <c r="AF1088">
        <v>0</v>
      </c>
      <c r="AG1088">
        <v>0</v>
      </c>
      <c r="AH1088">
        <v>1</v>
      </c>
      <c r="AI1088">
        <v>0</v>
      </c>
      <c r="AO1088">
        <v>-3.1990000000000003</v>
      </c>
      <c r="AP1088">
        <v>6.12</v>
      </c>
      <c r="AQ1088">
        <v>845.548</v>
      </c>
      <c r="AX1088" t="s">
        <v>126</v>
      </c>
    </row>
    <row r="1089" spans="1:50" x14ac:dyDescent="0.45">
      <c r="A1089">
        <v>11088</v>
      </c>
      <c r="B1089">
        <v>0</v>
      </c>
      <c r="C1089">
        <v>89.566900000000004</v>
      </c>
      <c r="D1089">
        <v>6.12</v>
      </c>
      <c r="E1089">
        <v>4.0999999999999996</v>
      </c>
      <c r="F1089">
        <v>0</v>
      </c>
      <c r="G1089">
        <v>0</v>
      </c>
      <c r="H1089">
        <v>0.06</v>
      </c>
      <c r="I1089">
        <v>0</v>
      </c>
      <c r="J1089">
        <v>0</v>
      </c>
      <c r="K1089">
        <v>0</v>
      </c>
      <c r="L1089">
        <v>0</v>
      </c>
      <c r="M1089">
        <v>0</v>
      </c>
      <c r="N1089">
        <v>0</v>
      </c>
      <c r="O1089">
        <v>0</v>
      </c>
      <c r="P1089">
        <v>0</v>
      </c>
      <c r="Q1089">
        <v>0</v>
      </c>
      <c r="R1089">
        <v>0</v>
      </c>
      <c r="S1089">
        <v>0</v>
      </c>
      <c r="T1089">
        <v>0</v>
      </c>
      <c r="U1089">
        <v>0</v>
      </c>
      <c r="V1089">
        <v>1</v>
      </c>
      <c r="W1089">
        <v>930</v>
      </c>
      <c r="X1089">
        <v>80</v>
      </c>
      <c r="Y1089">
        <v>0</v>
      </c>
      <c r="Z1089">
        <v>0</v>
      </c>
      <c r="AA1089">
        <v>1</v>
      </c>
      <c r="AB1089">
        <v>0</v>
      </c>
      <c r="AC1089">
        <v>1</v>
      </c>
      <c r="AD1089">
        <v>700</v>
      </c>
      <c r="AE1089">
        <v>2</v>
      </c>
      <c r="AF1089">
        <v>0</v>
      </c>
      <c r="AG1089">
        <v>0</v>
      </c>
      <c r="AH1089">
        <v>1</v>
      </c>
      <c r="AI1089">
        <v>0</v>
      </c>
      <c r="AO1089">
        <v>-3.1990000000000003</v>
      </c>
      <c r="AP1089">
        <v>6.12</v>
      </c>
      <c r="AQ1089">
        <v>845.548</v>
      </c>
      <c r="AX1089" t="s">
        <v>126</v>
      </c>
    </row>
    <row r="1090" spans="1:50" x14ac:dyDescent="0.45">
      <c r="A1090">
        <v>11089</v>
      </c>
      <c r="B1090">
        <v>0</v>
      </c>
      <c r="C1090">
        <v>89.566900000000004</v>
      </c>
      <c r="D1090">
        <v>6.12</v>
      </c>
      <c r="E1090">
        <v>4.0999999999999996</v>
      </c>
      <c r="F1090">
        <v>0</v>
      </c>
      <c r="G1090">
        <v>0</v>
      </c>
      <c r="H1090">
        <v>0.06</v>
      </c>
      <c r="I1090">
        <v>0</v>
      </c>
      <c r="J1090">
        <v>0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0</v>
      </c>
      <c r="Q1090">
        <v>0</v>
      </c>
      <c r="R1090">
        <v>0</v>
      </c>
      <c r="S1090">
        <v>0</v>
      </c>
      <c r="T1090">
        <v>0</v>
      </c>
      <c r="U1090">
        <v>0</v>
      </c>
      <c r="V1090">
        <v>1</v>
      </c>
      <c r="W1090">
        <v>950</v>
      </c>
      <c r="X1090">
        <v>80</v>
      </c>
      <c r="Y1090">
        <v>0</v>
      </c>
      <c r="Z1090">
        <v>0</v>
      </c>
      <c r="AA1090">
        <v>1</v>
      </c>
      <c r="AB1090">
        <v>0</v>
      </c>
      <c r="AC1090">
        <v>1</v>
      </c>
      <c r="AD1090">
        <v>800</v>
      </c>
      <c r="AE1090">
        <v>2</v>
      </c>
      <c r="AF1090">
        <v>0</v>
      </c>
      <c r="AG1090">
        <v>0</v>
      </c>
      <c r="AH1090">
        <v>1</v>
      </c>
      <c r="AI1090">
        <v>0</v>
      </c>
      <c r="AO1090">
        <v>-3.1990000000000003</v>
      </c>
      <c r="AP1090">
        <v>6.12</v>
      </c>
      <c r="AQ1090">
        <v>845.548</v>
      </c>
      <c r="AX1090" t="s">
        <v>126</v>
      </c>
    </row>
    <row r="1091" spans="1:50" x14ac:dyDescent="0.45">
      <c r="A1091">
        <v>11090</v>
      </c>
      <c r="B1091">
        <v>1</v>
      </c>
      <c r="C1091">
        <v>89.498000000000005</v>
      </c>
      <c r="D1091">
        <v>6.2</v>
      </c>
      <c r="E1091">
        <v>4.2</v>
      </c>
      <c r="F1091">
        <v>0</v>
      </c>
      <c r="G1091">
        <v>0</v>
      </c>
      <c r="H1091">
        <v>1.7999999999999999E-2</v>
      </c>
      <c r="I1091">
        <v>0</v>
      </c>
      <c r="J1091">
        <v>0</v>
      </c>
      <c r="K1091">
        <v>0</v>
      </c>
      <c r="L1091">
        <v>0</v>
      </c>
      <c r="M1091">
        <v>0</v>
      </c>
      <c r="N1091">
        <v>0</v>
      </c>
      <c r="O1091">
        <v>0</v>
      </c>
      <c r="P1091">
        <v>0</v>
      </c>
      <c r="Q1091">
        <v>0</v>
      </c>
      <c r="R1091">
        <v>0</v>
      </c>
      <c r="S1091">
        <v>0</v>
      </c>
      <c r="T1091">
        <v>0</v>
      </c>
      <c r="U1091">
        <v>0</v>
      </c>
      <c r="V1091">
        <v>1</v>
      </c>
      <c r="Y1091">
        <v>0</v>
      </c>
      <c r="Z1091">
        <v>0</v>
      </c>
      <c r="AA1091">
        <v>1</v>
      </c>
      <c r="AB1091">
        <v>0</v>
      </c>
      <c r="AC1091">
        <v>1</v>
      </c>
      <c r="AD1091">
        <v>800</v>
      </c>
      <c r="AE1091">
        <v>1</v>
      </c>
      <c r="AF1091">
        <v>0</v>
      </c>
      <c r="AG1091">
        <v>1</v>
      </c>
      <c r="AH1091">
        <v>0</v>
      </c>
      <c r="AI1091">
        <v>0</v>
      </c>
      <c r="AO1091">
        <v>-3.3337999999999997</v>
      </c>
      <c r="AP1091">
        <v>6.2</v>
      </c>
      <c r="AQ1091">
        <v>845.18280000000004</v>
      </c>
      <c r="AS1091">
        <v>813</v>
      </c>
      <c r="AT1091">
        <v>924</v>
      </c>
      <c r="AU1091">
        <v>14.5</v>
      </c>
      <c r="AX1091" t="s">
        <v>127</v>
      </c>
    </row>
    <row r="1092" spans="1:50" x14ac:dyDescent="0.45">
      <c r="A1092">
        <v>11091</v>
      </c>
      <c r="B1092">
        <v>1</v>
      </c>
      <c r="C1092">
        <v>89.498000000000005</v>
      </c>
      <c r="D1092">
        <v>6.2</v>
      </c>
      <c r="E1092">
        <v>4.2</v>
      </c>
      <c r="F1092">
        <v>0</v>
      </c>
      <c r="G1092">
        <v>0</v>
      </c>
      <c r="H1092">
        <v>1.7999999999999999E-2</v>
      </c>
      <c r="I1092">
        <v>0</v>
      </c>
      <c r="J1092">
        <v>0</v>
      </c>
      <c r="K1092">
        <v>0</v>
      </c>
      <c r="L1092">
        <v>0</v>
      </c>
      <c r="M1092">
        <v>0</v>
      </c>
      <c r="N1092">
        <v>0</v>
      </c>
      <c r="O1092">
        <v>0</v>
      </c>
      <c r="P1092">
        <v>0</v>
      </c>
      <c r="Q1092">
        <v>0</v>
      </c>
      <c r="R1092">
        <v>0</v>
      </c>
      <c r="S1092">
        <v>0</v>
      </c>
      <c r="T1092">
        <v>0</v>
      </c>
      <c r="U1092">
        <v>0</v>
      </c>
      <c r="V1092">
        <v>1</v>
      </c>
      <c r="Y1092">
        <v>0</v>
      </c>
      <c r="Z1092">
        <v>0</v>
      </c>
      <c r="AA1092">
        <v>1</v>
      </c>
      <c r="AB1092">
        <v>0</v>
      </c>
      <c r="AC1092">
        <v>1</v>
      </c>
      <c r="AD1092">
        <v>900</v>
      </c>
      <c r="AE1092">
        <v>1</v>
      </c>
      <c r="AF1092">
        <v>0</v>
      </c>
      <c r="AG1092">
        <v>1</v>
      </c>
      <c r="AH1092">
        <v>0</v>
      </c>
      <c r="AI1092">
        <v>0</v>
      </c>
      <c r="AO1092">
        <v>-3.3337999999999997</v>
      </c>
      <c r="AP1092">
        <v>6.2</v>
      </c>
      <c r="AQ1092">
        <v>845.18280000000004</v>
      </c>
      <c r="AS1092">
        <v>826</v>
      </c>
      <c r="AT1092">
        <v>930</v>
      </c>
      <c r="AU1092">
        <v>16</v>
      </c>
      <c r="AX1092" t="s">
        <v>127</v>
      </c>
    </row>
    <row r="1093" spans="1:50" x14ac:dyDescent="0.45">
      <c r="A1093">
        <v>11092</v>
      </c>
      <c r="B1093">
        <v>1</v>
      </c>
      <c r="C1093">
        <v>89.498000000000005</v>
      </c>
      <c r="D1093">
        <v>6.2</v>
      </c>
      <c r="E1093">
        <v>4.2</v>
      </c>
      <c r="F1093">
        <v>0</v>
      </c>
      <c r="G1093">
        <v>0</v>
      </c>
      <c r="H1093">
        <v>1.7999999999999999E-2</v>
      </c>
      <c r="I1093">
        <v>0</v>
      </c>
      <c r="J1093">
        <v>0</v>
      </c>
      <c r="K1093">
        <v>0</v>
      </c>
      <c r="L1093">
        <v>0</v>
      </c>
      <c r="M1093">
        <v>0</v>
      </c>
      <c r="N1093">
        <v>0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1</v>
      </c>
      <c r="Y1093">
        <v>0</v>
      </c>
      <c r="Z1093">
        <v>0</v>
      </c>
      <c r="AA1093">
        <v>1</v>
      </c>
      <c r="AB1093">
        <v>0</v>
      </c>
      <c r="AC1093">
        <v>1</v>
      </c>
      <c r="AD1093">
        <v>1000</v>
      </c>
      <c r="AE1093">
        <v>1</v>
      </c>
      <c r="AF1093">
        <v>0</v>
      </c>
      <c r="AG1093">
        <v>1</v>
      </c>
      <c r="AH1093">
        <v>0</v>
      </c>
      <c r="AI1093">
        <v>0</v>
      </c>
      <c r="AO1093">
        <v>-3.3337999999999997</v>
      </c>
      <c r="AP1093">
        <v>6.2</v>
      </c>
      <c r="AQ1093">
        <v>845.18280000000004</v>
      </c>
      <c r="AS1093">
        <v>798</v>
      </c>
      <c r="AT1093">
        <v>975</v>
      </c>
      <c r="AU1093">
        <v>12</v>
      </c>
      <c r="AW1093" t="s">
        <v>349</v>
      </c>
      <c r="AX1093" t="s">
        <v>127</v>
      </c>
    </row>
    <row r="1094" spans="1:50" x14ac:dyDescent="0.45">
      <c r="A1094">
        <v>11093</v>
      </c>
      <c r="B1094">
        <v>1</v>
      </c>
      <c r="C1094">
        <v>89.498000000000005</v>
      </c>
      <c r="D1094">
        <v>6.2</v>
      </c>
      <c r="E1094">
        <v>4.2</v>
      </c>
      <c r="F1094">
        <v>0</v>
      </c>
      <c r="G1094">
        <v>0</v>
      </c>
      <c r="H1094">
        <v>1.7999999999999999E-2</v>
      </c>
      <c r="I1094">
        <v>0</v>
      </c>
      <c r="J1094">
        <v>0</v>
      </c>
      <c r="K1094">
        <v>0</v>
      </c>
      <c r="L1094">
        <v>0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1</v>
      </c>
      <c r="Y1094">
        <v>0</v>
      </c>
      <c r="Z1094">
        <v>0</v>
      </c>
      <c r="AA1094">
        <v>1</v>
      </c>
      <c r="AB1094">
        <v>0</v>
      </c>
      <c r="AC1094">
        <v>1</v>
      </c>
      <c r="AD1094">
        <v>1000</v>
      </c>
      <c r="AE1094">
        <v>1</v>
      </c>
      <c r="AI1094">
        <v>0</v>
      </c>
      <c r="AO1094">
        <v>-3.3337999999999997</v>
      </c>
      <c r="AP1094">
        <v>6.2</v>
      </c>
      <c r="AQ1094">
        <v>845.18280000000004</v>
      </c>
      <c r="AS1094">
        <v>743</v>
      </c>
      <c r="AT1094">
        <v>881</v>
      </c>
      <c r="AU1094">
        <v>14</v>
      </c>
      <c r="AW1094" t="s">
        <v>349</v>
      </c>
      <c r="AX1094" t="s">
        <v>127</v>
      </c>
    </row>
    <row r="1095" spans="1:50" x14ac:dyDescent="0.45">
      <c r="A1095">
        <v>11094</v>
      </c>
      <c r="B1095">
        <v>1</v>
      </c>
      <c r="C1095">
        <v>64</v>
      </c>
      <c r="D1095">
        <v>0</v>
      </c>
      <c r="E1095">
        <v>0</v>
      </c>
      <c r="F1095">
        <v>0</v>
      </c>
      <c r="G1095">
        <v>0</v>
      </c>
      <c r="H1095">
        <v>0</v>
      </c>
      <c r="I1095">
        <v>0</v>
      </c>
      <c r="J1095">
        <v>4</v>
      </c>
      <c r="K1095">
        <v>24</v>
      </c>
      <c r="L1095">
        <v>0</v>
      </c>
      <c r="M1095">
        <v>8</v>
      </c>
      <c r="N1095">
        <v>0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1</v>
      </c>
      <c r="W1095">
        <v>20</v>
      </c>
      <c r="X1095">
        <v>94</v>
      </c>
      <c r="Y1095">
        <v>0</v>
      </c>
      <c r="Z1095">
        <v>0</v>
      </c>
      <c r="AA1095">
        <v>1</v>
      </c>
      <c r="AB1095">
        <v>0</v>
      </c>
      <c r="AC1095">
        <v>1</v>
      </c>
      <c r="AD1095">
        <v>900</v>
      </c>
      <c r="AE1095">
        <v>0.5</v>
      </c>
      <c r="AF1095">
        <v>1</v>
      </c>
      <c r="AG1095">
        <v>0</v>
      </c>
      <c r="AH1095">
        <v>0</v>
      </c>
      <c r="AI1095">
        <v>0</v>
      </c>
      <c r="AO1095">
        <v>6.7200000000000006</v>
      </c>
      <c r="AP1095">
        <v>3.333333333333333</v>
      </c>
      <c r="AQ1095">
        <v>888</v>
      </c>
      <c r="AT1095">
        <v>870</v>
      </c>
      <c r="AU1095">
        <v>10</v>
      </c>
      <c r="AX1095" t="s">
        <v>132</v>
      </c>
    </row>
    <row r="1096" spans="1:50" x14ac:dyDescent="0.45">
      <c r="A1096">
        <v>11095</v>
      </c>
      <c r="B1096">
        <v>1</v>
      </c>
      <c r="C1096">
        <v>64</v>
      </c>
      <c r="D1096">
        <v>0</v>
      </c>
      <c r="E1096">
        <v>0</v>
      </c>
      <c r="F1096">
        <v>0</v>
      </c>
      <c r="G1096">
        <v>0</v>
      </c>
      <c r="H1096">
        <v>0</v>
      </c>
      <c r="I1096">
        <v>0</v>
      </c>
      <c r="J1096">
        <v>4</v>
      </c>
      <c r="K1096">
        <v>24</v>
      </c>
      <c r="L1096">
        <v>0</v>
      </c>
      <c r="M1096">
        <v>8</v>
      </c>
      <c r="N1096">
        <v>0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1</v>
      </c>
      <c r="W1096">
        <v>20</v>
      </c>
      <c r="X1096">
        <v>94</v>
      </c>
      <c r="Y1096">
        <v>0</v>
      </c>
      <c r="Z1096">
        <v>0</v>
      </c>
      <c r="AA1096">
        <v>1</v>
      </c>
      <c r="AB1096">
        <v>0</v>
      </c>
      <c r="AC1096">
        <v>1</v>
      </c>
      <c r="AD1096">
        <v>700</v>
      </c>
      <c r="AE1096">
        <v>0.05</v>
      </c>
      <c r="AF1096">
        <v>0</v>
      </c>
      <c r="AG1096">
        <v>1</v>
      </c>
      <c r="AH1096">
        <v>0</v>
      </c>
      <c r="AI1096">
        <v>0</v>
      </c>
      <c r="AO1096">
        <v>6.7200000000000006</v>
      </c>
      <c r="AP1096">
        <v>3.333333333333333</v>
      </c>
      <c r="AQ1096">
        <v>888</v>
      </c>
      <c r="AT1096">
        <v>990</v>
      </c>
      <c r="AU1096">
        <v>9</v>
      </c>
      <c r="AX1096" t="s">
        <v>132</v>
      </c>
    </row>
    <row r="1097" spans="1:50" x14ac:dyDescent="0.45">
      <c r="A1097">
        <v>11096</v>
      </c>
      <c r="B1097">
        <v>1</v>
      </c>
      <c r="C1097">
        <v>93</v>
      </c>
      <c r="D1097">
        <v>3</v>
      </c>
      <c r="E1097">
        <v>0</v>
      </c>
      <c r="F1097">
        <v>0</v>
      </c>
      <c r="G1097">
        <v>0</v>
      </c>
      <c r="H1097">
        <v>0</v>
      </c>
      <c r="I1097">
        <v>0</v>
      </c>
      <c r="J1097">
        <v>3</v>
      </c>
      <c r="K1097">
        <v>0</v>
      </c>
      <c r="L1097">
        <v>1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1</v>
      </c>
      <c r="Y1097">
        <v>0</v>
      </c>
      <c r="Z1097">
        <v>0</v>
      </c>
      <c r="AA1097">
        <v>1</v>
      </c>
      <c r="AB1097">
        <v>0</v>
      </c>
      <c r="AC1097">
        <v>1</v>
      </c>
      <c r="AD1097">
        <v>960</v>
      </c>
      <c r="AE1097">
        <v>1</v>
      </c>
      <c r="AF1097">
        <v>0</v>
      </c>
      <c r="AG1097">
        <v>0</v>
      </c>
      <c r="AH1097">
        <v>1</v>
      </c>
      <c r="AI1097">
        <v>0</v>
      </c>
      <c r="AO1097">
        <v>-2</v>
      </c>
      <c r="AP1097">
        <v>3.5</v>
      </c>
      <c r="AQ1097">
        <v>858.09999999999991</v>
      </c>
      <c r="AS1097">
        <v>501</v>
      </c>
      <c r="AT1097">
        <v>604</v>
      </c>
      <c r="AU1097">
        <v>12</v>
      </c>
      <c r="AW1097" t="s">
        <v>294</v>
      </c>
      <c r="AX1097" t="s">
        <v>153</v>
      </c>
    </row>
    <row r="1098" spans="1:50" x14ac:dyDescent="0.45">
      <c r="A1098">
        <v>11097</v>
      </c>
      <c r="B1098">
        <v>1</v>
      </c>
      <c r="C1098">
        <v>93</v>
      </c>
      <c r="D1098">
        <v>3</v>
      </c>
      <c r="E1098">
        <v>0</v>
      </c>
      <c r="F1098">
        <v>0</v>
      </c>
      <c r="G1098">
        <v>0</v>
      </c>
      <c r="H1098">
        <v>0</v>
      </c>
      <c r="I1098">
        <v>0</v>
      </c>
      <c r="J1098">
        <v>3</v>
      </c>
      <c r="K1098">
        <v>0</v>
      </c>
      <c r="L1098">
        <v>1</v>
      </c>
      <c r="M1098">
        <v>0</v>
      </c>
      <c r="N1098">
        <v>0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1</v>
      </c>
      <c r="Y1098">
        <v>0</v>
      </c>
      <c r="Z1098">
        <v>0</v>
      </c>
      <c r="AA1098">
        <v>1</v>
      </c>
      <c r="AB1098">
        <v>0</v>
      </c>
      <c r="AC1098">
        <v>1</v>
      </c>
      <c r="AD1098">
        <v>920</v>
      </c>
      <c r="AE1098">
        <v>1</v>
      </c>
      <c r="AF1098">
        <v>0</v>
      </c>
      <c r="AG1098">
        <v>0</v>
      </c>
      <c r="AH1098">
        <v>1</v>
      </c>
      <c r="AI1098">
        <v>0</v>
      </c>
      <c r="AO1098">
        <v>-2</v>
      </c>
      <c r="AP1098">
        <v>3.5</v>
      </c>
      <c r="AQ1098">
        <v>858.09999999999991</v>
      </c>
      <c r="AS1098">
        <v>572</v>
      </c>
      <c r="AT1098">
        <v>652</v>
      </c>
      <c r="AU1098">
        <v>15</v>
      </c>
      <c r="AW1098" t="s">
        <v>294</v>
      </c>
      <c r="AX1098" t="s">
        <v>153</v>
      </c>
    </row>
    <row r="1099" spans="1:50" x14ac:dyDescent="0.45">
      <c r="A1099">
        <v>11098</v>
      </c>
      <c r="B1099">
        <v>1</v>
      </c>
      <c r="C1099">
        <v>93</v>
      </c>
      <c r="D1099">
        <v>3</v>
      </c>
      <c r="E1099">
        <v>0</v>
      </c>
      <c r="F1099">
        <v>0</v>
      </c>
      <c r="G1099">
        <v>0</v>
      </c>
      <c r="H1099">
        <v>0</v>
      </c>
      <c r="I1099">
        <v>0</v>
      </c>
      <c r="J1099">
        <v>3</v>
      </c>
      <c r="K1099">
        <v>0</v>
      </c>
      <c r="L1099">
        <v>1</v>
      </c>
      <c r="M1099">
        <v>0</v>
      </c>
      <c r="N1099">
        <v>0</v>
      </c>
      <c r="O1099">
        <v>0</v>
      </c>
      <c r="P1099">
        <v>0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1</v>
      </c>
      <c r="Y1099">
        <v>0</v>
      </c>
      <c r="Z1099">
        <v>0</v>
      </c>
      <c r="AA1099">
        <v>1</v>
      </c>
      <c r="AB1099">
        <v>0</v>
      </c>
      <c r="AC1099">
        <v>1</v>
      </c>
      <c r="AD1099">
        <v>920</v>
      </c>
      <c r="AE1099">
        <v>1</v>
      </c>
      <c r="AF1099">
        <v>0</v>
      </c>
      <c r="AG1099">
        <v>1</v>
      </c>
      <c r="AH1099">
        <v>0</v>
      </c>
      <c r="AI1099">
        <v>0</v>
      </c>
      <c r="AO1099">
        <v>-2</v>
      </c>
      <c r="AP1099">
        <v>3.5</v>
      </c>
      <c r="AQ1099">
        <v>858.09999999999991</v>
      </c>
      <c r="AS1099">
        <v>587</v>
      </c>
      <c r="AT1099">
        <v>659</v>
      </c>
      <c r="AU1099">
        <v>20</v>
      </c>
      <c r="AW1099" t="s">
        <v>294</v>
      </c>
      <c r="AX1099" t="s">
        <v>153</v>
      </c>
    </row>
    <row r="1100" spans="1:50" x14ac:dyDescent="0.45">
      <c r="A1100">
        <v>11099</v>
      </c>
      <c r="B1100">
        <v>1</v>
      </c>
      <c r="C1100">
        <v>89</v>
      </c>
      <c r="D1100">
        <v>6</v>
      </c>
      <c r="E1100">
        <v>4</v>
      </c>
      <c r="F1100">
        <v>0</v>
      </c>
      <c r="G1100">
        <v>0</v>
      </c>
      <c r="H1100">
        <v>0</v>
      </c>
      <c r="I1100">
        <v>0</v>
      </c>
      <c r="J1100">
        <v>0</v>
      </c>
      <c r="K1100">
        <v>0.5</v>
      </c>
      <c r="L1100">
        <v>0</v>
      </c>
      <c r="M1100">
        <v>0</v>
      </c>
      <c r="N1100">
        <v>0</v>
      </c>
      <c r="O1100">
        <v>0</v>
      </c>
      <c r="P1100">
        <v>0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1</v>
      </c>
      <c r="W1100">
        <v>920</v>
      </c>
      <c r="X1100">
        <v>50</v>
      </c>
      <c r="Y1100">
        <v>0</v>
      </c>
      <c r="Z1100">
        <v>0</v>
      </c>
      <c r="AA1100">
        <v>1</v>
      </c>
      <c r="AB1100">
        <v>0</v>
      </c>
      <c r="AC1100">
        <v>0</v>
      </c>
      <c r="AI1100">
        <v>0</v>
      </c>
      <c r="AO1100">
        <v>-3.1799999999999997</v>
      </c>
      <c r="AP1100">
        <v>6</v>
      </c>
      <c r="AQ1100">
        <v>847.4</v>
      </c>
      <c r="AS1100">
        <v>955</v>
      </c>
      <c r="AT1100">
        <v>975</v>
      </c>
      <c r="AU1100">
        <v>17</v>
      </c>
      <c r="AX1100" t="s">
        <v>156</v>
      </c>
    </row>
    <row r="1101" spans="1:50" x14ac:dyDescent="0.45">
      <c r="A1101">
        <v>11100</v>
      </c>
      <c r="B1101">
        <v>1</v>
      </c>
      <c r="C1101">
        <v>89</v>
      </c>
      <c r="D1101">
        <v>6</v>
      </c>
      <c r="E1101">
        <v>4</v>
      </c>
      <c r="F1101">
        <v>0</v>
      </c>
      <c r="G1101">
        <v>0</v>
      </c>
      <c r="H1101">
        <v>0</v>
      </c>
      <c r="I1101">
        <v>0</v>
      </c>
      <c r="J1101">
        <v>0</v>
      </c>
      <c r="K1101">
        <v>0.5</v>
      </c>
      <c r="L1101">
        <v>0</v>
      </c>
      <c r="M1101">
        <v>0</v>
      </c>
      <c r="N1101">
        <v>0</v>
      </c>
      <c r="O1101">
        <v>0</v>
      </c>
      <c r="P1101">
        <v>0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1</v>
      </c>
      <c r="W1101">
        <v>920</v>
      </c>
      <c r="X1101">
        <v>50</v>
      </c>
      <c r="Y1101">
        <v>0</v>
      </c>
      <c r="Z1101">
        <v>0</v>
      </c>
      <c r="AA1101">
        <v>1</v>
      </c>
      <c r="AB1101">
        <v>0</v>
      </c>
      <c r="AC1101">
        <v>1</v>
      </c>
      <c r="AD1101">
        <v>750</v>
      </c>
      <c r="AE1101">
        <v>1</v>
      </c>
      <c r="AF1101">
        <v>0</v>
      </c>
      <c r="AG1101">
        <v>1</v>
      </c>
      <c r="AH1101">
        <v>0</v>
      </c>
      <c r="AI1101">
        <v>0</v>
      </c>
      <c r="AO1101">
        <v>-3.1799999999999997</v>
      </c>
      <c r="AP1101">
        <v>6</v>
      </c>
      <c r="AQ1101">
        <v>847.4</v>
      </c>
      <c r="AS1101">
        <v>905</v>
      </c>
      <c r="AT1101">
        <v>932</v>
      </c>
      <c r="AU1101">
        <v>17.5</v>
      </c>
      <c r="AX1101" t="s">
        <v>215</v>
      </c>
    </row>
    <row r="1102" spans="1:50" x14ac:dyDescent="0.45">
      <c r="A1102">
        <v>11101</v>
      </c>
      <c r="B1102">
        <v>1</v>
      </c>
      <c r="C1102">
        <v>89</v>
      </c>
      <c r="D1102">
        <v>6</v>
      </c>
      <c r="E1102">
        <v>4</v>
      </c>
      <c r="F1102">
        <v>0</v>
      </c>
      <c r="G1102">
        <v>0</v>
      </c>
      <c r="H1102">
        <v>0</v>
      </c>
      <c r="I1102">
        <v>0</v>
      </c>
      <c r="J1102">
        <v>0</v>
      </c>
      <c r="K1102">
        <v>0.5</v>
      </c>
      <c r="L1102">
        <v>0</v>
      </c>
      <c r="M1102">
        <v>0</v>
      </c>
      <c r="N1102">
        <v>0</v>
      </c>
      <c r="O1102">
        <v>0</v>
      </c>
      <c r="P1102">
        <v>0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1</v>
      </c>
      <c r="W1102">
        <v>920</v>
      </c>
      <c r="X1102">
        <v>50</v>
      </c>
      <c r="Y1102">
        <v>0</v>
      </c>
      <c r="Z1102">
        <v>0</v>
      </c>
      <c r="AA1102">
        <v>1</v>
      </c>
      <c r="AB1102">
        <v>0</v>
      </c>
      <c r="AC1102">
        <v>1</v>
      </c>
      <c r="AD1102">
        <v>800</v>
      </c>
      <c r="AE1102">
        <v>1</v>
      </c>
      <c r="AF1102">
        <v>0</v>
      </c>
      <c r="AG1102">
        <v>1</v>
      </c>
      <c r="AH1102">
        <v>0</v>
      </c>
      <c r="AI1102">
        <v>0</v>
      </c>
      <c r="AO1102">
        <v>-3.1799999999999997</v>
      </c>
      <c r="AP1102">
        <v>6</v>
      </c>
      <c r="AQ1102">
        <v>847.4</v>
      </c>
      <c r="AS1102">
        <v>913</v>
      </c>
      <c r="AT1102">
        <v>960</v>
      </c>
      <c r="AU1102">
        <v>18.3</v>
      </c>
      <c r="AX1102" t="s">
        <v>156</v>
      </c>
    </row>
    <row r="1103" spans="1:50" x14ac:dyDescent="0.45">
      <c r="A1103">
        <v>11102</v>
      </c>
      <c r="B1103">
        <v>1</v>
      </c>
      <c r="C1103">
        <v>89</v>
      </c>
      <c r="D1103">
        <v>6</v>
      </c>
      <c r="E1103">
        <v>4</v>
      </c>
      <c r="F1103">
        <v>0</v>
      </c>
      <c r="G1103">
        <v>0</v>
      </c>
      <c r="H1103">
        <v>0</v>
      </c>
      <c r="I1103">
        <v>0</v>
      </c>
      <c r="J1103">
        <v>0</v>
      </c>
      <c r="K1103">
        <v>0.5</v>
      </c>
      <c r="L1103">
        <v>0</v>
      </c>
      <c r="M1103">
        <v>0</v>
      </c>
      <c r="N1103">
        <v>0</v>
      </c>
      <c r="O1103">
        <v>0</v>
      </c>
      <c r="P1103">
        <v>0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1</v>
      </c>
      <c r="W1103">
        <v>920</v>
      </c>
      <c r="X1103">
        <v>50</v>
      </c>
      <c r="Y1103">
        <v>0</v>
      </c>
      <c r="Z1103">
        <v>0</v>
      </c>
      <c r="AA1103">
        <v>1</v>
      </c>
      <c r="AB1103">
        <v>0</v>
      </c>
      <c r="AC1103">
        <v>1</v>
      </c>
      <c r="AD1103">
        <v>850</v>
      </c>
      <c r="AE1103">
        <v>1</v>
      </c>
      <c r="AF1103">
        <v>0</v>
      </c>
      <c r="AG1103">
        <v>1</v>
      </c>
      <c r="AH1103">
        <v>0</v>
      </c>
      <c r="AI1103">
        <v>0</v>
      </c>
      <c r="AO1103">
        <v>-3.1799999999999997</v>
      </c>
      <c r="AP1103">
        <v>6</v>
      </c>
      <c r="AQ1103">
        <v>847.4</v>
      </c>
      <c r="AS1103">
        <v>900</v>
      </c>
      <c r="AT1103">
        <v>948</v>
      </c>
      <c r="AU1103">
        <v>17</v>
      </c>
      <c r="AX1103" t="s">
        <v>156</v>
      </c>
    </row>
    <row r="1104" spans="1:50" x14ac:dyDescent="0.45">
      <c r="A1104">
        <v>11103</v>
      </c>
      <c r="B1104">
        <v>1</v>
      </c>
      <c r="C1104">
        <v>89</v>
      </c>
      <c r="D1104">
        <v>6</v>
      </c>
      <c r="E1104">
        <v>4</v>
      </c>
      <c r="F1104">
        <v>0</v>
      </c>
      <c r="G1104">
        <v>0</v>
      </c>
      <c r="H1104">
        <v>0</v>
      </c>
      <c r="I1104">
        <v>0</v>
      </c>
      <c r="J1104">
        <v>0</v>
      </c>
      <c r="K1104">
        <v>0.5</v>
      </c>
      <c r="L1104">
        <v>0</v>
      </c>
      <c r="M1104">
        <v>0</v>
      </c>
      <c r="N1104">
        <v>0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1</v>
      </c>
      <c r="W1104">
        <v>920</v>
      </c>
      <c r="X1104">
        <v>50</v>
      </c>
      <c r="Y1104">
        <v>0</v>
      </c>
      <c r="Z1104">
        <v>0</v>
      </c>
      <c r="AA1104">
        <v>1</v>
      </c>
      <c r="AB1104">
        <v>0</v>
      </c>
      <c r="AC1104">
        <v>1</v>
      </c>
      <c r="AD1104">
        <v>900</v>
      </c>
      <c r="AE1104">
        <v>1</v>
      </c>
      <c r="AF1104">
        <v>0</v>
      </c>
      <c r="AG1104">
        <v>1</v>
      </c>
      <c r="AH1104">
        <v>0</v>
      </c>
      <c r="AI1104">
        <v>0</v>
      </c>
      <c r="AO1104">
        <v>-3.1799999999999997</v>
      </c>
      <c r="AP1104">
        <v>6</v>
      </c>
      <c r="AQ1104">
        <v>847.4</v>
      </c>
      <c r="AS1104">
        <v>900</v>
      </c>
      <c r="AT1104">
        <v>950</v>
      </c>
      <c r="AU1104">
        <v>18</v>
      </c>
      <c r="AX1104" t="s">
        <v>156</v>
      </c>
    </row>
    <row r="1105" spans="1:50" x14ac:dyDescent="0.45">
      <c r="A1105">
        <v>11104</v>
      </c>
      <c r="B1105">
        <v>1</v>
      </c>
      <c r="C1105">
        <v>89</v>
      </c>
      <c r="D1105">
        <v>6</v>
      </c>
      <c r="E1105">
        <v>4</v>
      </c>
      <c r="F1105">
        <v>0</v>
      </c>
      <c r="G1105">
        <v>0</v>
      </c>
      <c r="H1105">
        <v>0</v>
      </c>
      <c r="I1105">
        <v>0</v>
      </c>
      <c r="J1105">
        <v>0</v>
      </c>
      <c r="K1105">
        <v>0.5</v>
      </c>
      <c r="L1105">
        <v>0</v>
      </c>
      <c r="M1105">
        <v>0</v>
      </c>
      <c r="N1105">
        <v>0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1</v>
      </c>
      <c r="W1105">
        <v>1020</v>
      </c>
      <c r="X1105">
        <v>50</v>
      </c>
      <c r="Y1105">
        <v>0</v>
      </c>
      <c r="Z1105">
        <v>0</v>
      </c>
      <c r="AA1105">
        <v>1</v>
      </c>
      <c r="AB1105">
        <v>0</v>
      </c>
      <c r="AC1105">
        <v>0</v>
      </c>
      <c r="AI1105">
        <v>0</v>
      </c>
      <c r="AO1105">
        <v>-3.1799999999999997</v>
      </c>
      <c r="AP1105">
        <v>6</v>
      </c>
      <c r="AQ1105">
        <v>847.4</v>
      </c>
      <c r="AS1105">
        <v>995</v>
      </c>
      <c r="AT1105">
        <v>1027</v>
      </c>
      <c r="AU1105">
        <v>18</v>
      </c>
      <c r="AX1105" t="s">
        <v>156</v>
      </c>
    </row>
    <row r="1106" spans="1:50" x14ac:dyDescent="0.45">
      <c r="A1106">
        <v>11105</v>
      </c>
      <c r="B1106">
        <v>1</v>
      </c>
      <c r="C1106">
        <v>89</v>
      </c>
      <c r="D1106">
        <v>6</v>
      </c>
      <c r="E1106">
        <v>4</v>
      </c>
      <c r="F1106">
        <v>0</v>
      </c>
      <c r="G1106">
        <v>0</v>
      </c>
      <c r="H1106">
        <v>0</v>
      </c>
      <c r="I1106">
        <v>0</v>
      </c>
      <c r="J1106">
        <v>0</v>
      </c>
      <c r="K1106">
        <v>0.5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1</v>
      </c>
      <c r="W1106">
        <v>1020</v>
      </c>
      <c r="X1106">
        <v>50</v>
      </c>
      <c r="Y1106">
        <v>0</v>
      </c>
      <c r="Z1106">
        <v>0</v>
      </c>
      <c r="AA1106">
        <v>1</v>
      </c>
      <c r="AB1106">
        <v>0</v>
      </c>
      <c r="AC1106">
        <v>1</v>
      </c>
      <c r="AD1106">
        <v>750</v>
      </c>
      <c r="AE1106">
        <v>1</v>
      </c>
      <c r="AF1106">
        <v>0</v>
      </c>
      <c r="AG1106">
        <v>1</v>
      </c>
      <c r="AH1106">
        <v>0</v>
      </c>
      <c r="AI1106">
        <v>0</v>
      </c>
      <c r="AO1106">
        <v>-3.1799999999999997</v>
      </c>
      <c r="AP1106">
        <v>6</v>
      </c>
      <c r="AQ1106">
        <v>847.4</v>
      </c>
      <c r="AS1106">
        <v>964</v>
      </c>
      <c r="AT1106">
        <v>1005</v>
      </c>
      <c r="AU1106">
        <v>15.8</v>
      </c>
      <c r="AX1106" t="s">
        <v>156</v>
      </c>
    </row>
    <row r="1107" spans="1:50" x14ac:dyDescent="0.45">
      <c r="A1107">
        <v>11106</v>
      </c>
      <c r="B1107">
        <v>1</v>
      </c>
      <c r="C1107">
        <v>89</v>
      </c>
      <c r="D1107">
        <v>6</v>
      </c>
      <c r="E1107">
        <v>4</v>
      </c>
      <c r="F1107">
        <v>0</v>
      </c>
      <c r="G1107">
        <v>0</v>
      </c>
      <c r="H1107">
        <v>0</v>
      </c>
      <c r="I1107">
        <v>0</v>
      </c>
      <c r="J1107">
        <v>0</v>
      </c>
      <c r="K1107">
        <v>0.5</v>
      </c>
      <c r="L1107">
        <v>0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1</v>
      </c>
      <c r="W1107">
        <v>1020</v>
      </c>
      <c r="X1107">
        <v>50</v>
      </c>
      <c r="Y1107">
        <v>0</v>
      </c>
      <c r="Z1107">
        <v>0</v>
      </c>
      <c r="AA1107">
        <v>1</v>
      </c>
      <c r="AB1107">
        <v>0</v>
      </c>
      <c r="AC1107">
        <v>1</v>
      </c>
      <c r="AD1107">
        <v>800</v>
      </c>
      <c r="AE1107">
        <v>1</v>
      </c>
      <c r="AF1107">
        <v>0</v>
      </c>
      <c r="AG1107">
        <v>1</v>
      </c>
      <c r="AH1107">
        <v>0</v>
      </c>
      <c r="AI1107">
        <v>0</v>
      </c>
      <c r="AO1107">
        <v>-3.1799999999999997</v>
      </c>
      <c r="AP1107">
        <v>6</v>
      </c>
      <c r="AQ1107">
        <v>847.4</v>
      </c>
      <c r="AS1107">
        <v>950</v>
      </c>
      <c r="AT1107">
        <v>987</v>
      </c>
      <c r="AU1107">
        <v>16.7</v>
      </c>
      <c r="AX1107" t="s">
        <v>156</v>
      </c>
    </row>
    <row r="1108" spans="1:50" x14ac:dyDescent="0.45">
      <c r="A1108">
        <v>11107</v>
      </c>
      <c r="B1108">
        <v>1</v>
      </c>
      <c r="C1108">
        <v>89</v>
      </c>
      <c r="D1108">
        <v>6</v>
      </c>
      <c r="E1108">
        <v>4</v>
      </c>
      <c r="F1108">
        <v>0</v>
      </c>
      <c r="G1108">
        <v>0</v>
      </c>
      <c r="H1108">
        <v>0</v>
      </c>
      <c r="I1108">
        <v>0</v>
      </c>
      <c r="J1108">
        <v>0</v>
      </c>
      <c r="K1108">
        <v>0.5</v>
      </c>
      <c r="L1108">
        <v>0</v>
      </c>
      <c r="M1108">
        <v>0</v>
      </c>
      <c r="N1108">
        <v>0</v>
      </c>
      <c r="O1108">
        <v>0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1</v>
      </c>
      <c r="W1108">
        <v>1020</v>
      </c>
      <c r="X1108">
        <v>50</v>
      </c>
      <c r="Y1108">
        <v>0</v>
      </c>
      <c r="Z1108">
        <v>0</v>
      </c>
      <c r="AA1108">
        <v>1</v>
      </c>
      <c r="AB1108">
        <v>0</v>
      </c>
      <c r="AC1108">
        <v>1</v>
      </c>
      <c r="AD1108">
        <v>850</v>
      </c>
      <c r="AE1108">
        <v>1</v>
      </c>
      <c r="AF1108">
        <v>0</v>
      </c>
      <c r="AG1108">
        <v>1</v>
      </c>
      <c r="AH1108">
        <v>0</v>
      </c>
      <c r="AI1108">
        <v>0</v>
      </c>
      <c r="AO1108">
        <v>-3.1799999999999997</v>
      </c>
      <c r="AP1108">
        <v>6</v>
      </c>
      <c r="AQ1108">
        <v>847.4</v>
      </c>
      <c r="AS1108">
        <v>940</v>
      </c>
      <c r="AT1108">
        <v>983</v>
      </c>
      <c r="AU1108">
        <v>17</v>
      </c>
      <c r="AX1108" t="s">
        <v>156</v>
      </c>
    </row>
    <row r="1109" spans="1:50" x14ac:dyDescent="0.45">
      <c r="A1109">
        <v>11108</v>
      </c>
      <c r="B1109">
        <v>1</v>
      </c>
      <c r="C1109">
        <v>89</v>
      </c>
      <c r="D1109">
        <v>6</v>
      </c>
      <c r="E1109">
        <v>4</v>
      </c>
      <c r="F1109">
        <v>0</v>
      </c>
      <c r="G1109">
        <v>0</v>
      </c>
      <c r="H1109">
        <v>0</v>
      </c>
      <c r="I1109">
        <v>0</v>
      </c>
      <c r="J1109">
        <v>0</v>
      </c>
      <c r="K1109">
        <v>0.5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1</v>
      </c>
      <c r="W1109">
        <v>1020</v>
      </c>
      <c r="X1109">
        <v>50</v>
      </c>
      <c r="Y1109">
        <v>0</v>
      </c>
      <c r="Z1109">
        <v>0</v>
      </c>
      <c r="AA1109">
        <v>1</v>
      </c>
      <c r="AB1109">
        <v>0</v>
      </c>
      <c r="AC1109">
        <v>1</v>
      </c>
      <c r="AD1109">
        <v>900</v>
      </c>
      <c r="AE1109">
        <v>1</v>
      </c>
      <c r="AF1109">
        <v>0</v>
      </c>
      <c r="AG1109">
        <v>1</v>
      </c>
      <c r="AH1109">
        <v>0</v>
      </c>
      <c r="AI1109">
        <v>0</v>
      </c>
      <c r="AO1109">
        <v>-3.1799999999999997</v>
      </c>
      <c r="AP1109">
        <v>6</v>
      </c>
      <c r="AQ1109">
        <v>847.4</v>
      </c>
      <c r="AS1109">
        <v>927</v>
      </c>
      <c r="AT1109">
        <v>967</v>
      </c>
      <c r="AU1109">
        <v>17</v>
      </c>
      <c r="AX1109" t="s">
        <v>156</v>
      </c>
    </row>
    <row r="1110" spans="1:50" x14ac:dyDescent="0.45">
      <c r="A1110">
        <v>11109</v>
      </c>
      <c r="B1110">
        <v>1</v>
      </c>
      <c r="C1110">
        <v>86.63</v>
      </c>
      <c r="D1110">
        <v>5</v>
      </c>
      <c r="E1110">
        <v>0</v>
      </c>
      <c r="F1110">
        <v>0</v>
      </c>
      <c r="G1110">
        <v>0</v>
      </c>
      <c r="H1110">
        <v>1.62</v>
      </c>
      <c r="I1110">
        <v>0</v>
      </c>
      <c r="J1110">
        <v>0</v>
      </c>
      <c r="K1110">
        <v>0</v>
      </c>
      <c r="L1110">
        <v>6.65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1</v>
      </c>
      <c r="W1110">
        <v>800</v>
      </c>
      <c r="Y1110">
        <v>0</v>
      </c>
      <c r="Z1110">
        <v>0</v>
      </c>
      <c r="AA1110">
        <v>1</v>
      </c>
      <c r="AB1110">
        <v>0</v>
      </c>
      <c r="AC1110">
        <v>1</v>
      </c>
      <c r="AD1110">
        <v>780</v>
      </c>
      <c r="AE1110">
        <v>1</v>
      </c>
      <c r="AF1110">
        <v>0</v>
      </c>
      <c r="AG1110">
        <v>1</v>
      </c>
      <c r="AH1110">
        <v>0</v>
      </c>
      <c r="AI1110">
        <v>1</v>
      </c>
      <c r="AJ1110">
        <v>560</v>
      </c>
      <c r="AK1110">
        <v>6</v>
      </c>
      <c r="AL1110">
        <v>0</v>
      </c>
      <c r="AM1110">
        <v>1</v>
      </c>
      <c r="AN1110">
        <v>0</v>
      </c>
      <c r="AO1110">
        <v>6.3480000000000008</v>
      </c>
      <c r="AP1110">
        <v>5</v>
      </c>
      <c r="AQ1110">
        <v>804.37700000000007</v>
      </c>
      <c r="AS1110">
        <v>1070.49</v>
      </c>
      <c r="AT1110">
        <v>1126.5899999999999</v>
      </c>
      <c r="AU1110">
        <v>18.5685</v>
      </c>
      <c r="AX1110" t="s">
        <v>108</v>
      </c>
    </row>
    <row r="1111" spans="1:50" x14ac:dyDescent="0.45">
      <c r="A1111">
        <v>11110</v>
      </c>
      <c r="B1111">
        <v>1</v>
      </c>
      <c r="C1111">
        <v>86.63</v>
      </c>
      <c r="D1111">
        <v>5</v>
      </c>
      <c r="E1111">
        <v>0</v>
      </c>
      <c r="F1111">
        <v>0</v>
      </c>
      <c r="G1111">
        <v>0</v>
      </c>
      <c r="H1111">
        <v>1.62</v>
      </c>
      <c r="I1111">
        <v>0</v>
      </c>
      <c r="J1111">
        <v>0</v>
      </c>
      <c r="K1111">
        <v>0</v>
      </c>
      <c r="L1111">
        <v>6.65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1</v>
      </c>
      <c r="W1111">
        <v>800</v>
      </c>
      <c r="Y1111">
        <v>0</v>
      </c>
      <c r="Z1111">
        <v>0</v>
      </c>
      <c r="AA1111">
        <v>1</v>
      </c>
      <c r="AB1111">
        <v>0</v>
      </c>
      <c r="AC1111">
        <v>1</v>
      </c>
      <c r="AD1111">
        <v>780</v>
      </c>
      <c r="AE1111">
        <v>1</v>
      </c>
      <c r="AF1111">
        <v>0</v>
      </c>
      <c r="AG1111">
        <v>1</v>
      </c>
      <c r="AH1111">
        <v>0</v>
      </c>
      <c r="AI1111">
        <v>1</v>
      </c>
      <c r="AJ1111">
        <v>560</v>
      </c>
      <c r="AK1111">
        <v>6</v>
      </c>
      <c r="AL1111">
        <v>0</v>
      </c>
      <c r="AM1111">
        <v>1</v>
      </c>
      <c r="AN1111">
        <v>0</v>
      </c>
      <c r="AO1111">
        <v>6.3480000000000008</v>
      </c>
      <c r="AP1111">
        <v>5</v>
      </c>
      <c r="AQ1111">
        <v>804.37700000000007</v>
      </c>
      <c r="AS1111">
        <v>1131.97</v>
      </c>
      <c r="AT1111">
        <v>1160.2</v>
      </c>
      <c r="AU1111">
        <v>17.604500000000002</v>
      </c>
      <c r="AX1111" t="s">
        <v>108</v>
      </c>
    </row>
    <row r="1112" spans="1:50" x14ac:dyDescent="0.45">
      <c r="A1112">
        <v>11111</v>
      </c>
      <c r="B1112">
        <v>1</v>
      </c>
      <c r="C1112">
        <v>86.63</v>
      </c>
      <c r="D1112">
        <v>5</v>
      </c>
      <c r="E1112">
        <v>0</v>
      </c>
      <c r="F1112">
        <v>0</v>
      </c>
      <c r="G1112">
        <v>0</v>
      </c>
      <c r="H1112">
        <v>1.62</v>
      </c>
      <c r="I1112">
        <v>0</v>
      </c>
      <c r="J1112">
        <v>0</v>
      </c>
      <c r="K1112">
        <v>0</v>
      </c>
      <c r="L1112">
        <v>6.65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1</v>
      </c>
      <c r="W1112">
        <v>800</v>
      </c>
      <c r="Y1112">
        <v>0</v>
      </c>
      <c r="Z1112">
        <v>0</v>
      </c>
      <c r="AA1112">
        <v>1</v>
      </c>
      <c r="AB1112">
        <v>0</v>
      </c>
      <c r="AC1112">
        <v>1</v>
      </c>
      <c r="AD1112">
        <v>780</v>
      </c>
      <c r="AE1112">
        <v>1</v>
      </c>
      <c r="AF1112">
        <v>0</v>
      </c>
      <c r="AG1112">
        <v>1</v>
      </c>
      <c r="AH1112">
        <v>0</v>
      </c>
      <c r="AI1112">
        <v>1</v>
      </c>
      <c r="AJ1112">
        <v>560</v>
      </c>
      <c r="AK1112">
        <v>6</v>
      </c>
      <c r="AL1112">
        <v>0</v>
      </c>
      <c r="AM1112">
        <v>1</v>
      </c>
      <c r="AN1112">
        <v>0</v>
      </c>
      <c r="AO1112">
        <v>6.3480000000000008</v>
      </c>
      <c r="AP1112">
        <v>5</v>
      </c>
      <c r="AQ1112">
        <v>804.37700000000007</v>
      </c>
      <c r="AS1112">
        <v>1066.3900000000001</v>
      </c>
      <c r="AT1112">
        <v>1098.76</v>
      </c>
      <c r="AU1112">
        <v>18.0625</v>
      </c>
      <c r="AX1112" t="s">
        <v>108</v>
      </c>
    </row>
    <row r="1113" spans="1:50" x14ac:dyDescent="0.45">
      <c r="A1113">
        <v>11112</v>
      </c>
      <c r="B1113">
        <v>1</v>
      </c>
      <c r="C1113">
        <v>86.63</v>
      </c>
      <c r="D1113">
        <v>5</v>
      </c>
      <c r="E1113">
        <v>0</v>
      </c>
      <c r="F1113">
        <v>0</v>
      </c>
      <c r="G1113">
        <v>0</v>
      </c>
      <c r="H1113">
        <v>1.62</v>
      </c>
      <c r="I1113">
        <v>0</v>
      </c>
      <c r="J1113">
        <v>0</v>
      </c>
      <c r="K1113">
        <v>0</v>
      </c>
      <c r="L1113">
        <v>6.65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1</v>
      </c>
      <c r="W1113">
        <v>830</v>
      </c>
      <c r="Y1113">
        <v>0</v>
      </c>
      <c r="Z1113">
        <v>0</v>
      </c>
      <c r="AA1113">
        <v>1</v>
      </c>
      <c r="AB1113">
        <v>0</v>
      </c>
      <c r="AC1113">
        <v>1</v>
      </c>
      <c r="AD1113">
        <v>780</v>
      </c>
      <c r="AE1113">
        <v>1</v>
      </c>
      <c r="AF1113">
        <v>0</v>
      </c>
      <c r="AG1113">
        <v>1</v>
      </c>
      <c r="AH1113">
        <v>0</v>
      </c>
      <c r="AI1113">
        <v>1</v>
      </c>
      <c r="AJ1113">
        <v>560</v>
      </c>
      <c r="AK1113">
        <v>6</v>
      </c>
      <c r="AL1113">
        <v>0</v>
      </c>
      <c r="AM1113">
        <v>1</v>
      </c>
      <c r="AN1113">
        <v>0</v>
      </c>
      <c r="AO1113">
        <v>6.3480000000000008</v>
      </c>
      <c r="AP1113">
        <v>5</v>
      </c>
      <c r="AQ1113">
        <v>804.37700000000007</v>
      </c>
      <c r="AS1113">
        <v>1110.1099999999999</v>
      </c>
      <c r="AT1113">
        <v>1180.3</v>
      </c>
      <c r="AU1113">
        <v>15.9626</v>
      </c>
      <c r="AX1113" t="s">
        <v>108</v>
      </c>
    </row>
    <row r="1114" spans="1:50" x14ac:dyDescent="0.45">
      <c r="A1114">
        <v>11113</v>
      </c>
      <c r="B1114">
        <v>1</v>
      </c>
      <c r="C1114">
        <v>86.63</v>
      </c>
      <c r="D1114">
        <v>5</v>
      </c>
      <c r="E1114">
        <v>0</v>
      </c>
      <c r="F1114">
        <v>0</v>
      </c>
      <c r="G1114">
        <v>0</v>
      </c>
      <c r="H1114">
        <v>1.62</v>
      </c>
      <c r="I1114">
        <v>0</v>
      </c>
      <c r="J1114">
        <v>0</v>
      </c>
      <c r="K1114">
        <v>0</v>
      </c>
      <c r="L1114">
        <v>6.65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1</v>
      </c>
      <c r="W1114">
        <v>830</v>
      </c>
      <c r="Y1114">
        <v>0</v>
      </c>
      <c r="Z1114">
        <v>0</v>
      </c>
      <c r="AA1114">
        <v>1</v>
      </c>
      <c r="AB1114">
        <v>0</v>
      </c>
      <c r="AC1114">
        <v>1</v>
      </c>
      <c r="AD1114">
        <v>780</v>
      </c>
      <c r="AE1114">
        <v>1</v>
      </c>
      <c r="AF1114">
        <v>0</v>
      </c>
      <c r="AG1114">
        <v>1</v>
      </c>
      <c r="AH1114">
        <v>0</v>
      </c>
      <c r="AI1114">
        <v>1</v>
      </c>
      <c r="AJ1114">
        <v>560</v>
      </c>
      <c r="AK1114">
        <v>6</v>
      </c>
      <c r="AL1114">
        <v>0</v>
      </c>
      <c r="AM1114">
        <v>1</v>
      </c>
      <c r="AN1114">
        <v>0</v>
      </c>
      <c r="AO1114">
        <v>6.3480000000000008</v>
      </c>
      <c r="AP1114">
        <v>5</v>
      </c>
      <c r="AQ1114">
        <v>804.37700000000007</v>
      </c>
      <c r="AS1114">
        <v>1145.6300000000001</v>
      </c>
      <c r="AT1114">
        <v>1178.0999999999999</v>
      </c>
      <c r="AU1114">
        <v>13.6577</v>
      </c>
      <c r="AX1114" t="s">
        <v>108</v>
      </c>
    </row>
    <row r="1115" spans="1:50" x14ac:dyDescent="0.45">
      <c r="A1115">
        <v>11114</v>
      </c>
      <c r="B1115">
        <v>1</v>
      </c>
      <c r="C1115">
        <v>86.63</v>
      </c>
      <c r="D1115">
        <v>5</v>
      </c>
      <c r="E1115">
        <v>0</v>
      </c>
      <c r="F1115">
        <v>0</v>
      </c>
      <c r="G1115">
        <v>0</v>
      </c>
      <c r="H1115">
        <v>1.62</v>
      </c>
      <c r="I1115">
        <v>0</v>
      </c>
      <c r="J1115">
        <v>0</v>
      </c>
      <c r="K1115">
        <v>0</v>
      </c>
      <c r="L1115">
        <v>6.65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1</v>
      </c>
      <c r="W1115">
        <v>830</v>
      </c>
      <c r="Y1115">
        <v>0</v>
      </c>
      <c r="Z1115">
        <v>0</v>
      </c>
      <c r="AA1115">
        <v>1</v>
      </c>
      <c r="AB1115">
        <v>0</v>
      </c>
      <c r="AC1115">
        <v>1</v>
      </c>
      <c r="AD1115">
        <v>780</v>
      </c>
      <c r="AE1115">
        <v>1</v>
      </c>
      <c r="AF1115">
        <v>0</v>
      </c>
      <c r="AG1115">
        <v>1</v>
      </c>
      <c r="AH1115">
        <v>0</v>
      </c>
      <c r="AI1115">
        <v>1</v>
      </c>
      <c r="AJ1115">
        <v>560</v>
      </c>
      <c r="AK1115">
        <v>6</v>
      </c>
      <c r="AL1115">
        <v>0</v>
      </c>
      <c r="AM1115">
        <v>1</v>
      </c>
      <c r="AN1115">
        <v>0</v>
      </c>
      <c r="AO1115">
        <v>6.3480000000000008</v>
      </c>
      <c r="AP1115">
        <v>5</v>
      </c>
      <c r="AQ1115">
        <v>804.37700000000007</v>
      </c>
      <c r="AS1115">
        <v>1144.26</v>
      </c>
      <c r="AT1115">
        <v>1188.3</v>
      </c>
      <c r="AU1115">
        <v>11.9832</v>
      </c>
      <c r="AX1115" t="s">
        <v>108</v>
      </c>
    </row>
    <row r="1116" spans="1:50" x14ac:dyDescent="0.45">
      <c r="A1116">
        <v>11115</v>
      </c>
      <c r="B1116">
        <v>1</v>
      </c>
      <c r="C1116">
        <v>86.63</v>
      </c>
      <c r="D1116">
        <v>5</v>
      </c>
      <c r="E1116">
        <v>0</v>
      </c>
      <c r="F1116">
        <v>0</v>
      </c>
      <c r="G1116">
        <v>0</v>
      </c>
      <c r="H1116">
        <v>1.62</v>
      </c>
      <c r="I1116">
        <v>0</v>
      </c>
      <c r="J1116">
        <v>0</v>
      </c>
      <c r="K1116">
        <v>0</v>
      </c>
      <c r="L1116">
        <v>6.65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1</v>
      </c>
      <c r="W1116">
        <v>860</v>
      </c>
      <c r="Y1116">
        <v>0</v>
      </c>
      <c r="Z1116">
        <v>0</v>
      </c>
      <c r="AA1116">
        <v>1</v>
      </c>
      <c r="AB1116">
        <v>0</v>
      </c>
      <c r="AC1116">
        <v>1</v>
      </c>
      <c r="AD1116">
        <v>780</v>
      </c>
      <c r="AE1116">
        <v>1</v>
      </c>
      <c r="AF1116">
        <v>0</v>
      </c>
      <c r="AG1116">
        <v>1</v>
      </c>
      <c r="AH1116">
        <v>0</v>
      </c>
      <c r="AI1116">
        <v>1</v>
      </c>
      <c r="AJ1116">
        <v>560</v>
      </c>
      <c r="AK1116">
        <v>6</v>
      </c>
      <c r="AL1116">
        <v>0</v>
      </c>
      <c r="AM1116">
        <v>1</v>
      </c>
      <c r="AN1116">
        <v>0</v>
      </c>
      <c r="AO1116">
        <v>6.3480000000000008</v>
      </c>
      <c r="AP1116">
        <v>5</v>
      </c>
      <c r="AQ1116">
        <v>804.37700000000007</v>
      </c>
      <c r="AS1116">
        <v>1122.4000000000001</v>
      </c>
      <c r="AT1116">
        <v>1172.04</v>
      </c>
      <c r="AU1116">
        <v>17.9375</v>
      </c>
      <c r="AX1116" t="s">
        <v>108</v>
      </c>
    </row>
    <row r="1117" spans="1:50" x14ac:dyDescent="0.45">
      <c r="A1117">
        <v>11116</v>
      </c>
      <c r="B1117">
        <v>1</v>
      </c>
      <c r="C1117">
        <v>86.63</v>
      </c>
      <c r="D1117">
        <v>5</v>
      </c>
      <c r="E1117">
        <v>0</v>
      </c>
      <c r="F1117">
        <v>0</v>
      </c>
      <c r="G1117">
        <v>0</v>
      </c>
      <c r="H1117">
        <v>1.62</v>
      </c>
      <c r="I1117">
        <v>0</v>
      </c>
      <c r="J1117">
        <v>0</v>
      </c>
      <c r="K1117">
        <v>0</v>
      </c>
      <c r="L1117">
        <v>6.65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1</v>
      </c>
      <c r="W1117">
        <v>860</v>
      </c>
      <c r="Y1117">
        <v>0</v>
      </c>
      <c r="Z1117">
        <v>0</v>
      </c>
      <c r="AA1117">
        <v>1</v>
      </c>
      <c r="AB1117">
        <v>0</v>
      </c>
      <c r="AC1117">
        <v>1</v>
      </c>
      <c r="AD1117">
        <v>780</v>
      </c>
      <c r="AE1117">
        <v>1</v>
      </c>
      <c r="AF1117">
        <v>0</v>
      </c>
      <c r="AG1117">
        <v>1</v>
      </c>
      <c r="AH1117">
        <v>0</v>
      </c>
      <c r="AI1117">
        <v>1</v>
      </c>
      <c r="AJ1117">
        <v>560</v>
      </c>
      <c r="AK1117">
        <v>6</v>
      </c>
      <c r="AL1117">
        <v>0</v>
      </c>
      <c r="AM1117">
        <v>1</v>
      </c>
      <c r="AN1117">
        <v>0</v>
      </c>
      <c r="AO1117">
        <v>6.3480000000000008</v>
      </c>
      <c r="AP1117">
        <v>5</v>
      </c>
      <c r="AQ1117">
        <v>804.37700000000007</v>
      </c>
      <c r="AS1117">
        <v>1136.07</v>
      </c>
      <c r="AT1117">
        <v>1173.96</v>
      </c>
      <c r="AU1117">
        <v>15.394299999999999</v>
      </c>
      <c r="AX1117" t="s">
        <v>108</v>
      </c>
    </row>
    <row r="1118" spans="1:50" x14ac:dyDescent="0.45">
      <c r="A1118">
        <v>11117</v>
      </c>
      <c r="B1118">
        <v>1</v>
      </c>
      <c r="C1118">
        <v>86.63</v>
      </c>
      <c r="D1118">
        <v>5</v>
      </c>
      <c r="E1118">
        <v>0</v>
      </c>
      <c r="F1118">
        <v>0</v>
      </c>
      <c r="G1118">
        <v>0</v>
      </c>
      <c r="H1118">
        <v>1.62</v>
      </c>
      <c r="I1118">
        <v>0</v>
      </c>
      <c r="J1118">
        <v>0</v>
      </c>
      <c r="K1118">
        <v>0</v>
      </c>
      <c r="L1118">
        <v>6.65</v>
      </c>
      <c r="M1118">
        <v>0</v>
      </c>
      <c r="N1118">
        <v>0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1</v>
      </c>
      <c r="W1118">
        <v>860</v>
      </c>
      <c r="Y1118">
        <v>0</v>
      </c>
      <c r="Z1118">
        <v>0</v>
      </c>
      <c r="AA1118">
        <v>1</v>
      </c>
      <c r="AB1118">
        <v>0</v>
      </c>
      <c r="AC1118">
        <v>1</v>
      </c>
      <c r="AD1118">
        <v>780</v>
      </c>
      <c r="AE1118">
        <v>1</v>
      </c>
      <c r="AF1118">
        <v>0</v>
      </c>
      <c r="AG1118">
        <v>1</v>
      </c>
      <c r="AH1118">
        <v>0</v>
      </c>
      <c r="AI1118">
        <v>1</v>
      </c>
      <c r="AJ1118">
        <v>560</v>
      </c>
      <c r="AK1118">
        <v>6</v>
      </c>
      <c r="AL1118">
        <v>0</v>
      </c>
      <c r="AM1118">
        <v>1</v>
      </c>
      <c r="AN1118">
        <v>0</v>
      </c>
      <c r="AO1118">
        <v>6.3480000000000008</v>
      </c>
      <c r="AP1118">
        <v>5</v>
      </c>
      <c r="AQ1118">
        <v>804.37700000000007</v>
      </c>
      <c r="AS1118">
        <v>1133.33</v>
      </c>
      <c r="AT1118">
        <v>1173.1400000000001</v>
      </c>
      <c r="AU1118">
        <v>12.5359</v>
      </c>
      <c r="AX1118" t="s">
        <v>108</v>
      </c>
    </row>
    <row r="1119" spans="1:50" x14ac:dyDescent="0.45">
      <c r="A1119">
        <v>11118</v>
      </c>
      <c r="B1119">
        <v>1</v>
      </c>
      <c r="C1119">
        <v>86.63</v>
      </c>
      <c r="D1119">
        <v>5</v>
      </c>
      <c r="E1119">
        <v>0</v>
      </c>
      <c r="F1119">
        <v>0</v>
      </c>
      <c r="G1119">
        <v>0</v>
      </c>
      <c r="H1119">
        <v>1.62</v>
      </c>
      <c r="I1119">
        <v>0</v>
      </c>
      <c r="J1119">
        <v>0</v>
      </c>
      <c r="K1119">
        <v>0</v>
      </c>
      <c r="L1119">
        <v>6.65</v>
      </c>
      <c r="M1119">
        <v>0</v>
      </c>
      <c r="N1119">
        <v>0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1</v>
      </c>
      <c r="W1119">
        <v>890</v>
      </c>
      <c r="Y1119">
        <v>0</v>
      </c>
      <c r="Z1119">
        <v>0</v>
      </c>
      <c r="AA1119">
        <v>1</v>
      </c>
      <c r="AB1119">
        <v>0</v>
      </c>
      <c r="AC1119">
        <v>1</v>
      </c>
      <c r="AD1119">
        <v>780</v>
      </c>
      <c r="AE1119">
        <v>1</v>
      </c>
      <c r="AF1119">
        <v>0</v>
      </c>
      <c r="AG1119">
        <v>1</v>
      </c>
      <c r="AH1119">
        <v>0</v>
      </c>
      <c r="AI1119">
        <v>1</v>
      </c>
      <c r="AJ1119">
        <v>560</v>
      </c>
      <c r="AK1119">
        <v>6</v>
      </c>
      <c r="AL1119">
        <v>0</v>
      </c>
      <c r="AM1119">
        <v>1</v>
      </c>
      <c r="AN1119">
        <v>0</v>
      </c>
      <c r="AO1119">
        <v>6.3480000000000008</v>
      </c>
      <c r="AP1119">
        <v>5</v>
      </c>
      <c r="AQ1119">
        <v>804.37700000000007</v>
      </c>
      <c r="AS1119">
        <v>1114.21</v>
      </c>
      <c r="AT1119">
        <v>1161.02</v>
      </c>
      <c r="AU1119">
        <v>17.0685</v>
      </c>
      <c r="AX1119" t="s">
        <v>108</v>
      </c>
    </row>
    <row r="1120" spans="1:50" x14ac:dyDescent="0.45">
      <c r="A1120">
        <v>11119</v>
      </c>
      <c r="B1120">
        <v>1</v>
      </c>
      <c r="C1120">
        <v>86.63</v>
      </c>
      <c r="D1120">
        <v>5</v>
      </c>
      <c r="E1120">
        <v>0</v>
      </c>
      <c r="F1120">
        <v>0</v>
      </c>
      <c r="G1120">
        <v>0</v>
      </c>
      <c r="H1120">
        <v>1.62</v>
      </c>
      <c r="I1120">
        <v>0</v>
      </c>
      <c r="J1120">
        <v>0</v>
      </c>
      <c r="K1120">
        <v>0</v>
      </c>
      <c r="L1120">
        <v>6.65</v>
      </c>
      <c r="M1120">
        <v>0</v>
      </c>
      <c r="N1120">
        <v>0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1</v>
      </c>
      <c r="W1120">
        <v>890</v>
      </c>
      <c r="Y1120">
        <v>0</v>
      </c>
      <c r="Z1120">
        <v>0</v>
      </c>
      <c r="AA1120">
        <v>1</v>
      </c>
      <c r="AB1120">
        <v>0</v>
      </c>
      <c r="AC1120">
        <v>1</v>
      </c>
      <c r="AD1120">
        <v>780</v>
      </c>
      <c r="AE1120">
        <v>1</v>
      </c>
      <c r="AF1120">
        <v>0</v>
      </c>
      <c r="AG1120">
        <v>1</v>
      </c>
      <c r="AH1120">
        <v>0</v>
      </c>
      <c r="AI1120">
        <v>1</v>
      </c>
      <c r="AJ1120">
        <v>560</v>
      </c>
      <c r="AK1120">
        <v>6</v>
      </c>
      <c r="AL1120">
        <v>0</v>
      </c>
      <c r="AM1120">
        <v>1</v>
      </c>
      <c r="AN1120">
        <v>0</v>
      </c>
      <c r="AO1120">
        <v>6.3480000000000008</v>
      </c>
      <c r="AP1120">
        <v>5</v>
      </c>
      <c r="AQ1120">
        <v>804.37700000000007</v>
      </c>
      <c r="AS1120">
        <v>1125.1400000000001</v>
      </c>
      <c r="AT1120">
        <v>1162.6400000000001</v>
      </c>
      <c r="AU1120">
        <v>10.420500000000001</v>
      </c>
      <c r="AX1120" t="s">
        <v>108</v>
      </c>
    </row>
    <row r="1121" spans="1:50" x14ac:dyDescent="0.45">
      <c r="A1121">
        <v>11120</v>
      </c>
      <c r="B1121">
        <v>1</v>
      </c>
      <c r="C1121">
        <v>86.63</v>
      </c>
      <c r="D1121">
        <v>5</v>
      </c>
      <c r="E1121">
        <v>0</v>
      </c>
      <c r="F1121">
        <v>0</v>
      </c>
      <c r="G1121">
        <v>0</v>
      </c>
      <c r="H1121">
        <v>1.62</v>
      </c>
      <c r="I1121">
        <v>0</v>
      </c>
      <c r="J1121">
        <v>0</v>
      </c>
      <c r="K1121">
        <v>0</v>
      </c>
      <c r="L1121">
        <v>6.65</v>
      </c>
      <c r="M1121">
        <v>0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1</v>
      </c>
      <c r="W1121">
        <v>890</v>
      </c>
      <c r="Y1121">
        <v>0</v>
      </c>
      <c r="Z1121">
        <v>0</v>
      </c>
      <c r="AA1121">
        <v>1</v>
      </c>
      <c r="AB1121">
        <v>0</v>
      </c>
      <c r="AC1121">
        <v>1</v>
      </c>
      <c r="AD1121">
        <v>780</v>
      </c>
      <c r="AE1121">
        <v>1</v>
      </c>
      <c r="AF1121">
        <v>0</v>
      </c>
      <c r="AG1121">
        <v>1</v>
      </c>
      <c r="AH1121">
        <v>0</v>
      </c>
      <c r="AI1121">
        <v>1</v>
      </c>
      <c r="AJ1121">
        <v>560</v>
      </c>
      <c r="AK1121">
        <v>6</v>
      </c>
      <c r="AL1121">
        <v>0</v>
      </c>
      <c r="AM1121">
        <v>1</v>
      </c>
      <c r="AN1121">
        <v>0</v>
      </c>
      <c r="AO1121">
        <v>6.3480000000000008</v>
      </c>
      <c r="AP1121">
        <v>5</v>
      </c>
      <c r="AQ1121">
        <v>804.37700000000007</v>
      </c>
      <c r="AS1121">
        <v>1108.74</v>
      </c>
      <c r="AT1121">
        <v>1153.3</v>
      </c>
      <c r="AU1121">
        <v>14.746700000000001</v>
      </c>
      <c r="AX1121" t="s">
        <v>108</v>
      </c>
    </row>
    <row r="1122" spans="1:50" x14ac:dyDescent="0.45">
      <c r="A1122">
        <v>11121</v>
      </c>
      <c r="B1122">
        <v>1</v>
      </c>
      <c r="C1122">
        <v>86.63</v>
      </c>
      <c r="D1122">
        <v>5</v>
      </c>
      <c r="E1122">
        <v>0</v>
      </c>
      <c r="F1122">
        <v>0</v>
      </c>
      <c r="G1122">
        <v>0</v>
      </c>
      <c r="H1122">
        <v>1.62</v>
      </c>
      <c r="I1122">
        <v>0</v>
      </c>
      <c r="J1122">
        <v>0</v>
      </c>
      <c r="K1122">
        <v>0</v>
      </c>
      <c r="L1122">
        <v>6.65</v>
      </c>
      <c r="M1122">
        <v>0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1</v>
      </c>
      <c r="W1122">
        <v>920</v>
      </c>
      <c r="Y1122">
        <v>0</v>
      </c>
      <c r="Z1122">
        <v>0</v>
      </c>
      <c r="AA1122">
        <v>1</v>
      </c>
      <c r="AB1122">
        <v>0</v>
      </c>
      <c r="AC1122">
        <v>1</v>
      </c>
      <c r="AD1122">
        <v>780</v>
      </c>
      <c r="AE1122">
        <v>1</v>
      </c>
      <c r="AF1122">
        <v>0</v>
      </c>
      <c r="AG1122">
        <v>1</v>
      </c>
      <c r="AH1122">
        <v>0</v>
      </c>
      <c r="AI1122">
        <v>1</v>
      </c>
      <c r="AJ1122">
        <v>560</v>
      </c>
      <c r="AK1122">
        <v>6</v>
      </c>
      <c r="AL1122">
        <v>0</v>
      </c>
      <c r="AM1122">
        <v>1</v>
      </c>
      <c r="AN1122">
        <v>0</v>
      </c>
      <c r="AO1122">
        <v>6.3480000000000008</v>
      </c>
      <c r="AP1122">
        <v>5</v>
      </c>
      <c r="AQ1122">
        <v>804.37700000000007</v>
      </c>
      <c r="AS1122">
        <v>1062.3</v>
      </c>
      <c r="AT1122">
        <v>1130.72</v>
      </c>
      <c r="AU1122">
        <v>13.8316</v>
      </c>
      <c r="AX1122" t="s">
        <v>108</v>
      </c>
    </row>
    <row r="1123" spans="1:50" x14ac:dyDescent="0.45">
      <c r="A1123">
        <v>11122</v>
      </c>
      <c r="B1123">
        <v>1</v>
      </c>
      <c r="C1123">
        <v>86.63</v>
      </c>
      <c r="D1123">
        <v>5</v>
      </c>
      <c r="E1123">
        <v>0</v>
      </c>
      <c r="F1123">
        <v>0</v>
      </c>
      <c r="G1123">
        <v>0</v>
      </c>
      <c r="H1123">
        <v>1.62</v>
      </c>
      <c r="I1123">
        <v>0</v>
      </c>
      <c r="J1123">
        <v>0</v>
      </c>
      <c r="K1123">
        <v>0</v>
      </c>
      <c r="L1123">
        <v>6.65</v>
      </c>
      <c r="M1123">
        <v>0</v>
      </c>
      <c r="N1123">
        <v>0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1</v>
      </c>
      <c r="W1123">
        <v>920</v>
      </c>
      <c r="Y1123">
        <v>0</v>
      </c>
      <c r="Z1123">
        <v>0</v>
      </c>
      <c r="AA1123">
        <v>1</v>
      </c>
      <c r="AB1123">
        <v>0</v>
      </c>
      <c r="AC1123">
        <v>1</v>
      </c>
      <c r="AD1123">
        <v>780</v>
      </c>
      <c r="AE1123">
        <v>1</v>
      </c>
      <c r="AF1123">
        <v>0</v>
      </c>
      <c r="AG1123">
        <v>1</v>
      </c>
      <c r="AH1123">
        <v>0</v>
      </c>
      <c r="AI1123">
        <v>1</v>
      </c>
      <c r="AJ1123">
        <v>560</v>
      </c>
      <c r="AK1123">
        <v>6</v>
      </c>
      <c r="AL1123">
        <v>0</v>
      </c>
      <c r="AM1123">
        <v>1</v>
      </c>
      <c r="AN1123">
        <v>0</v>
      </c>
      <c r="AO1123">
        <v>6.3480000000000008</v>
      </c>
      <c r="AP1123">
        <v>5</v>
      </c>
      <c r="AQ1123">
        <v>804.37700000000007</v>
      </c>
      <c r="AS1123">
        <v>1103.1600000000001</v>
      </c>
      <c r="AT1123">
        <v>1172.5899999999999</v>
      </c>
      <c r="AU1123">
        <v>9.5527300000000004</v>
      </c>
      <c r="AX1123" t="s">
        <v>108</v>
      </c>
    </row>
    <row r="1124" spans="1:50" x14ac:dyDescent="0.45">
      <c r="A1124">
        <v>11123</v>
      </c>
      <c r="B1124">
        <v>1</v>
      </c>
      <c r="C1124">
        <v>86.63</v>
      </c>
      <c r="D1124">
        <v>5</v>
      </c>
      <c r="E1124">
        <v>0</v>
      </c>
      <c r="F1124">
        <v>0</v>
      </c>
      <c r="G1124">
        <v>0</v>
      </c>
      <c r="H1124">
        <v>1.62</v>
      </c>
      <c r="I1124">
        <v>0</v>
      </c>
      <c r="J1124">
        <v>0</v>
      </c>
      <c r="K1124">
        <v>0</v>
      </c>
      <c r="L1124">
        <v>6.65</v>
      </c>
      <c r="M1124">
        <v>0</v>
      </c>
      <c r="N1124">
        <v>0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1</v>
      </c>
      <c r="W1124">
        <v>920</v>
      </c>
      <c r="Y1124">
        <v>0</v>
      </c>
      <c r="Z1124">
        <v>0</v>
      </c>
      <c r="AA1124">
        <v>1</v>
      </c>
      <c r="AB1124">
        <v>0</v>
      </c>
      <c r="AC1124">
        <v>1</v>
      </c>
      <c r="AD1124">
        <v>780</v>
      </c>
      <c r="AE1124">
        <v>1</v>
      </c>
      <c r="AF1124">
        <v>0</v>
      </c>
      <c r="AG1124">
        <v>1</v>
      </c>
      <c r="AH1124">
        <v>0</v>
      </c>
      <c r="AI1124">
        <v>1</v>
      </c>
      <c r="AJ1124">
        <v>560</v>
      </c>
      <c r="AK1124">
        <v>6</v>
      </c>
      <c r="AL1124">
        <v>0</v>
      </c>
      <c r="AM1124">
        <v>1</v>
      </c>
      <c r="AN1124">
        <v>0</v>
      </c>
      <c r="AO1124">
        <v>6.3480000000000008</v>
      </c>
      <c r="AP1124">
        <v>5</v>
      </c>
      <c r="AQ1124">
        <v>804.37700000000007</v>
      </c>
      <c r="AS1124">
        <v>1086.96</v>
      </c>
      <c r="AT1124">
        <v>1167.6300000000001</v>
      </c>
      <c r="AU1124">
        <v>10.009499999999999</v>
      </c>
      <c r="AX1124" t="s">
        <v>108</v>
      </c>
    </row>
    <row r="1125" spans="1:50" x14ac:dyDescent="0.45">
      <c r="A1125">
        <v>11124</v>
      </c>
      <c r="B1125">
        <v>1</v>
      </c>
      <c r="C1125">
        <v>86.63</v>
      </c>
      <c r="D1125">
        <v>5</v>
      </c>
      <c r="E1125">
        <v>0</v>
      </c>
      <c r="F1125">
        <v>0</v>
      </c>
      <c r="G1125">
        <v>0</v>
      </c>
      <c r="H1125">
        <v>1.62</v>
      </c>
      <c r="I1125">
        <v>0</v>
      </c>
      <c r="J1125">
        <v>0</v>
      </c>
      <c r="K1125">
        <v>0</v>
      </c>
      <c r="L1125">
        <v>6.65</v>
      </c>
      <c r="M1125">
        <v>0</v>
      </c>
      <c r="N1125">
        <v>0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1</v>
      </c>
      <c r="W1125">
        <v>950</v>
      </c>
      <c r="Y1125">
        <v>0</v>
      </c>
      <c r="Z1125">
        <v>0</v>
      </c>
      <c r="AA1125">
        <v>1</v>
      </c>
      <c r="AB1125">
        <v>0</v>
      </c>
      <c r="AC1125">
        <v>1</v>
      </c>
      <c r="AD1125">
        <v>780</v>
      </c>
      <c r="AE1125">
        <v>1</v>
      </c>
      <c r="AF1125">
        <v>0</v>
      </c>
      <c r="AG1125">
        <v>1</v>
      </c>
      <c r="AH1125">
        <v>0</v>
      </c>
      <c r="AI1125">
        <v>1</v>
      </c>
      <c r="AJ1125">
        <v>560</v>
      </c>
      <c r="AK1125">
        <v>6</v>
      </c>
      <c r="AL1125">
        <v>0</v>
      </c>
      <c r="AM1125">
        <v>1</v>
      </c>
      <c r="AN1125">
        <v>0</v>
      </c>
      <c r="AO1125">
        <v>6.3480000000000008</v>
      </c>
      <c r="AP1125">
        <v>5</v>
      </c>
      <c r="AQ1125">
        <v>804.37700000000007</v>
      </c>
      <c r="AS1125">
        <v>1090.98</v>
      </c>
      <c r="AT1125">
        <v>1147.24</v>
      </c>
      <c r="AU1125">
        <v>12.0158</v>
      </c>
      <c r="AX1125" t="s">
        <v>108</v>
      </c>
    </row>
    <row r="1126" spans="1:50" x14ac:dyDescent="0.45">
      <c r="A1126">
        <v>11125</v>
      </c>
      <c r="B1126">
        <v>1</v>
      </c>
      <c r="C1126">
        <v>86.63</v>
      </c>
      <c r="D1126">
        <v>5</v>
      </c>
      <c r="E1126">
        <v>0</v>
      </c>
      <c r="F1126">
        <v>0</v>
      </c>
      <c r="G1126">
        <v>0</v>
      </c>
      <c r="H1126">
        <v>1.62</v>
      </c>
      <c r="I1126">
        <v>0</v>
      </c>
      <c r="J1126">
        <v>0</v>
      </c>
      <c r="K1126">
        <v>0</v>
      </c>
      <c r="L1126">
        <v>6.65</v>
      </c>
      <c r="M1126">
        <v>0</v>
      </c>
      <c r="N1126">
        <v>0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1</v>
      </c>
      <c r="W1126">
        <v>950</v>
      </c>
      <c r="Y1126">
        <v>0</v>
      </c>
      <c r="Z1126">
        <v>0</v>
      </c>
      <c r="AA1126">
        <v>1</v>
      </c>
      <c r="AB1126">
        <v>0</v>
      </c>
      <c r="AC1126">
        <v>1</v>
      </c>
      <c r="AD1126">
        <v>780</v>
      </c>
      <c r="AE1126">
        <v>1</v>
      </c>
      <c r="AF1126">
        <v>0</v>
      </c>
      <c r="AG1126">
        <v>1</v>
      </c>
      <c r="AH1126">
        <v>0</v>
      </c>
      <c r="AI1126">
        <v>1</v>
      </c>
      <c r="AJ1126">
        <v>560</v>
      </c>
      <c r="AK1126">
        <v>6</v>
      </c>
      <c r="AL1126">
        <v>0</v>
      </c>
      <c r="AM1126">
        <v>1</v>
      </c>
      <c r="AN1126">
        <v>0</v>
      </c>
      <c r="AO1126">
        <v>6.3480000000000008</v>
      </c>
      <c r="AP1126">
        <v>5</v>
      </c>
      <c r="AQ1126">
        <v>804.37700000000007</v>
      </c>
      <c r="AS1126">
        <v>1126.51</v>
      </c>
      <c r="AT1126">
        <v>1186.3699999999999</v>
      </c>
      <c r="AU1126">
        <v>12.077500000000001</v>
      </c>
      <c r="AX1126" t="s">
        <v>108</v>
      </c>
    </row>
    <row r="1127" spans="1:50" x14ac:dyDescent="0.45">
      <c r="A1127">
        <v>11126</v>
      </c>
      <c r="B1127">
        <v>0</v>
      </c>
      <c r="C1127">
        <v>93.388000000000005</v>
      </c>
      <c r="D1127">
        <v>2.61</v>
      </c>
      <c r="E1127">
        <v>0</v>
      </c>
      <c r="F1127">
        <v>0</v>
      </c>
      <c r="G1127">
        <v>0</v>
      </c>
      <c r="H1127">
        <v>0</v>
      </c>
      <c r="I1127">
        <v>0</v>
      </c>
      <c r="J1127">
        <v>3.07</v>
      </c>
      <c r="K1127">
        <v>0.02</v>
      </c>
      <c r="L1127">
        <v>0.86</v>
      </c>
      <c r="M1127">
        <v>0</v>
      </c>
      <c r="N1127">
        <v>0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1</v>
      </c>
      <c r="Y1127">
        <v>0</v>
      </c>
      <c r="Z1127">
        <v>0</v>
      </c>
      <c r="AA1127">
        <v>1</v>
      </c>
      <c r="AB1127">
        <v>0</v>
      </c>
      <c r="AC1127">
        <v>1</v>
      </c>
      <c r="AD1127">
        <v>950</v>
      </c>
      <c r="AE1127">
        <v>1</v>
      </c>
      <c r="AI1127">
        <v>0</v>
      </c>
      <c r="AO1127">
        <v>-1.7443999999999997</v>
      </c>
      <c r="AP1127">
        <v>3.1216666666666666</v>
      </c>
      <c r="AQ1127">
        <v>858.12800000000004</v>
      </c>
      <c r="AW1127" t="s">
        <v>322</v>
      </c>
      <c r="AX1127" t="s">
        <v>188</v>
      </c>
    </row>
    <row r="1128" spans="1:50" x14ac:dyDescent="0.45">
      <c r="A1128">
        <v>11127</v>
      </c>
      <c r="B1128">
        <v>0</v>
      </c>
      <c r="C1128">
        <v>93.388000000000005</v>
      </c>
      <c r="D1128">
        <v>2.61</v>
      </c>
      <c r="E1128">
        <v>0</v>
      </c>
      <c r="F1128">
        <v>0</v>
      </c>
      <c r="G1128">
        <v>0</v>
      </c>
      <c r="H1128">
        <v>0</v>
      </c>
      <c r="I1128">
        <v>0</v>
      </c>
      <c r="J1128">
        <v>3.07</v>
      </c>
      <c r="K1128">
        <v>0.02</v>
      </c>
      <c r="L1128">
        <v>0.86</v>
      </c>
      <c r="M1128">
        <v>0</v>
      </c>
      <c r="N1128">
        <v>0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1</v>
      </c>
      <c r="Y1128">
        <v>0</v>
      </c>
      <c r="Z1128">
        <v>0</v>
      </c>
      <c r="AA1128">
        <v>1</v>
      </c>
      <c r="AB1128">
        <v>0</v>
      </c>
      <c r="AC1128">
        <v>1</v>
      </c>
      <c r="AD1128">
        <v>950</v>
      </c>
      <c r="AE1128">
        <v>1</v>
      </c>
      <c r="AI1128">
        <v>0</v>
      </c>
      <c r="AO1128">
        <v>-1.7443999999999997</v>
      </c>
      <c r="AP1128">
        <v>3.1216666666666666</v>
      </c>
      <c r="AQ1128">
        <v>858.12800000000004</v>
      </c>
      <c r="AW1128" t="s">
        <v>323</v>
      </c>
      <c r="AX1128" t="s">
        <v>188</v>
      </c>
    </row>
    <row r="1129" spans="1:50" x14ac:dyDescent="0.45">
      <c r="A1129">
        <v>11128</v>
      </c>
      <c r="B1129">
        <v>0</v>
      </c>
      <c r="C1129">
        <v>93.388000000000005</v>
      </c>
      <c r="D1129">
        <v>2.61</v>
      </c>
      <c r="E1129">
        <v>0</v>
      </c>
      <c r="F1129">
        <v>0</v>
      </c>
      <c r="G1129">
        <v>0</v>
      </c>
      <c r="H1129">
        <v>0</v>
      </c>
      <c r="I1129">
        <v>0</v>
      </c>
      <c r="J1129">
        <v>3.07</v>
      </c>
      <c r="K1129">
        <v>0.02</v>
      </c>
      <c r="L1129">
        <v>0.86</v>
      </c>
      <c r="M1129">
        <v>0</v>
      </c>
      <c r="N1129">
        <v>0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1</v>
      </c>
      <c r="Y1129">
        <v>0</v>
      </c>
      <c r="Z1129">
        <v>0</v>
      </c>
      <c r="AA1129">
        <v>1</v>
      </c>
      <c r="AB1129">
        <v>0</v>
      </c>
      <c r="AC1129">
        <v>1</v>
      </c>
      <c r="AD1129">
        <v>950</v>
      </c>
      <c r="AE1129">
        <v>1</v>
      </c>
      <c r="AI1129">
        <v>0</v>
      </c>
      <c r="AO1129">
        <v>-1.7443999999999997</v>
      </c>
      <c r="AP1129">
        <v>3.1216666666666666</v>
      </c>
      <c r="AQ1129">
        <v>858.12800000000004</v>
      </c>
      <c r="AW1129" t="s">
        <v>324</v>
      </c>
      <c r="AX1129" t="s">
        <v>188</v>
      </c>
    </row>
    <row r="1130" spans="1:50" x14ac:dyDescent="0.45">
      <c r="A1130">
        <v>11129</v>
      </c>
      <c r="B1130">
        <v>0</v>
      </c>
      <c r="C1130">
        <v>93.388000000000005</v>
      </c>
      <c r="D1130">
        <v>2.61</v>
      </c>
      <c r="E1130">
        <v>0</v>
      </c>
      <c r="F1130">
        <v>0</v>
      </c>
      <c r="G1130">
        <v>0</v>
      </c>
      <c r="H1130">
        <v>0</v>
      </c>
      <c r="I1130">
        <v>0</v>
      </c>
      <c r="J1130">
        <v>3.07</v>
      </c>
      <c r="K1130">
        <v>0.02</v>
      </c>
      <c r="L1130">
        <v>0.86</v>
      </c>
      <c r="M1130">
        <v>0</v>
      </c>
      <c r="N1130">
        <v>0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1</v>
      </c>
      <c r="Y1130">
        <v>0</v>
      </c>
      <c r="Z1130">
        <v>0</v>
      </c>
      <c r="AA1130">
        <v>1</v>
      </c>
      <c r="AB1130">
        <v>0</v>
      </c>
      <c r="AC1130">
        <v>1</v>
      </c>
      <c r="AD1130">
        <v>950</v>
      </c>
      <c r="AE1130">
        <v>1</v>
      </c>
      <c r="AI1130">
        <v>0</v>
      </c>
      <c r="AO1130">
        <v>-1.7443999999999997</v>
      </c>
      <c r="AP1130">
        <v>3.1216666666666666</v>
      </c>
      <c r="AQ1130">
        <v>858.12800000000004</v>
      </c>
      <c r="AW1130" t="s">
        <v>325</v>
      </c>
      <c r="AX1130" t="s">
        <v>188</v>
      </c>
    </row>
    <row r="1131" spans="1:50" x14ac:dyDescent="0.45">
      <c r="A1131">
        <v>11130</v>
      </c>
      <c r="B1131">
        <v>0</v>
      </c>
      <c r="C1131">
        <v>93.388000000000005</v>
      </c>
      <c r="D1131">
        <v>2.61</v>
      </c>
      <c r="E1131">
        <v>0</v>
      </c>
      <c r="F1131">
        <v>0</v>
      </c>
      <c r="G1131">
        <v>0</v>
      </c>
      <c r="H1131">
        <v>0</v>
      </c>
      <c r="I1131">
        <v>0</v>
      </c>
      <c r="J1131">
        <v>3.07</v>
      </c>
      <c r="K1131">
        <v>0.02</v>
      </c>
      <c r="L1131">
        <v>0.86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1</v>
      </c>
      <c r="Y1131">
        <v>0</v>
      </c>
      <c r="Z1131">
        <v>0</v>
      </c>
      <c r="AA1131">
        <v>1</v>
      </c>
      <c r="AB1131">
        <v>0</v>
      </c>
      <c r="AC1131">
        <v>1</v>
      </c>
      <c r="AD1131">
        <v>950</v>
      </c>
      <c r="AE1131">
        <v>1</v>
      </c>
      <c r="AI1131">
        <v>0</v>
      </c>
      <c r="AO1131">
        <v>-1.7443999999999997</v>
      </c>
      <c r="AP1131">
        <v>3.1216666666666666</v>
      </c>
      <c r="AQ1131">
        <v>858.12800000000004</v>
      </c>
      <c r="AW1131" t="s">
        <v>326</v>
      </c>
      <c r="AX1131" t="s">
        <v>188</v>
      </c>
    </row>
    <row r="1132" spans="1:50" x14ac:dyDescent="0.45">
      <c r="A1132">
        <v>11131</v>
      </c>
      <c r="B1132">
        <v>1</v>
      </c>
      <c r="C1132">
        <v>87.93</v>
      </c>
      <c r="D1132">
        <v>6.13</v>
      </c>
      <c r="E1132">
        <v>0</v>
      </c>
      <c r="F1132">
        <v>0</v>
      </c>
      <c r="G1132">
        <v>0</v>
      </c>
      <c r="H1132">
        <v>0</v>
      </c>
      <c r="I1132">
        <v>0</v>
      </c>
      <c r="J1132">
        <v>1.95</v>
      </c>
      <c r="K1132">
        <v>3.02</v>
      </c>
      <c r="L1132">
        <v>0.97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1</v>
      </c>
      <c r="W1132">
        <v>940</v>
      </c>
      <c r="X1132">
        <v>80</v>
      </c>
      <c r="Y1132">
        <v>0</v>
      </c>
      <c r="Z1132">
        <v>0</v>
      </c>
      <c r="AA1132">
        <v>1</v>
      </c>
      <c r="AB1132">
        <v>0</v>
      </c>
      <c r="AC1132">
        <v>1</v>
      </c>
      <c r="AD1132">
        <v>900</v>
      </c>
      <c r="AE1132">
        <v>1.5</v>
      </c>
      <c r="AF1132">
        <v>0</v>
      </c>
      <c r="AG1132">
        <v>1</v>
      </c>
      <c r="AH1132">
        <v>0</v>
      </c>
      <c r="AI1132">
        <v>0</v>
      </c>
      <c r="AO1132">
        <v>-4.3144</v>
      </c>
      <c r="AP1132">
        <v>6.4550000000000001</v>
      </c>
      <c r="AQ1132">
        <v>872.20299999999997</v>
      </c>
      <c r="AS1132">
        <v>782.3</v>
      </c>
      <c r="AT1132">
        <v>931.90700000000004</v>
      </c>
      <c r="AU1132">
        <v>14.5983</v>
      </c>
      <c r="AW1132" t="s">
        <v>327</v>
      </c>
      <c r="AX1132" t="s">
        <v>108</v>
      </c>
    </row>
    <row r="1133" spans="1:50" x14ac:dyDescent="0.45">
      <c r="A1133">
        <v>11132</v>
      </c>
      <c r="B1133">
        <v>1</v>
      </c>
      <c r="C1133">
        <v>87.93</v>
      </c>
      <c r="D1133">
        <v>6.13</v>
      </c>
      <c r="E1133">
        <v>0</v>
      </c>
      <c r="F1133">
        <v>0</v>
      </c>
      <c r="G1133">
        <v>0</v>
      </c>
      <c r="H1133">
        <v>0</v>
      </c>
      <c r="I1133">
        <v>0</v>
      </c>
      <c r="J1133">
        <v>1.95</v>
      </c>
      <c r="K1133">
        <v>3.02</v>
      </c>
      <c r="L1133">
        <v>0.97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1</v>
      </c>
      <c r="W1133">
        <v>940</v>
      </c>
      <c r="X1133">
        <v>70</v>
      </c>
      <c r="Y1133">
        <v>0</v>
      </c>
      <c r="Z1133">
        <v>0</v>
      </c>
      <c r="AA1133">
        <v>1</v>
      </c>
      <c r="AB1133">
        <v>0</v>
      </c>
      <c r="AC1133">
        <v>1</v>
      </c>
      <c r="AD1133">
        <v>900</v>
      </c>
      <c r="AE1133">
        <v>1.5</v>
      </c>
      <c r="AF1133">
        <v>0</v>
      </c>
      <c r="AG1133">
        <v>1</v>
      </c>
      <c r="AH1133">
        <v>0</v>
      </c>
      <c r="AI1133">
        <v>0</v>
      </c>
      <c r="AO1133">
        <v>-4.3144</v>
      </c>
      <c r="AP1133">
        <v>6.4550000000000001</v>
      </c>
      <c r="AQ1133">
        <v>872.20299999999997</v>
      </c>
      <c r="AS1133">
        <v>783.63800000000003</v>
      </c>
      <c r="AT1133">
        <v>901.572</v>
      </c>
      <c r="AU1133">
        <v>18.001799999999999</v>
      </c>
      <c r="AW1133" t="s">
        <v>328</v>
      </c>
      <c r="AX1133" t="s">
        <v>108</v>
      </c>
    </row>
    <row r="1134" spans="1:50" x14ac:dyDescent="0.45">
      <c r="A1134">
        <v>11133</v>
      </c>
      <c r="B1134">
        <v>1</v>
      </c>
      <c r="C1134">
        <v>87.93</v>
      </c>
      <c r="D1134">
        <v>6.13</v>
      </c>
      <c r="E1134">
        <v>0</v>
      </c>
      <c r="F1134">
        <v>0</v>
      </c>
      <c r="G1134">
        <v>0</v>
      </c>
      <c r="H1134">
        <v>0</v>
      </c>
      <c r="I1134">
        <v>0</v>
      </c>
      <c r="J1134">
        <v>1.95</v>
      </c>
      <c r="K1134">
        <v>3.02</v>
      </c>
      <c r="L1134">
        <v>0.97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1</v>
      </c>
      <c r="W1134">
        <v>940</v>
      </c>
      <c r="X1134">
        <v>70</v>
      </c>
      <c r="Y1134">
        <v>0</v>
      </c>
      <c r="Z1134">
        <v>0</v>
      </c>
      <c r="AA1134">
        <v>1</v>
      </c>
      <c r="AB1134">
        <v>0</v>
      </c>
      <c r="AC1134">
        <v>1</v>
      </c>
      <c r="AD1134">
        <v>800</v>
      </c>
      <c r="AE1134">
        <v>1.5</v>
      </c>
      <c r="AF1134">
        <v>0</v>
      </c>
      <c r="AG1134">
        <v>1</v>
      </c>
      <c r="AH1134">
        <v>0</v>
      </c>
      <c r="AI1134">
        <v>0</v>
      </c>
      <c r="AO1134">
        <v>-4.3144</v>
      </c>
      <c r="AP1134">
        <v>6.4550000000000001</v>
      </c>
      <c r="AQ1134">
        <v>872.20299999999997</v>
      </c>
      <c r="AS1134">
        <v>795.87599999999998</v>
      </c>
      <c r="AT1134">
        <v>919.58799999999997</v>
      </c>
      <c r="AU1134">
        <v>15.9739</v>
      </c>
      <c r="AW1134" t="s">
        <v>329</v>
      </c>
      <c r="AX1134" t="s">
        <v>108</v>
      </c>
    </row>
    <row r="1135" spans="1:50" x14ac:dyDescent="0.45">
      <c r="A1135">
        <v>11134</v>
      </c>
      <c r="B1135">
        <v>1</v>
      </c>
      <c r="C1135">
        <v>87.93</v>
      </c>
      <c r="D1135">
        <v>6.13</v>
      </c>
      <c r="E1135">
        <v>0</v>
      </c>
      <c r="F1135">
        <v>0</v>
      </c>
      <c r="G1135">
        <v>0</v>
      </c>
      <c r="H1135">
        <v>0</v>
      </c>
      <c r="I1135">
        <v>0</v>
      </c>
      <c r="J1135">
        <v>1.95</v>
      </c>
      <c r="K1135">
        <v>3.02</v>
      </c>
      <c r="L1135">
        <v>0.97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1</v>
      </c>
      <c r="W1135">
        <v>940</v>
      </c>
      <c r="X1135">
        <v>70</v>
      </c>
      <c r="Y1135">
        <v>0</v>
      </c>
      <c r="Z1135">
        <v>0</v>
      </c>
      <c r="AA1135">
        <v>1</v>
      </c>
      <c r="AB1135">
        <v>0</v>
      </c>
      <c r="AC1135">
        <v>1</v>
      </c>
      <c r="AD1135">
        <v>960</v>
      </c>
      <c r="AE1135">
        <v>1.5</v>
      </c>
      <c r="AF1135">
        <v>0</v>
      </c>
      <c r="AG1135">
        <v>1</v>
      </c>
      <c r="AH1135">
        <v>0</v>
      </c>
      <c r="AI1135">
        <v>0</v>
      </c>
      <c r="AO1135">
        <v>-4.3144</v>
      </c>
      <c r="AP1135">
        <v>6.4550000000000001</v>
      </c>
      <c r="AQ1135">
        <v>872.20299999999997</v>
      </c>
      <c r="AS1135">
        <v>744.33</v>
      </c>
      <c r="AT1135">
        <v>880.41200000000003</v>
      </c>
      <c r="AU1135">
        <v>17.083200000000001</v>
      </c>
      <c r="AW1135" t="s">
        <v>330</v>
      </c>
      <c r="AX1135" t="s">
        <v>108</v>
      </c>
    </row>
    <row r="1136" spans="1:50" x14ac:dyDescent="0.45">
      <c r="A1136">
        <v>11135</v>
      </c>
      <c r="B1136">
        <v>1</v>
      </c>
      <c r="C1136">
        <v>87.93</v>
      </c>
      <c r="D1136">
        <v>6.13</v>
      </c>
      <c r="E1136">
        <v>0</v>
      </c>
      <c r="F1136">
        <v>0</v>
      </c>
      <c r="G1136">
        <v>0</v>
      </c>
      <c r="H1136">
        <v>0</v>
      </c>
      <c r="I1136">
        <v>0</v>
      </c>
      <c r="J1136">
        <v>1.95</v>
      </c>
      <c r="K1136">
        <v>3.02</v>
      </c>
      <c r="L1136">
        <v>0.97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1</v>
      </c>
      <c r="W1136">
        <v>940</v>
      </c>
      <c r="X1136">
        <v>70</v>
      </c>
      <c r="Y1136">
        <v>0</v>
      </c>
      <c r="Z1136">
        <v>0</v>
      </c>
      <c r="AA1136">
        <v>1</v>
      </c>
      <c r="AB1136">
        <v>0</v>
      </c>
      <c r="AC1136">
        <v>1</v>
      </c>
      <c r="AD1136">
        <v>1020</v>
      </c>
      <c r="AE1136">
        <v>1.5</v>
      </c>
      <c r="AF1136">
        <v>0</v>
      </c>
      <c r="AG1136">
        <v>1</v>
      </c>
      <c r="AH1136">
        <v>0</v>
      </c>
      <c r="AI1136">
        <v>0</v>
      </c>
      <c r="AO1136">
        <v>-4.3144</v>
      </c>
      <c r="AP1136">
        <v>6.4550000000000001</v>
      </c>
      <c r="AQ1136">
        <v>872.20299999999997</v>
      </c>
      <c r="AS1136">
        <v>777.32</v>
      </c>
      <c r="AT1136">
        <v>880.41200000000003</v>
      </c>
      <c r="AU1136">
        <v>10.9894</v>
      </c>
      <c r="AW1136" t="s">
        <v>331</v>
      </c>
      <c r="AX1136" t="s">
        <v>108</v>
      </c>
    </row>
    <row r="1137" spans="1:50" x14ac:dyDescent="0.45">
      <c r="A1137">
        <v>11136</v>
      </c>
      <c r="B1137">
        <v>1</v>
      </c>
      <c r="C1137">
        <v>87.93</v>
      </c>
      <c r="D1137">
        <v>6.13</v>
      </c>
      <c r="E1137">
        <v>0</v>
      </c>
      <c r="F1137">
        <v>0</v>
      </c>
      <c r="G1137">
        <v>0</v>
      </c>
      <c r="H1137">
        <v>0</v>
      </c>
      <c r="I1137">
        <v>0</v>
      </c>
      <c r="J1137">
        <v>1.95</v>
      </c>
      <c r="K1137">
        <v>3.02</v>
      </c>
      <c r="L1137">
        <v>0.97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1</v>
      </c>
      <c r="W1137">
        <v>940</v>
      </c>
      <c r="X1137">
        <v>70</v>
      </c>
      <c r="Y1137">
        <v>0</v>
      </c>
      <c r="Z1137">
        <v>0</v>
      </c>
      <c r="AA1137">
        <v>1</v>
      </c>
      <c r="AB1137">
        <v>0</v>
      </c>
      <c r="AC1137">
        <v>1</v>
      </c>
      <c r="AD1137">
        <v>970</v>
      </c>
      <c r="AE1137">
        <v>1.5</v>
      </c>
      <c r="AF1137">
        <v>0</v>
      </c>
      <c r="AG1137">
        <v>1</v>
      </c>
      <c r="AH1137">
        <v>0</v>
      </c>
      <c r="AI1137">
        <v>0</v>
      </c>
      <c r="AO1137">
        <v>-4.3144</v>
      </c>
      <c r="AP1137">
        <v>6.4550000000000001</v>
      </c>
      <c r="AQ1137">
        <v>872.20299999999997</v>
      </c>
      <c r="AS1137">
        <v>793.81399999999996</v>
      </c>
      <c r="AT1137">
        <v>903.09299999999996</v>
      </c>
      <c r="AU1137">
        <v>18.148900000000001</v>
      </c>
      <c r="AW1137" t="s">
        <v>332</v>
      </c>
      <c r="AX1137" t="s">
        <v>108</v>
      </c>
    </row>
    <row r="1138" spans="1:50" x14ac:dyDescent="0.45">
      <c r="A1138">
        <v>11137</v>
      </c>
      <c r="B1138">
        <v>1</v>
      </c>
      <c r="C1138">
        <v>87.93</v>
      </c>
      <c r="D1138">
        <v>6.13</v>
      </c>
      <c r="E1138">
        <v>0</v>
      </c>
      <c r="F1138">
        <v>0</v>
      </c>
      <c r="G1138">
        <v>0</v>
      </c>
      <c r="H1138">
        <v>0</v>
      </c>
      <c r="I1138">
        <v>0</v>
      </c>
      <c r="J1138">
        <v>1.95</v>
      </c>
      <c r="K1138">
        <v>3.02</v>
      </c>
      <c r="L1138">
        <v>0.97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0</v>
      </c>
      <c r="S1138">
        <v>0</v>
      </c>
      <c r="T1138">
        <v>0</v>
      </c>
      <c r="U1138">
        <v>0</v>
      </c>
      <c r="V1138">
        <v>1</v>
      </c>
      <c r="W1138">
        <v>940</v>
      </c>
      <c r="X1138">
        <v>70</v>
      </c>
      <c r="Y1138">
        <v>0</v>
      </c>
      <c r="Z1138">
        <v>0</v>
      </c>
      <c r="AA1138">
        <v>1</v>
      </c>
      <c r="AB1138">
        <v>0</v>
      </c>
      <c r="AC1138">
        <v>1</v>
      </c>
      <c r="AD1138">
        <v>970</v>
      </c>
      <c r="AE1138">
        <v>1.5</v>
      </c>
      <c r="AF1138">
        <v>1</v>
      </c>
      <c r="AG1138">
        <v>0</v>
      </c>
      <c r="AH1138">
        <v>0</v>
      </c>
      <c r="AI1138">
        <v>1</v>
      </c>
      <c r="AJ1138">
        <v>600</v>
      </c>
      <c r="AK1138">
        <v>4</v>
      </c>
      <c r="AL1138">
        <v>0</v>
      </c>
      <c r="AM1138">
        <v>1</v>
      </c>
      <c r="AN1138">
        <v>0</v>
      </c>
      <c r="AO1138">
        <v>-4.3144</v>
      </c>
      <c r="AP1138">
        <v>6.4550000000000001</v>
      </c>
      <c r="AQ1138">
        <v>872.20299999999997</v>
      </c>
      <c r="AS1138">
        <v>859.79399999999998</v>
      </c>
      <c r="AT1138">
        <v>983.505</v>
      </c>
      <c r="AU1138">
        <v>16.833200000000001</v>
      </c>
      <c r="AW1138" t="s">
        <v>333</v>
      </c>
      <c r="AX1138" t="s">
        <v>108</v>
      </c>
    </row>
    <row r="1139" spans="1:50" x14ac:dyDescent="0.45">
      <c r="A1139">
        <v>11138</v>
      </c>
      <c r="B1139">
        <v>1</v>
      </c>
      <c r="C1139">
        <v>87.93</v>
      </c>
      <c r="D1139">
        <v>6.13</v>
      </c>
      <c r="E1139">
        <v>0</v>
      </c>
      <c r="F1139">
        <v>0</v>
      </c>
      <c r="G1139">
        <v>0</v>
      </c>
      <c r="H1139">
        <v>0</v>
      </c>
      <c r="I1139">
        <v>0</v>
      </c>
      <c r="J1139">
        <v>1.95</v>
      </c>
      <c r="K1139">
        <v>3.02</v>
      </c>
      <c r="L1139">
        <v>0.97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  <c r="V1139">
        <v>1</v>
      </c>
      <c r="W1139">
        <v>940</v>
      </c>
      <c r="X1139">
        <v>60</v>
      </c>
      <c r="Y1139">
        <v>0</v>
      </c>
      <c r="Z1139">
        <v>0</v>
      </c>
      <c r="AA1139">
        <v>1</v>
      </c>
      <c r="AB1139">
        <v>0</v>
      </c>
      <c r="AC1139">
        <v>1</v>
      </c>
      <c r="AD1139">
        <v>900</v>
      </c>
      <c r="AE1139">
        <v>1.5</v>
      </c>
      <c r="AF1139">
        <v>0</v>
      </c>
      <c r="AG1139">
        <v>1</v>
      </c>
      <c r="AH1139">
        <v>0</v>
      </c>
      <c r="AI1139">
        <v>0</v>
      </c>
      <c r="AO1139">
        <v>-4.3144</v>
      </c>
      <c r="AP1139">
        <v>6.4550000000000001</v>
      </c>
      <c r="AQ1139">
        <v>872.20299999999997</v>
      </c>
      <c r="AS1139">
        <v>777.18299999999999</v>
      </c>
      <c r="AT1139">
        <v>899.50099999999998</v>
      </c>
      <c r="AU1139">
        <v>17.545300000000001</v>
      </c>
      <c r="AW1139" t="s">
        <v>334</v>
      </c>
      <c r="AX1139" t="s">
        <v>108</v>
      </c>
    </row>
    <row r="1140" spans="1:50" x14ac:dyDescent="0.45">
      <c r="A1140">
        <v>11139</v>
      </c>
      <c r="B1140">
        <v>1</v>
      </c>
      <c r="C1140">
        <v>87.93</v>
      </c>
      <c r="D1140">
        <v>6.13</v>
      </c>
      <c r="E1140">
        <v>0</v>
      </c>
      <c r="F1140">
        <v>0</v>
      </c>
      <c r="G1140">
        <v>0</v>
      </c>
      <c r="H1140">
        <v>0</v>
      </c>
      <c r="I1140">
        <v>0</v>
      </c>
      <c r="J1140">
        <v>1.95</v>
      </c>
      <c r="K1140">
        <v>3.02</v>
      </c>
      <c r="L1140">
        <v>0.97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0</v>
      </c>
      <c r="S1140">
        <v>0</v>
      </c>
      <c r="T1140">
        <v>0</v>
      </c>
      <c r="U1140">
        <v>0</v>
      </c>
      <c r="V1140">
        <v>1</v>
      </c>
      <c r="W1140">
        <v>940</v>
      </c>
      <c r="X1140">
        <v>50</v>
      </c>
      <c r="Y1140">
        <v>0</v>
      </c>
      <c r="Z1140">
        <v>0</v>
      </c>
      <c r="AA1140">
        <v>1</v>
      </c>
      <c r="AB1140">
        <v>0</v>
      </c>
      <c r="AC1140">
        <v>1</v>
      </c>
      <c r="AD1140">
        <v>900</v>
      </c>
      <c r="AE1140">
        <v>1.5</v>
      </c>
      <c r="AF1140">
        <v>0</v>
      </c>
      <c r="AG1140">
        <v>1</v>
      </c>
      <c r="AH1140">
        <v>0</v>
      </c>
      <c r="AI1140">
        <v>0</v>
      </c>
      <c r="AO1140">
        <v>-4.3144</v>
      </c>
      <c r="AP1140">
        <v>6.4550000000000001</v>
      </c>
      <c r="AQ1140">
        <v>872.20299999999997</v>
      </c>
      <c r="AS1140">
        <v>770.72400000000005</v>
      </c>
      <c r="AT1140">
        <v>887.19500000000005</v>
      </c>
      <c r="AU1140">
        <v>16.174199999999999</v>
      </c>
      <c r="AX1140" t="s">
        <v>108</v>
      </c>
    </row>
    <row r="1141" spans="1:50" x14ac:dyDescent="0.45">
      <c r="A1141">
        <v>11140</v>
      </c>
      <c r="B1141">
        <v>1</v>
      </c>
      <c r="C1141">
        <v>86.2</v>
      </c>
      <c r="D1141">
        <v>6</v>
      </c>
      <c r="E1141">
        <v>0.5</v>
      </c>
      <c r="F1141">
        <v>0</v>
      </c>
      <c r="G1141">
        <v>0</v>
      </c>
      <c r="H1141">
        <v>0</v>
      </c>
      <c r="I1141">
        <v>0</v>
      </c>
      <c r="J1141">
        <v>0</v>
      </c>
      <c r="K1141">
        <v>0</v>
      </c>
      <c r="L1141">
        <v>5</v>
      </c>
      <c r="M1141">
        <v>2</v>
      </c>
      <c r="N1141">
        <v>0</v>
      </c>
      <c r="O1141">
        <v>0</v>
      </c>
      <c r="P1141">
        <v>0</v>
      </c>
      <c r="Q1141">
        <v>0</v>
      </c>
      <c r="R1141">
        <v>0</v>
      </c>
      <c r="S1141">
        <v>0</v>
      </c>
      <c r="T1141">
        <v>0</v>
      </c>
      <c r="U1141">
        <v>0</v>
      </c>
      <c r="V1141">
        <v>1</v>
      </c>
      <c r="Y1141">
        <v>0</v>
      </c>
      <c r="Z1141">
        <v>0</v>
      </c>
      <c r="AA1141">
        <v>1</v>
      </c>
      <c r="AB1141">
        <v>0</v>
      </c>
      <c r="AC1141">
        <v>1</v>
      </c>
      <c r="AD1141">
        <v>990</v>
      </c>
      <c r="AE1141">
        <v>1</v>
      </c>
      <c r="AF1141">
        <v>0</v>
      </c>
      <c r="AG1141">
        <v>0</v>
      </c>
      <c r="AH1141">
        <v>1</v>
      </c>
      <c r="AI1141">
        <v>1</v>
      </c>
      <c r="AJ1141">
        <v>700</v>
      </c>
      <c r="AK1141">
        <v>2</v>
      </c>
      <c r="AL1141">
        <v>0</v>
      </c>
      <c r="AM1141">
        <v>1</v>
      </c>
      <c r="AN1141">
        <v>0</v>
      </c>
      <c r="AO1141">
        <v>-0.66500000000000004</v>
      </c>
      <c r="AP1141">
        <v>6.666666666666667</v>
      </c>
      <c r="AQ1141">
        <v>849.6</v>
      </c>
      <c r="AS1141">
        <v>927</v>
      </c>
      <c r="AT1141">
        <v>1125</v>
      </c>
      <c r="AU1141">
        <v>12.5</v>
      </c>
      <c r="AX1141" t="s">
        <v>189</v>
      </c>
    </row>
    <row r="1142" spans="1:50" x14ac:dyDescent="0.45">
      <c r="A1142">
        <v>11141</v>
      </c>
      <c r="B1142">
        <v>1</v>
      </c>
      <c r="C1142">
        <v>86.2</v>
      </c>
      <c r="D1142">
        <v>6</v>
      </c>
      <c r="E1142">
        <v>0.5</v>
      </c>
      <c r="F1142">
        <v>0</v>
      </c>
      <c r="G1142">
        <v>0</v>
      </c>
      <c r="H1142">
        <v>0</v>
      </c>
      <c r="I1142">
        <v>0</v>
      </c>
      <c r="J1142">
        <v>0</v>
      </c>
      <c r="K1142">
        <v>0</v>
      </c>
      <c r="L1142">
        <v>5</v>
      </c>
      <c r="M1142">
        <v>2</v>
      </c>
      <c r="N1142">
        <v>0</v>
      </c>
      <c r="O1142">
        <v>0</v>
      </c>
      <c r="P1142">
        <v>0</v>
      </c>
      <c r="Q1142">
        <v>0</v>
      </c>
      <c r="R1142">
        <v>0</v>
      </c>
      <c r="S1142">
        <v>0</v>
      </c>
      <c r="T1142">
        <v>0</v>
      </c>
      <c r="U1142">
        <v>0</v>
      </c>
      <c r="V1142">
        <v>1</v>
      </c>
      <c r="Y1142">
        <v>0</v>
      </c>
      <c r="Z1142">
        <v>0</v>
      </c>
      <c r="AA1142">
        <v>1</v>
      </c>
      <c r="AB1142">
        <v>0</v>
      </c>
      <c r="AC1142">
        <v>1</v>
      </c>
      <c r="AD1142">
        <v>600</v>
      </c>
      <c r="AE1142">
        <v>2</v>
      </c>
      <c r="AF1142">
        <v>0</v>
      </c>
      <c r="AG1142">
        <v>1</v>
      </c>
      <c r="AH1142">
        <v>0</v>
      </c>
      <c r="AI1142">
        <v>0</v>
      </c>
      <c r="AO1142">
        <v>-0.66500000000000004</v>
      </c>
      <c r="AP1142">
        <v>6.666666666666667</v>
      </c>
      <c r="AQ1142">
        <v>849.6</v>
      </c>
      <c r="AS1142">
        <v>1060</v>
      </c>
      <c r="AT1142">
        <v>1231</v>
      </c>
      <c r="AU1142">
        <v>19.3</v>
      </c>
      <c r="AX1142" t="s">
        <v>189</v>
      </c>
    </row>
    <row r="1143" spans="1:50" x14ac:dyDescent="0.45">
      <c r="A1143">
        <v>11142</v>
      </c>
      <c r="B1143">
        <v>1</v>
      </c>
      <c r="C1143">
        <v>86.2</v>
      </c>
      <c r="D1143">
        <v>6</v>
      </c>
      <c r="E1143">
        <v>0.5</v>
      </c>
      <c r="F1143">
        <v>0</v>
      </c>
      <c r="G1143">
        <v>0</v>
      </c>
      <c r="H1143">
        <v>0</v>
      </c>
      <c r="I1143">
        <v>0</v>
      </c>
      <c r="J1143">
        <v>0</v>
      </c>
      <c r="K1143">
        <v>0</v>
      </c>
      <c r="L1143">
        <v>5</v>
      </c>
      <c r="M1143">
        <v>2</v>
      </c>
      <c r="N1143">
        <v>0</v>
      </c>
      <c r="O1143">
        <v>0</v>
      </c>
      <c r="P1143">
        <v>0</v>
      </c>
      <c r="Q1143">
        <v>0</v>
      </c>
      <c r="R1143">
        <v>0</v>
      </c>
      <c r="S1143">
        <v>0</v>
      </c>
      <c r="T1143">
        <v>0</v>
      </c>
      <c r="U1143">
        <v>0</v>
      </c>
      <c r="V1143">
        <v>1</v>
      </c>
      <c r="Y1143">
        <v>0</v>
      </c>
      <c r="Z1143">
        <v>0</v>
      </c>
      <c r="AA1143">
        <v>1</v>
      </c>
      <c r="AB1143">
        <v>0</v>
      </c>
      <c r="AC1143">
        <v>1</v>
      </c>
      <c r="AD1143">
        <v>955</v>
      </c>
      <c r="AE1143">
        <v>1</v>
      </c>
      <c r="AF1143">
        <v>1</v>
      </c>
      <c r="AG1143">
        <v>0</v>
      </c>
      <c r="AH1143">
        <v>0</v>
      </c>
      <c r="AI1143">
        <v>1</v>
      </c>
      <c r="AJ1143">
        <v>910</v>
      </c>
      <c r="AK1143">
        <v>1</v>
      </c>
      <c r="AL1143">
        <v>0</v>
      </c>
      <c r="AM1143">
        <v>1</v>
      </c>
      <c r="AN1143">
        <v>0</v>
      </c>
      <c r="AO1143">
        <v>-0.66500000000000004</v>
      </c>
      <c r="AP1143">
        <v>6.666666666666667</v>
      </c>
      <c r="AQ1143">
        <v>849.6</v>
      </c>
      <c r="AS1143">
        <v>1055</v>
      </c>
      <c r="AT1143">
        <v>1197</v>
      </c>
      <c r="AU1143">
        <v>14.9</v>
      </c>
      <c r="AX1143" t="s">
        <v>189</v>
      </c>
    </row>
    <row r="1144" spans="1:50" x14ac:dyDescent="0.45">
      <c r="A1144">
        <v>11143</v>
      </c>
      <c r="B1144">
        <v>0</v>
      </c>
      <c r="C1144">
        <v>86.7</v>
      </c>
      <c r="D1144">
        <v>4.8</v>
      </c>
      <c r="E1144">
        <v>0</v>
      </c>
      <c r="F1144">
        <v>0</v>
      </c>
      <c r="G1144">
        <v>0</v>
      </c>
      <c r="H1144">
        <v>0</v>
      </c>
      <c r="I1144">
        <v>0</v>
      </c>
      <c r="J1144">
        <v>4.2</v>
      </c>
      <c r="K1144">
        <v>0</v>
      </c>
      <c r="L1144">
        <v>2</v>
      </c>
      <c r="M1144">
        <v>2.2999999999999998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1</v>
      </c>
      <c r="X1144">
        <v>50</v>
      </c>
      <c r="Y1144">
        <v>0</v>
      </c>
      <c r="Z1144">
        <v>0</v>
      </c>
      <c r="AA1144">
        <v>1</v>
      </c>
      <c r="AB1144">
        <v>0</v>
      </c>
      <c r="AC1144">
        <v>1</v>
      </c>
      <c r="AD1144">
        <v>950</v>
      </c>
      <c r="AE1144">
        <v>1</v>
      </c>
      <c r="AF1144">
        <v>0</v>
      </c>
      <c r="AG1144">
        <v>1</v>
      </c>
      <c r="AH1144">
        <v>0</v>
      </c>
      <c r="AI1144">
        <v>1</v>
      </c>
      <c r="AJ1144">
        <v>590</v>
      </c>
      <c r="AK1144">
        <v>8</v>
      </c>
      <c r="AL1144">
        <v>0</v>
      </c>
      <c r="AM1144">
        <v>1</v>
      </c>
      <c r="AN1144">
        <v>0</v>
      </c>
      <c r="AO1144">
        <v>-2.8</v>
      </c>
      <c r="AP1144">
        <v>6.2666666666666666</v>
      </c>
      <c r="AQ1144">
        <v>853.76</v>
      </c>
      <c r="AX1144" t="s">
        <v>190</v>
      </c>
    </row>
    <row r="1145" spans="1:50" x14ac:dyDescent="0.45">
      <c r="A1145">
        <v>11144</v>
      </c>
      <c r="B1145">
        <v>0</v>
      </c>
      <c r="C1145">
        <v>85.8</v>
      </c>
      <c r="D1145">
        <v>4.8</v>
      </c>
      <c r="E1145">
        <v>0</v>
      </c>
      <c r="F1145">
        <v>0</v>
      </c>
      <c r="G1145">
        <v>0</v>
      </c>
      <c r="H1145">
        <v>0</v>
      </c>
      <c r="I1145">
        <v>0</v>
      </c>
      <c r="J1145">
        <v>4.0999999999999996</v>
      </c>
      <c r="K1145">
        <v>0</v>
      </c>
      <c r="L1145">
        <v>2</v>
      </c>
      <c r="M1145">
        <v>2.2000000000000002</v>
      </c>
      <c r="N1145">
        <v>0</v>
      </c>
      <c r="O1145">
        <v>0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1</v>
      </c>
      <c r="X1145">
        <v>50</v>
      </c>
      <c r="Y1145">
        <v>0</v>
      </c>
      <c r="Z1145">
        <v>0</v>
      </c>
      <c r="AA1145">
        <v>1</v>
      </c>
      <c r="AB1145">
        <v>0</v>
      </c>
      <c r="AC1145">
        <v>1</v>
      </c>
      <c r="AD1145">
        <v>950</v>
      </c>
      <c r="AE1145">
        <v>1</v>
      </c>
      <c r="AF1145">
        <v>0</v>
      </c>
      <c r="AG1145">
        <v>1</v>
      </c>
      <c r="AH1145">
        <v>0</v>
      </c>
      <c r="AI1145">
        <v>1</v>
      </c>
      <c r="AJ1145">
        <v>590</v>
      </c>
      <c r="AK1145">
        <v>8</v>
      </c>
      <c r="AL1145">
        <v>0</v>
      </c>
      <c r="AM1145">
        <v>1</v>
      </c>
      <c r="AN1145">
        <v>0</v>
      </c>
      <c r="AO1145">
        <v>-2.8</v>
      </c>
      <c r="AP1145">
        <v>6.2166666666666668</v>
      </c>
      <c r="AQ1145">
        <v>854.03000000000009</v>
      </c>
      <c r="AX1145" t="s">
        <v>190</v>
      </c>
    </row>
    <row r="1146" spans="1:50" x14ac:dyDescent="0.45">
      <c r="A1146">
        <v>11145</v>
      </c>
      <c r="B1146">
        <v>0</v>
      </c>
      <c r="C1146">
        <v>82.4</v>
      </c>
      <c r="D1146">
        <v>5</v>
      </c>
      <c r="E1146">
        <v>0</v>
      </c>
      <c r="F1146">
        <v>0</v>
      </c>
      <c r="G1146">
        <v>0</v>
      </c>
      <c r="H1146">
        <v>0</v>
      </c>
      <c r="I1146">
        <v>0</v>
      </c>
      <c r="J1146">
        <v>4</v>
      </c>
      <c r="K1146">
        <v>0</v>
      </c>
      <c r="L1146">
        <v>2.1</v>
      </c>
      <c r="M1146">
        <v>2.4</v>
      </c>
      <c r="N1146">
        <v>0</v>
      </c>
      <c r="O1146">
        <v>0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1</v>
      </c>
      <c r="X1146">
        <v>50</v>
      </c>
      <c r="Y1146">
        <v>0</v>
      </c>
      <c r="Z1146">
        <v>0</v>
      </c>
      <c r="AA1146">
        <v>1</v>
      </c>
      <c r="AB1146">
        <v>0</v>
      </c>
      <c r="AC1146">
        <v>1</v>
      </c>
      <c r="AD1146">
        <v>950</v>
      </c>
      <c r="AE1146">
        <v>1</v>
      </c>
      <c r="AF1146">
        <v>0</v>
      </c>
      <c r="AG1146">
        <v>1</v>
      </c>
      <c r="AH1146">
        <v>0</v>
      </c>
      <c r="AI1146">
        <v>1</v>
      </c>
      <c r="AJ1146">
        <v>590</v>
      </c>
      <c r="AK1146">
        <v>8</v>
      </c>
      <c r="AL1146">
        <v>0</v>
      </c>
      <c r="AM1146">
        <v>1</v>
      </c>
      <c r="AN1146">
        <v>0</v>
      </c>
      <c r="AO1146">
        <v>-2.9</v>
      </c>
      <c r="AP1146">
        <v>6.4666666666666668</v>
      </c>
      <c r="AQ1146">
        <v>855.03</v>
      </c>
      <c r="AX1146" t="s">
        <v>190</v>
      </c>
    </row>
    <row r="1147" spans="1:50" x14ac:dyDescent="0.45">
      <c r="A1147">
        <v>11146</v>
      </c>
      <c r="B1147">
        <v>1</v>
      </c>
      <c r="C1147">
        <v>89.034999999999997</v>
      </c>
      <c r="D1147">
        <v>6.2</v>
      </c>
      <c r="E1147">
        <v>4.3</v>
      </c>
      <c r="F1147">
        <v>0</v>
      </c>
      <c r="G1147">
        <v>0</v>
      </c>
      <c r="H1147">
        <v>0.16</v>
      </c>
      <c r="I1147">
        <v>0</v>
      </c>
      <c r="J1147">
        <v>0.02</v>
      </c>
      <c r="K1147">
        <v>0</v>
      </c>
      <c r="L1147">
        <v>0</v>
      </c>
      <c r="M1147">
        <v>0</v>
      </c>
      <c r="N1147">
        <v>0</v>
      </c>
      <c r="O1147">
        <v>0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1</v>
      </c>
      <c r="Y1147">
        <v>0</v>
      </c>
      <c r="Z1147">
        <v>0</v>
      </c>
      <c r="AA1147">
        <v>1</v>
      </c>
      <c r="AB1147">
        <v>0</v>
      </c>
      <c r="AC1147">
        <v>0</v>
      </c>
      <c r="AI1147">
        <v>0</v>
      </c>
      <c r="AO1147">
        <v>-2.855</v>
      </c>
      <c r="AP1147">
        <v>6.2033333333333331</v>
      </c>
      <c r="AQ1147">
        <v>841.67799999999988</v>
      </c>
      <c r="AS1147">
        <v>1180</v>
      </c>
      <c r="AT1147">
        <v>1220</v>
      </c>
      <c r="AU1147">
        <v>16</v>
      </c>
      <c r="AX1147" t="s">
        <v>193</v>
      </c>
    </row>
    <row r="1148" spans="1:50" x14ac:dyDescent="0.45">
      <c r="A1148">
        <v>11147</v>
      </c>
      <c r="B1148">
        <v>1</v>
      </c>
      <c r="C1148">
        <v>84.62</v>
      </c>
      <c r="D1148">
        <v>5.21</v>
      </c>
      <c r="E1148">
        <v>0</v>
      </c>
      <c r="F1148">
        <v>4.05</v>
      </c>
      <c r="G1148">
        <v>0</v>
      </c>
      <c r="H1148">
        <v>0</v>
      </c>
      <c r="I1148">
        <v>0</v>
      </c>
      <c r="J1148">
        <v>0</v>
      </c>
      <c r="K1148">
        <v>0</v>
      </c>
      <c r="L1148">
        <v>4.0599999999999996</v>
      </c>
      <c r="M1148">
        <v>2.06</v>
      </c>
      <c r="N1148">
        <v>0</v>
      </c>
      <c r="O1148">
        <v>0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1</v>
      </c>
      <c r="W1148">
        <v>883</v>
      </c>
      <c r="X1148">
        <v>30</v>
      </c>
      <c r="Y1148">
        <v>0</v>
      </c>
      <c r="Z1148">
        <v>0</v>
      </c>
      <c r="AA1148">
        <v>1</v>
      </c>
      <c r="AB1148">
        <v>0</v>
      </c>
      <c r="AC1148">
        <v>1</v>
      </c>
      <c r="AD1148">
        <v>800</v>
      </c>
      <c r="AE1148">
        <v>4</v>
      </c>
      <c r="AF1148">
        <v>1</v>
      </c>
      <c r="AG1148">
        <v>0</v>
      </c>
      <c r="AH1148">
        <v>0</v>
      </c>
      <c r="AI1148">
        <v>1</v>
      </c>
      <c r="AJ1148">
        <v>640</v>
      </c>
      <c r="AK1148">
        <v>8</v>
      </c>
      <c r="AL1148">
        <v>0</v>
      </c>
      <c r="AM1148">
        <v>1</v>
      </c>
      <c r="AN1148">
        <v>0</v>
      </c>
      <c r="AO1148">
        <v>5.3299999999999992</v>
      </c>
      <c r="AP1148">
        <v>5.8966666666666665</v>
      </c>
      <c r="AQ1148">
        <v>814.01800000000014</v>
      </c>
      <c r="AS1148">
        <v>1230.5</v>
      </c>
      <c r="AT1148">
        <v>1265</v>
      </c>
      <c r="AU1148">
        <v>9.5</v>
      </c>
      <c r="AX1148" t="s">
        <v>108</v>
      </c>
    </row>
    <row r="1149" spans="1:50" x14ac:dyDescent="0.45">
      <c r="A1149">
        <v>11148</v>
      </c>
      <c r="B1149">
        <v>1</v>
      </c>
      <c r="C1149">
        <v>84.62</v>
      </c>
      <c r="D1149">
        <v>5.21</v>
      </c>
      <c r="E1149">
        <v>0</v>
      </c>
      <c r="F1149">
        <v>4.05</v>
      </c>
      <c r="G1149">
        <v>0</v>
      </c>
      <c r="H1149">
        <v>0</v>
      </c>
      <c r="I1149">
        <v>0</v>
      </c>
      <c r="J1149">
        <v>0</v>
      </c>
      <c r="K1149">
        <v>0</v>
      </c>
      <c r="L1149">
        <v>4.0599999999999996</v>
      </c>
      <c r="M1149">
        <v>2.06</v>
      </c>
      <c r="N1149">
        <v>0</v>
      </c>
      <c r="O1149">
        <v>0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1</v>
      </c>
      <c r="W1149">
        <v>883</v>
      </c>
      <c r="X1149">
        <v>30</v>
      </c>
      <c r="Y1149">
        <v>0</v>
      </c>
      <c r="Z1149">
        <v>0</v>
      </c>
      <c r="AA1149">
        <v>1</v>
      </c>
      <c r="AB1149">
        <v>0</v>
      </c>
      <c r="AC1149">
        <v>1</v>
      </c>
      <c r="AD1149">
        <v>800</v>
      </c>
      <c r="AE1149">
        <v>4</v>
      </c>
      <c r="AF1149">
        <v>1</v>
      </c>
      <c r="AG1149">
        <v>0</v>
      </c>
      <c r="AH1149">
        <v>0</v>
      </c>
      <c r="AI1149">
        <v>1</v>
      </c>
      <c r="AJ1149">
        <v>640</v>
      </c>
      <c r="AK1149">
        <v>8</v>
      </c>
      <c r="AL1149">
        <v>0</v>
      </c>
      <c r="AM1149">
        <v>1</v>
      </c>
      <c r="AN1149">
        <v>0</v>
      </c>
      <c r="AO1149">
        <v>5.3299999999999992</v>
      </c>
      <c r="AP1149">
        <v>5.8966666666666665</v>
      </c>
      <c r="AQ1149">
        <v>814.01800000000014</v>
      </c>
      <c r="AS1149">
        <v>1250</v>
      </c>
      <c r="AT1149">
        <v>1287.5</v>
      </c>
      <c r="AU1149">
        <v>9.25</v>
      </c>
      <c r="AX1149" t="s">
        <v>108</v>
      </c>
    </row>
    <row r="1150" spans="1:50" x14ac:dyDescent="0.45">
      <c r="A1150">
        <v>11149</v>
      </c>
      <c r="B1150">
        <v>1</v>
      </c>
      <c r="C1150">
        <v>82.67</v>
      </c>
      <c r="D1150">
        <v>5.47</v>
      </c>
      <c r="E1150">
        <v>4.8099999999999996</v>
      </c>
      <c r="F1150">
        <v>1.03</v>
      </c>
      <c r="G1150">
        <v>0</v>
      </c>
      <c r="H1150">
        <v>1.5</v>
      </c>
      <c r="I1150">
        <v>0</v>
      </c>
      <c r="J1150">
        <v>0</v>
      </c>
      <c r="K1150">
        <v>0</v>
      </c>
      <c r="L1150">
        <v>4.5199999999999996</v>
      </c>
      <c r="M1150">
        <v>0</v>
      </c>
      <c r="N1150">
        <v>0</v>
      </c>
      <c r="O1150">
        <v>0</v>
      </c>
      <c r="P1150">
        <v>0</v>
      </c>
      <c r="Q1150">
        <v>0</v>
      </c>
      <c r="R1150">
        <v>0</v>
      </c>
      <c r="S1150">
        <v>0</v>
      </c>
      <c r="T1150">
        <v>0</v>
      </c>
      <c r="U1150">
        <v>0</v>
      </c>
      <c r="V1150">
        <v>1</v>
      </c>
      <c r="Y1150">
        <v>0</v>
      </c>
      <c r="Z1150">
        <v>0</v>
      </c>
      <c r="AA1150">
        <v>1</v>
      </c>
      <c r="AB1150">
        <v>0</v>
      </c>
      <c r="AC1150">
        <v>1</v>
      </c>
      <c r="AD1150">
        <v>710</v>
      </c>
      <c r="AE1150">
        <v>2</v>
      </c>
      <c r="AF1150">
        <v>0</v>
      </c>
      <c r="AG1150">
        <v>1</v>
      </c>
      <c r="AH1150">
        <v>0</v>
      </c>
      <c r="AI1150">
        <v>1</v>
      </c>
      <c r="AJ1150">
        <v>500</v>
      </c>
      <c r="AK1150">
        <v>3</v>
      </c>
      <c r="AL1150">
        <v>0</v>
      </c>
      <c r="AM1150">
        <v>1</v>
      </c>
      <c r="AN1150">
        <v>0</v>
      </c>
      <c r="AO1150">
        <v>8.2706999999999979</v>
      </c>
      <c r="AP1150">
        <v>5.47</v>
      </c>
      <c r="AQ1150">
        <v>758.226</v>
      </c>
      <c r="AT1150">
        <v>1219.1500000000001</v>
      </c>
      <c r="AU1150">
        <v>12.67</v>
      </c>
      <c r="AX1150" t="s">
        <v>194</v>
      </c>
    </row>
    <row r="1151" spans="1:50" x14ac:dyDescent="0.45">
      <c r="A1151">
        <v>11150</v>
      </c>
      <c r="B1151">
        <v>1</v>
      </c>
      <c r="C1151">
        <v>82.67</v>
      </c>
      <c r="D1151">
        <v>5.47</v>
      </c>
      <c r="E1151">
        <v>4.8099999999999996</v>
      </c>
      <c r="F1151">
        <v>1.03</v>
      </c>
      <c r="G1151">
        <v>0</v>
      </c>
      <c r="H1151">
        <v>1.5</v>
      </c>
      <c r="I1151">
        <v>0</v>
      </c>
      <c r="J1151">
        <v>0</v>
      </c>
      <c r="K1151">
        <v>0</v>
      </c>
      <c r="L1151">
        <v>4.5199999999999996</v>
      </c>
      <c r="M1151">
        <v>0</v>
      </c>
      <c r="N1151">
        <v>0</v>
      </c>
      <c r="O1151">
        <v>0</v>
      </c>
      <c r="P1151">
        <v>0</v>
      </c>
      <c r="Q1151">
        <v>0</v>
      </c>
      <c r="R1151">
        <v>0</v>
      </c>
      <c r="S1151">
        <v>0</v>
      </c>
      <c r="T1151">
        <v>0</v>
      </c>
      <c r="U1151">
        <v>0</v>
      </c>
      <c r="V1151">
        <v>1</v>
      </c>
      <c r="Y1151">
        <v>0</v>
      </c>
      <c r="Z1151">
        <v>0</v>
      </c>
      <c r="AA1151">
        <v>1</v>
      </c>
      <c r="AB1151">
        <v>0</v>
      </c>
      <c r="AC1151">
        <v>1</v>
      </c>
      <c r="AD1151">
        <v>720</v>
      </c>
      <c r="AE1151">
        <v>2</v>
      </c>
      <c r="AF1151">
        <v>0</v>
      </c>
      <c r="AG1151">
        <v>1</v>
      </c>
      <c r="AH1151">
        <v>0</v>
      </c>
      <c r="AI1151">
        <v>1</v>
      </c>
      <c r="AJ1151">
        <v>500</v>
      </c>
      <c r="AK1151">
        <v>3</v>
      </c>
      <c r="AL1151">
        <v>0</v>
      </c>
      <c r="AM1151">
        <v>1</v>
      </c>
      <c r="AN1151">
        <v>0</v>
      </c>
      <c r="AO1151">
        <v>8.2706999999999979</v>
      </c>
      <c r="AP1151">
        <v>5.47</v>
      </c>
      <c r="AQ1151">
        <v>758.226</v>
      </c>
      <c r="AT1151">
        <v>1234.01</v>
      </c>
      <c r="AU1151">
        <v>10.44</v>
      </c>
      <c r="AX1151" t="s">
        <v>194</v>
      </c>
    </row>
    <row r="1152" spans="1:50" x14ac:dyDescent="0.45">
      <c r="A1152">
        <v>11151</v>
      </c>
      <c r="B1152">
        <v>1</v>
      </c>
      <c r="C1152">
        <v>82.67</v>
      </c>
      <c r="D1152">
        <v>5.47</v>
      </c>
      <c r="E1152">
        <v>4.8099999999999996</v>
      </c>
      <c r="F1152">
        <v>1.03</v>
      </c>
      <c r="G1152">
        <v>0</v>
      </c>
      <c r="H1152">
        <v>1.5</v>
      </c>
      <c r="I1152">
        <v>0</v>
      </c>
      <c r="J1152">
        <v>0</v>
      </c>
      <c r="K1152">
        <v>0</v>
      </c>
      <c r="L1152">
        <v>4.5199999999999996</v>
      </c>
      <c r="M1152">
        <v>0</v>
      </c>
      <c r="N1152">
        <v>0</v>
      </c>
      <c r="O1152">
        <v>0</v>
      </c>
      <c r="P1152">
        <v>0</v>
      </c>
      <c r="Q1152">
        <v>0</v>
      </c>
      <c r="R1152">
        <v>0</v>
      </c>
      <c r="S1152">
        <v>0</v>
      </c>
      <c r="T1152">
        <v>0</v>
      </c>
      <c r="U1152">
        <v>0</v>
      </c>
      <c r="V1152">
        <v>1</v>
      </c>
      <c r="Y1152">
        <v>0</v>
      </c>
      <c r="Z1152">
        <v>0</v>
      </c>
      <c r="AA1152">
        <v>1</v>
      </c>
      <c r="AB1152">
        <v>0</v>
      </c>
      <c r="AC1152">
        <v>1</v>
      </c>
      <c r="AD1152">
        <v>730</v>
      </c>
      <c r="AE1152">
        <v>2</v>
      </c>
      <c r="AF1152">
        <v>0</v>
      </c>
      <c r="AG1152">
        <v>1</v>
      </c>
      <c r="AH1152">
        <v>0</v>
      </c>
      <c r="AI1152">
        <v>1</v>
      </c>
      <c r="AJ1152">
        <v>500</v>
      </c>
      <c r="AK1152">
        <v>3</v>
      </c>
      <c r="AL1152">
        <v>0</v>
      </c>
      <c r="AM1152">
        <v>1</v>
      </c>
      <c r="AN1152">
        <v>0</v>
      </c>
      <c r="AO1152">
        <v>8.2706999999999979</v>
      </c>
      <c r="AP1152">
        <v>5.47</v>
      </c>
      <c r="AQ1152">
        <v>758.226</v>
      </c>
      <c r="AT1152">
        <v>1241.76</v>
      </c>
      <c r="AU1152">
        <v>9.75</v>
      </c>
      <c r="AX1152" t="s">
        <v>194</v>
      </c>
    </row>
    <row r="1153" spans="1:50" x14ac:dyDescent="0.45">
      <c r="A1153">
        <v>11152</v>
      </c>
      <c r="B1153">
        <v>1</v>
      </c>
      <c r="C1153">
        <v>82.67</v>
      </c>
      <c r="D1153">
        <v>5.47</v>
      </c>
      <c r="E1153">
        <v>4.8099999999999996</v>
      </c>
      <c r="F1153">
        <v>1.03</v>
      </c>
      <c r="G1153">
        <v>0</v>
      </c>
      <c r="H1153">
        <v>1.5</v>
      </c>
      <c r="I1153">
        <v>0</v>
      </c>
      <c r="J1153">
        <v>0</v>
      </c>
      <c r="K1153">
        <v>0</v>
      </c>
      <c r="L1153">
        <v>4.5199999999999996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0</v>
      </c>
      <c r="S1153">
        <v>0</v>
      </c>
      <c r="T1153">
        <v>0</v>
      </c>
      <c r="U1153">
        <v>0</v>
      </c>
      <c r="V1153">
        <v>1</v>
      </c>
      <c r="Y1153">
        <v>0</v>
      </c>
      <c r="Z1153">
        <v>0</v>
      </c>
      <c r="AA1153">
        <v>1</v>
      </c>
      <c r="AB1153">
        <v>0</v>
      </c>
      <c r="AC1153">
        <v>1</v>
      </c>
      <c r="AD1153">
        <v>740</v>
      </c>
      <c r="AE1153">
        <v>2</v>
      </c>
      <c r="AF1153">
        <v>0</v>
      </c>
      <c r="AG1153">
        <v>1</v>
      </c>
      <c r="AH1153">
        <v>0</v>
      </c>
      <c r="AI1153">
        <v>1</v>
      </c>
      <c r="AJ1153">
        <v>500</v>
      </c>
      <c r="AK1153">
        <v>3</v>
      </c>
      <c r="AL1153">
        <v>0</v>
      </c>
      <c r="AM1153">
        <v>1</v>
      </c>
      <c r="AN1153">
        <v>0</v>
      </c>
      <c r="AO1153">
        <v>8.2706999999999979</v>
      </c>
      <c r="AP1153">
        <v>5.47</v>
      </c>
      <c r="AQ1153">
        <v>758.226</v>
      </c>
      <c r="AT1153">
        <v>1276.29</v>
      </c>
      <c r="AU1153">
        <v>9</v>
      </c>
      <c r="AX1153" t="s">
        <v>194</v>
      </c>
    </row>
    <row r="1154" spans="1:50" x14ac:dyDescent="0.45">
      <c r="A1154">
        <v>11153</v>
      </c>
      <c r="B1154">
        <v>1</v>
      </c>
      <c r="C1154">
        <v>82.67</v>
      </c>
      <c r="D1154">
        <v>5.47</v>
      </c>
      <c r="E1154">
        <v>4.8099999999999996</v>
      </c>
      <c r="F1154">
        <v>1.03</v>
      </c>
      <c r="G1154">
        <v>0</v>
      </c>
      <c r="H1154">
        <v>1.5</v>
      </c>
      <c r="I1154">
        <v>0</v>
      </c>
      <c r="J1154">
        <v>0</v>
      </c>
      <c r="K1154">
        <v>0</v>
      </c>
      <c r="L1154">
        <v>4.5199999999999996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0</v>
      </c>
      <c r="S1154">
        <v>0</v>
      </c>
      <c r="T1154">
        <v>0</v>
      </c>
      <c r="U1154">
        <v>0</v>
      </c>
      <c r="V1154">
        <v>1</v>
      </c>
      <c r="Y1154">
        <v>0</v>
      </c>
      <c r="Z1154">
        <v>0</v>
      </c>
      <c r="AA1154">
        <v>1</v>
      </c>
      <c r="AB1154">
        <v>0</v>
      </c>
      <c r="AC1154">
        <v>1</v>
      </c>
      <c r="AD1154">
        <v>750</v>
      </c>
      <c r="AE1154">
        <v>2</v>
      </c>
      <c r="AF1154">
        <v>0</v>
      </c>
      <c r="AG1154">
        <v>1</v>
      </c>
      <c r="AH1154">
        <v>0</v>
      </c>
      <c r="AI1154">
        <v>1</v>
      </c>
      <c r="AJ1154">
        <v>500</v>
      </c>
      <c r="AK1154">
        <v>3</v>
      </c>
      <c r="AL1154">
        <v>0</v>
      </c>
      <c r="AM1154">
        <v>1</v>
      </c>
      <c r="AN1154">
        <v>0</v>
      </c>
      <c r="AO1154">
        <v>8.2706999999999979</v>
      </c>
      <c r="AP1154">
        <v>5.47</v>
      </c>
      <c r="AQ1154">
        <v>758.226</v>
      </c>
      <c r="AT1154">
        <v>1309.5899999999999</v>
      </c>
      <c r="AU1154">
        <v>6.75</v>
      </c>
      <c r="AX1154" t="s">
        <v>194</v>
      </c>
    </row>
    <row r="1155" spans="1:50" x14ac:dyDescent="0.45">
      <c r="A1155">
        <v>11154</v>
      </c>
      <c r="B1155">
        <v>1</v>
      </c>
      <c r="C1155">
        <v>82.67</v>
      </c>
      <c r="D1155">
        <v>5.47</v>
      </c>
      <c r="E1155">
        <v>4.8099999999999996</v>
      </c>
      <c r="F1155">
        <v>1.03</v>
      </c>
      <c r="G1155">
        <v>0</v>
      </c>
      <c r="H1155">
        <v>1.5</v>
      </c>
      <c r="I1155">
        <v>0</v>
      </c>
      <c r="J1155">
        <v>0</v>
      </c>
      <c r="K1155">
        <v>0</v>
      </c>
      <c r="L1155">
        <v>4.5199999999999996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0</v>
      </c>
      <c r="S1155">
        <v>0</v>
      </c>
      <c r="T1155">
        <v>0</v>
      </c>
      <c r="U1155">
        <v>0</v>
      </c>
      <c r="V1155">
        <v>1</v>
      </c>
      <c r="Y1155">
        <v>0</v>
      </c>
      <c r="Z1155">
        <v>0</v>
      </c>
      <c r="AA1155">
        <v>1</v>
      </c>
      <c r="AB1155">
        <v>0</v>
      </c>
      <c r="AC1155">
        <v>1</v>
      </c>
      <c r="AD1155">
        <v>760</v>
      </c>
      <c r="AE1155">
        <v>2</v>
      </c>
      <c r="AF1155">
        <v>0</v>
      </c>
      <c r="AG1155">
        <v>1</v>
      </c>
      <c r="AH1155">
        <v>0</v>
      </c>
      <c r="AI1155">
        <v>1</v>
      </c>
      <c r="AJ1155">
        <v>500</v>
      </c>
      <c r="AK1155">
        <v>3</v>
      </c>
      <c r="AL1155">
        <v>0</v>
      </c>
      <c r="AM1155">
        <v>1</v>
      </c>
      <c r="AN1155">
        <v>0</v>
      </c>
      <c r="AO1155">
        <v>8.2706999999999979</v>
      </c>
      <c r="AP1155">
        <v>5.47</v>
      </c>
      <c r="AQ1155">
        <v>758.226</v>
      </c>
      <c r="AT1155">
        <v>1362.37</v>
      </c>
      <c r="AU1155">
        <v>4.97</v>
      </c>
      <c r="AX1155" t="s">
        <v>194</v>
      </c>
    </row>
    <row r="1156" spans="1:50" x14ac:dyDescent="0.45">
      <c r="A1156">
        <v>11155</v>
      </c>
      <c r="B1156">
        <v>1</v>
      </c>
      <c r="C1156">
        <v>82.67</v>
      </c>
      <c r="D1156">
        <v>5.47</v>
      </c>
      <c r="E1156">
        <v>4.8099999999999996</v>
      </c>
      <c r="F1156">
        <v>1.03</v>
      </c>
      <c r="G1156">
        <v>0</v>
      </c>
      <c r="H1156">
        <v>1.5</v>
      </c>
      <c r="I1156">
        <v>0</v>
      </c>
      <c r="J1156">
        <v>0</v>
      </c>
      <c r="K1156">
        <v>0</v>
      </c>
      <c r="L1156">
        <v>4.5199999999999996</v>
      </c>
      <c r="M1156">
        <v>0</v>
      </c>
      <c r="N1156">
        <v>0</v>
      </c>
      <c r="O1156">
        <v>0</v>
      </c>
      <c r="P1156">
        <v>0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1</v>
      </c>
      <c r="Y1156">
        <v>0</v>
      </c>
      <c r="Z1156">
        <v>0</v>
      </c>
      <c r="AA1156">
        <v>1</v>
      </c>
      <c r="AB1156">
        <v>0</v>
      </c>
      <c r="AC1156">
        <v>1</v>
      </c>
      <c r="AD1156">
        <v>770</v>
      </c>
      <c r="AE1156">
        <v>2</v>
      </c>
      <c r="AF1156">
        <v>0</v>
      </c>
      <c r="AG1156">
        <v>1</v>
      </c>
      <c r="AH1156">
        <v>0</v>
      </c>
      <c r="AI1156">
        <v>1</v>
      </c>
      <c r="AJ1156">
        <v>500</v>
      </c>
      <c r="AK1156">
        <v>3</v>
      </c>
      <c r="AL1156">
        <v>0</v>
      </c>
      <c r="AM1156">
        <v>1</v>
      </c>
      <c r="AN1156">
        <v>0</v>
      </c>
      <c r="AO1156">
        <v>8.2706999999999979</v>
      </c>
      <c r="AP1156">
        <v>5.47</v>
      </c>
      <c r="AQ1156">
        <v>758.226</v>
      </c>
      <c r="AT1156">
        <v>1415.95</v>
      </c>
      <c r="AU1156">
        <v>4.38</v>
      </c>
      <c r="AX1156" t="s">
        <v>194</v>
      </c>
    </row>
    <row r="1157" spans="1:50" x14ac:dyDescent="0.45">
      <c r="A1157">
        <v>11156</v>
      </c>
      <c r="B1157">
        <v>1</v>
      </c>
      <c r="C1157">
        <v>82.67</v>
      </c>
      <c r="D1157">
        <v>5.47</v>
      </c>
      <c r="E1157">
        <v>4.8099999999999996</v>
      </c>
      <c r="F1157">
        <v>1.03</v>
      </c>
      <c r="G1157">
        <v>0</v>
      </c>
      <c r="H1157">
        <v>1.5</v>
      </c>
      <c r="I1157">
        <v>0</v>
      </c>
      <c r="J1157">
        <v>0</v>
      </c>
      <c r="K1157">
        <v>0</v>
      </c>
      <c r="L1157">
        <v>4.5199999999999996</v>
      </c>
      <c r="M1157">
        <v>0</v>
      </c>
      <c r="N1157">
        <v>0</v>
      </c>
      <c r="O1157">
        <v>0</v>
      </c>
      <c r="P1157">
        <v>0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1</v>
      </c>
      <c r="Y1157">
        <v>0</v>
      </c>
      <c r="Z1157">
        <v>0</v>
      </c>
      <c r="AA1157">
        <v>1</v>
      </c>
      <c r="AB1157">
        <v>0</v>
      </c>
      <c r="AC1157">
        <v>1</v>
      </c>
      <c r="AD1157">
        <v>780</v>
      </c>
      <c r="AE1157">
        <v>2</v>
      </c>
      <c r="AF1157">
        <v>0</v>
      </c>
      <c r="AG1157">
        <v>1</v>
      </c>
      <c r="AH1157">
        <v>0</v>
      </c>
      <c r="AI1157">
        <v>1</v>
      </c>
      <c r="AJ1157">
        <v>500</v>
      </c>
      <c r="AK1157">
        <v>3</v>
      </c>
      <c r="AL1157">
        <v>0</v>
      </c>
      <c r="AM1157">
        <v>1</v>
      </c>
      <c r="AN1157">
        <v>0</v>
      </c>
      <c r="AO1157">
        <v>8.2706999999999979</v>
      </c>
      <c r="AP1157">
        <v>5.47</v>
      </c>
      <c r="AQ1157">
        <v>758.226</v>
      </c>
      <c r="AT1157">
        <v>1436.27</v>
      </c>
      <c r="AU1157">
        <v>3.46</v>
      </c>
      <c r="AX1157" t="s">
        <v>194</v>
      </c>
    </row>
    <row r="1158" spans="1:50" x14ac:dyDescent="0.45">
      <c r="A1158">
        <v>11157</v>
      </c>
      <c r="B1158">
        <v>1</v>
      </c>
      <c r="C1158">
        <v>82.67</v>
      </c>
      <c r="D1158">
        <v>5.47</v>
      </c>
      <c r="E1158">
        <v>4.8099999999999996</v>
      </c>
      <c r="F1158">
        <v>1.03</v>
      </c>
      <c r="G1158">
        <v>0</v>
      </c>
      <c r="H1158">
        <v>1.5</v>
      </c>
      <c r="I1158">
        <v>0</v>
      </c>
      <c r="J1158">
        <v>0</v>
      </c>
      <c r="K1158">
        <v>0</v>
      </c>
      <c r="L1158">
        <v>4.5199999999999996</v>
      </c>
      <c r="M1158">
        <v>0</v>
      </c>
      <c r="N1158">
        <v>0</v>
      </c>
      <c r="O1158">
        <v>0</v>
      </c>
      <c r="P1158">
        <v>0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1</v>
      </c>
      <c r="Y1158">
        <v>0</v>
      </c>
      <c r="Z1158">
        <v>0</v>
      </c>
      <c r="AA1158">
        <v>1</v>
      </c>
      <c r="AB1158">
        <v>0</v>
      </c>
      <c r="AC1158">
        <v>1</v>
      </c>
      <c r="AD1158">
        <v>790</v>
      </c>
      <c r="AE1158">
        <v>2</v>
      </c>
      <c r="AF1158">
        <v>0</v>
      </c>
      <c r="AG1158">
        <v>1</v>
      </c>
      <c r="AH1158">
        <v>0</v>
      </c>
      <c r="AI1158">
        <v>1</v>
      </c>
      <c r="AJ1158">
        <v>500</v>
      </c>
      <c r="AK1158">
        <v>3</v>
      </c>
      <c r="AL1158">
        <v>0</v>
      </c>
      <c r="AM1158">
        <v>1</v>
      </c>
      <c r="AN1158">
        <v>0</v>
      </c>
      <c r="AO1158">
        <v>8.2706999999999979</v>
      </c>
      <c r="AP1158">
        <v>5.47</v>
      </c>
      <c r="AQ1158">
        <v>758.226</v>
      </c>
      <c r="AT1158">
        <v>1446.05</v>
      </c>
      <c r="AU1158">
        <v>3.27</v>
      </c>
      <c r="AX1158" t="s">
        <v>194</v>
      </c>
    </row>
    <row r="1159" spans="1:50" x14ac:dyDescent="0.45">
      <c r="A1159">
        <v>11158</v>
      </c>
      <c r="B1159">
        <v>1</v>
      </c>
      <c r="C1159">
        <v>82.67</v>
      </c>
      <c r="D1159">
        <v>5.47</v>
      </c>
      <c r="E1159">
        <v>4.8099999999999996</v>
      </c>
      <c r="F1159">
        <v>1.03</v>
      </c>
      <c r="G1159">
        <v>0</v>
      </c>
      <c r="H1159">
        <v>1.5</v>
      </c>
      <c r="I1159">
        <v>0</v>
      </c>
      <c r="J1159">
        <v>0</v>
      </c>
      <c r="K1159">
        <v>0</v>
      </c>
      <c r="L1159">
        <v>4.5199999999999996</v>
      </c>
      <c r="M1159">
        <v>0</v>
      </c>
      <c r="N1159">
        <v>0</v>
      </c>
      <c r="O1159">
        <v>0</v>
      </c>
      <c r="P1159">
        <v>0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1</v>
      </c>
      <c r="Y1159">
        <v>0</v>
      </c>
      <c r="Z1159">
        <v>0</v>
      </c>
      <c r="AA1159">
        <v>1</v>
      </c>
      <c r="AB1159">
        <v>0</v>
      </c>
      <c r="AC1159">
        <v>1</v>
      </c>
      <c r="AD1159">
        <v>800</v>
      </c>
      <c r="AE1159">
        <v>2</v>
      </c>
      <c r="AF1159">
        <v>0</v>
      </c>
      <c r="AG1159">
        <v>1</v>
      </c>
      <c r="AH1159">
        <v>0</v>
      </c>
      <c r="AI1159">
        <v>1</v>
      </c>
      <c r="AJ1159">
        <v>500</v>
      </c>
      <c r="AK1159">
        <v>3</v>
      </c>
      <c r="AL1159">
        <v>0</v>
      </c>
      <c r="AM1159">
        <v>1</v>
      </c>
      <c r="AN1159">
        <v>0</v>
      </c>
      <c r="AO1159">
        <v>8.2706999999999979</v>
      </c>
      <c r="AP1159">
        <v>5.47</v>
      </c>
      <c r="AQ1159">
        <v>758.226</v>
      </c>
      <c r="AT1159">
        <v>1454.21</v>
      </c>
      <c r="AU1159">
        <v>3.54</v>
      </c>
      <c r="AX1159" t="s">
        <v>194</v>
      </c>
    </row>
    <row r="1160" spans="1:50" x14ac:dyDescent="0.45">
      <c r="A1160">
        <v>11159</v>
      </c>
      <c r="B1160">
        <v>1</v>
      </c>
      <c r="C1160">
        <v>82.67</v>
      </c>
      <c r="D1160">
        <v>5.47</v>
      </c>
      <c r="E1160">
        <v>4.8099999999999996</v>
      </c>
      <c r="F1160">
        <v>1.03</v>
      </c>
      <c r="G1160">
        <v>0</v>
      </c>
      <c r="H1160">
        <v>1.5</v>
      </c>
      <c r="I1160">
        <v>0</v>
      </c>
      <c r="J1160">
        <v>0</v>
      </c>
      <c r="K1160">
        <v>0</v>
      </c>
      <c r="L1160">
        <v>4.5199999999999996</v>
      </c>
      <c r="M1160">
        <v>0</v>
      </c>
      <c r="N1160">
        <v>0</v>
      </c>
      <c r="O1160">
        <v>0</v>
      </c>
      <c r="P1160">
        <v>0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1</v>
      </c>
      <c r="Y1160">
        <v>0</v>
      </c>
      <c r="Z1160">
        <v>0</v>
      </c>
      <c r="AA1160">
        <v>1</v>
      </c>
      <c r="AB1160">
        <v>0</v>
      </c>
      <c r="AC1160">
        <v>1</v>
      </c>
      <c r="AD1160">
        <v>810</v>
      </c>
      <c r="AE1160">
        <v>2</v>
      </c>
      <c r="AF1160">
        <v>0</v>
      </c>
      <c r="AG1160">
        <v>1</v>
      </c>
      <c r="AH1160">
        <v>0</v>
      </c>
      <c r="AI1160">
        <v>1</v>
      </c>
      <c r="AJ1160">
        <v>500</v>
      </c>
      <c r="AK1160">
        <v>3</v>
      </c>
      <c r="AL1160">
        <v>0</v>
      </c>
      <c r="AM1160">
        <v>1</v>
      </c>
      <c r="AN1160">
        <v>0</v>
      </c>
      <c r="AO1160">
        <v>8.2706999999999979</v>
      </c>
      <c r="AP1160">
        <v>5.47</v>
      </c>
      <c r="AQ1160">
        <v>758.226</v>
      </c>
      <c r="AT1160">
        <v>1460.74</v>
      </c>
      <c r="AU1160">
        <v>3.58</v>
      </c>
      <c r="AX1160" t="s">
        <v>194</v>
      </c>
    </row>
    <row r="1161" spans="1:50" x14ac:dyDescent="0.45">
      <c r="A1161">
        <v>11160</v>
      </c>
      <c r="B1161">
        <v>1</v>
      </c>
      <c r="C1161">
        <v>82.67</v>
      </c>
      <c r="D1161">
        <v>5.47</v>
      </c>
      <c r="E1161">
        <v>4.8099999999999996</v>
      </c>
      <c r="F1161">
        <v>1.03</v>
      </c>
      <c r="G1161">
        <v>0</v>
      </c>
      <c r="H1161">
        <v>1.5</v>
      </c>
      <c r="I1161">
        <v>0</v>
      </c>
      <c r="J1161">
        <v>0</v>
      </c>
      <c r="K1161">
        <v>0</v>
      </c>
      <c r="L1161">
        <v>4.5199999999999996</v>
      </c>
      <c r="M1161">
        <v>0</v>
      </c>
      <c r="N1161">
        <v>0</v>
      </c>
      <c r="O1161">
        <v>0</v>
      </c>
      <c r="P1161">
        <v>0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1</v>
      </c>
      <c r="Y1161">
        <v>0</v>
      </c>
      <c r="Z1161">
        <v>0</v>
      </c>
      <c r="AA1161">
        <v>1</v>
      </c>
      <c r="AB1161">
        <v>0</v>
      </c>
      <c r="AC1161">
        <v>1</v>
      </c>
      <c r="AD1161">
        <v>820</v>
      </c>
      <c r="AE1161">
        <v>2</v>
      </c>
      <c r="AF1161">
        <v>0</v>
      </c>
      <c r="AG1161">
        <v>1</v>
      </c>
      <c r="AH1161">
        <v>0</v>
      </c>
      <c r="AI1161">
        <v>1</v>
      </c>
      <c r="AJ1161">
        <v>500</v>
      </c>
      <c r="AK1161">
        <v>3</v>
      </c>
      <c r="AL1161">
        <v>0</v>
      </c>
      <c r="AM1161">
        <v>1</v>
      </c>
      <c r="AN1161">
        <v>0</v>
      </c>
      <c r="AO1161">
        <v>8.2706999999999979</v>
      </c>
      <c r="AP1161">
        <v>5.47</v>
      </c>
      <c r="AQ1161">
        <v>758.226</v>
      </c>
      <c r="AT1161">
        <v>1460.8</v>
      </c>
      <c r="AU1161">
        <v>3.31</v>
      </c>
      <c r="AX1161" t="s">
        <v>194</v>
      </c>
    </row>
    <row r="1162" spans="1:50" x14ac:dyDescent="0.45">
      <c r="A1162">
        <v>11161</v>
      </c>
      <c r="B1162">
        <v>1</v>
      </c>
      <c r="C1162">
        <v>82.67</v>
      </c>
      <c r="D1162">
        <v>5.47</v>
      </c>
      <c r="E1162">
        <v>4.8099999999999996</v>
      </c>
      <c r="F1162">
        <v>1.03</v>
      </c>
      <c r="G1162">
        <v>0</v>
      </c>
      <c r="H1162">
        <v>1.5</v>
      </c>
      <c r="I1162">
        <v>0</v>
      </c>
      <c r="J1162">
        <v>0</v>
      </c>
      <c r="K1162">
        <v>0</v>
      </c>
      <c r="L1162">
        <v>4.5199999999999996</v>
      </c>
      <c r="M1162">
        <v>0</v>
      </c>
      <c r="N1162">
        <v>0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1</v>
      </c>
      <c r="Y1162">
        <v>0</v>
      </c>
      <c r="Z1162">
        <v>0</v>
      </c>
      <c r="AA1162">
        <v>1</v>
      </c>
      <c r="AB1162">
        <v>0</v>
      </c>
      <c r="AC1162">
        <v>1</v>
      </c>
      <c r="AD1162">
        <v>830</v>
      </c>
      <c r="AE1162">
        <v>2</v>
      </c>
      <c r="AF1162">
        <v>0</v>
      </c>
      <c r="AG1162">
        <v>1</v>
      </c>
      <c r="AH1162">
        <v>0</v>
      </c>
      <c r="AI1162">
        <v>1</v>
      </c>
      <c r="AJ1162">
        <v>500</v>
      </c>
      <c r="AK1162">
        <v>3</v>
      </c>
      <c r="AL1162">
        <v>0</v>
      </c>
      <c r="AM1162">
        <v>1</v>
      </c>
      <c r="AN1162">
        <v>0</v>
      </c>
      <c r="AO1162">
        <v>8.2706999999999979</v>
      </c>
      <c r="AP1162">
        <v>5.47</v>
      </c>
      <c r="AQ1162">
        <v>758.226</v>
      </c>
      <c r="AT1162">
        <v>1469.76</v>
      </c>
      <c r="AU1162">
        <v>3.53</v>
      </c>
      <c r="AX1162" t="s">
        <v>194</v>
      </c>
    </row>
    <row r="1163" spans="1:50" x14ac:dyDescent="0.45">
      <c r="A1163">
        <v>11162</v>
      </c>
      <c r="B1163">
        <v>1</v>
      </c>
      <c r="C1163">
        <v>82.67</v>
      </c>
      <c r="D1163">
        <v>5.47</v>
      </c>
      <c r="E1163">
        <v>4.8099999999999996</v>
      </c>
      <c r="F1163">
        <v>1.03</v>
      </c>
      <c r="G1163">
        <v>0</v>
      </c>
      <c r="H1163">
        <v>1.5</v>
      </c>
      <c r="I1163">
        <v>0</v>
      </c>
      <c r="J1163">
        <v>0</v>
      </c>
      <c r="K1163">
        <v>0</v>
      </c>
      <c r="L1163">
        <v>4.5199999999999996</v>
      </c>
      <c r="M1163">
        <v>0</v>
      </c>
      <c r="N1163">
        <v>0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1</v>
      </c>
      <c r="Y1163">
        <v>0</v>
      </c>
      <c r="Z1163">
        <v>0</v>
      </c>
      <c r="AA1163">
        <v>1</v>
      </c>
      <c r="AB1163">
        <v>0</v>
      </c>
      <c r="AC1163">
        <v>1</v>
      </c>
      <c r="AD1163">
        <v>840</v>
      </c>
      <c r="AE1163">
        <v>2</v>
      </c>
      <c r="AF1163">
        <v>0</v>
      </c>
      <c r="AG1163">
        <v>1</v>
      </c>
      <c r="AH1163">
        <v>0</v>
      </c>
      <c r="AI1163">
        <v>1</v>
      </c>
      <c r="AJ1163">
        <v>500</v>
      </c>
      <c r="AK1163">
        <v>3</v>
      </c>
      <c r="AL1163">
        <v>0</v>
      </c>
      <c r="AM1163">
        <v>1</v>
      </c>
      <c r="AN1163">
        <v>0</v>
      </c>
      <c r="AO1163">
        <v>8.2706999999999979</v>
      </c>
      <c r="AP1163">
        <v>5.47</v>
      </c>
      <c r="AQ1163">
        <v>758.226</v>
      </c>
      <c r="AT1163">
        <v>1473.05</v>
      </c>
      <c r="AU1163">
        <v>3.41</v>
      </c>
      <c r="AX1163" t="s">
        <v>194</v>
      </c>
    </row>
    <row r="1164" spans="1:50" x14ac:dyDescent="0.45">
      <c r="A1164">
        <v>11163</v>
      </c>
      <c r="B1164">
        <v>1</v>
      </c>
      <c r="C1164">
        <v>82.67</v>
      </c>
      <c r="D1164">
        <v>5.47</v>
      </c>
      <c r="E1164">
        <v>4.8099999999999996</v>
      </c>
      <c r="F1164">
        <v>1.03</v>
      </c>
      <c r="G1164">
        <v>0</v>
      </c>
      <c r="H1164">
        <v>1.5</v>
      </c>
      <c r="I1164">
        <v>0</v>
      </c>
      <c r="J1164">
        <v>0</v>
      </c>
      <c r="K1164">
        <v>0</v>
      </c>
      <c r="L1164">
        <v>4.5199999999999996</v>
      </c>
      <c r="M1164">
        <v>0</v>
      </c>
      <c r="N1164">
        <v>0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1</v>
      </c>
      <c r="Y1164">
        <v>0</v>
      </c>
      <c r="Z1164">
        <v>0</v>
      </c>
      <c r="AA1164">
        <v>1</v>
      </c>
      <c r="AB1164">
        <v>0</v>
      </c>
      <c r="AC1164">
        <v>1</v>
      </c>
      <c r="AD1164">
        <v>850</v>
      </c>
      <c r="AE1164">
        <v>2</v>
      </c>
      <c r="AF1164">
        <v>0</v>
      </c>
      <c r="AG1164">
        <v>1</v>
      </c>
      <c r="AH1164">
        <v>0</v>
      </c>
      <c r="AI1164">
        <v>1</v>
      </c>
      <c r="AJ1164">
        <v>500</v>
      </c>
      <c r="AK1164">
        <v>3</v>
      </c>
      <c r="AL1164">
        <v>0</v>
      </c>
      <c r="AM1164">
        <v>1</v>
      </c>
      <c r="AN1164">
        <v>0</v>
      </c>
      <c r="AO1164">
        <v>8.2706999999999979</v>
      </c>
      <c r="AP1164">
        <v>5.47</v>
      </c>
      <c r="AQ1164">
        <v>758.226</v>
      </c>
      <c r="AT1164">
        <v>1482.83</v>
      </c>
      <c r="AU1164">
        <v>3.3</v>
      </c>
      <c r="AX1164" t="s">
        <v>194</v>
      </c>
    </row>
    <row r="1165" spans="1:50" x14ac:dyDescent="0.45">
      <c r="A1165">
        <v>11164</v>
      </c>
      <c r="B1165">
        <v>1</v>
      </c>
      <c r="C1165">
        <v>82.67</v>
      </c>
      <c r="D1165">
        <v>5.47</v>
      </c>
      <c r="E1165">
        <v>4.8099999999999996</v>
      </c>
      <c r="F1165">
        <v>1.03</v>
      </c>
      <c r="G1165">
        <v>0</v>
      </c>
      <c r="H1165">
        <v>1.5</v>
      </c>
      <c r="I1165">
        <v>0</v>
      </c>
      <c r="J1165">
        <v>0</v>
      </c>
      <c r="K1165">
        <v>0</v>
      </c>
      <c r="L1165">
        <v>4.5199999999999996</v>
      </c>
      <c r="M1165">
        <v>0</v>
      </c>
      <c r="N1165">
        <v>0</v>
      </c>
      <c r="O1165">
        <v>0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1</v>
      </c>
      <c r="Y1165">
        <v>0</v>
      </c>
      <c r="Z1165">
        <v>0</v>
      </c>
      <c r="AA1165">
        <v>1</v>
      </c>
      <c r="AB1165">
        <v>0</v>
      </c>
      <c r="AC1165">
        <v>1</v>
      </c>
      <c r="AD1165">
        <v>860</v>
      </c>
      <c r="AE1165">
        <v>2</v>
      </c>
      <c r="AF1165">
        <v>0</v>
      </c>
      <c r="AG1165">
        <v>1</v>
      </c>
      <c r="AH1165">
        <v>0</v>
      </c>
      <c r="AI1165">
        <v>1</v>
      </c>
      <c r="AJ1165">
        <v>500</v>
      </c>
      <c r="AK1165">
        <v>3</v>
      </c>
      <c r="AL1165">
        <v>0</v>
      </c>
      <c r="AM1165">
        <v>1</v>
      </c>
      <c r="AN1165">
        <v>0</v>
      </c>
      <c r="AO1165">
        <v>8.2706999999999979</v>
      </c>
      <c r="AP1165">
        <v>5.47</v>
      </c>
      <c r="AQ1165">
        <v>758.226</v>
      </c>
      <c r="AT1165">
        <v>1492.81</v>
      </c>
      <c r="AU1165">
        <v>3.32</v>
      </c>
      <c r="AX1165" t="s">
        <v>194</v>
      </c>
    </row>
    <row r="1166" spans="1:50" x14ac:dyDescent="0.45">
      <c r="A1166">
        <v>11165</v>
      </c>
      <c r="B1166">
        <v>1</v>
      </c>
      <c r="C1166">
        <v>82.67</v>
      </c>
      <c r="D1166">
        <v>5.47</v>
      </c>
      <c r="E1166">
        <v>4.8099999999999996</v>
      </c>
      <c r="F1166">
        <v>1.03</v>
      </c>
      <c r="G1166">
        <v>0</v>
      </c>
      <c r="H1166">
        <v>1.5</v>
      </c>
      <c r="I1166">
        <v>0</v>
      </c>
      <c r="J1166">
        <v>0</v>
      </c>
      <c r="K1166">
        <v>0</v>
      </c>
      <c r="L1166">
        <v>4.5199999999999996</v>
      </c>
      <c r="M1166">
        <v>0</v>
      </c>
      <c r="N1166">
        <v>0</v>
      </c>
      <c r="O1166">
        <v>0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1</v>
      </c>
      <c r="Y1166">
        <v>0</v>
      </c>
      <c r="Z1166">
        <v>0</v>
      </c>
      <c r="AA1166">
        <v>1</v>
      </c>
      <c r="AB1166">
        <v>0</v>
      </c>
      <c r="AC1166">
        <v>1</v>
      </c>
      <c r="AD1166">
        <v>710</v>
      </c>
      <c r="AE1166">
        <v>2</v>
      </c>
      <c r="AF1166">
        <v>0</v>
      </c>
      <c r="AG1166">
        <v>1</v>
      </c>
      <c r="AH1166">
        <v>0</v>
      </c>
      <c r="AI1166">
        <v>1</v>
      </c>
      <c r="AJ1166">
        <v>550</v>
      </c>
      <c r="AK1166">
        <v>3</v>
      </c>
      <c r="AL1166">
        <v>0</v>
      </c>
      <c r="AM1166">
        <v>1</v>
      </c>
      <c r="AN1166">
        <v>0</v>
      </c>
      <c r="AO1166">
        <v>8.2706999999999979</v>
      </c>
      <c r="AP1166">
        <v>5.47</v>
      </c>
      <c r="AQ1166">
        <v>758.226</v>
      </c>
      <c r="AT1166">
        <v>1056.45</v>
      </c>
      <c r="AU1166">
        <v>13.14</v>
      </c>
      <c r="AX1166" t="s">
        <v>194</v>
      </c>
    </row>
    <row r="1167" spans="1:50" x14ac:dyDescent="0.45">
      <c r="A1167">
        <v>11166</v>
      </c>
      <c r="B1167">
        <v>1</v>
      </c>
      <c r="C1167">
        <v>82.67</v>
      </c>
      <c r="D1167">
        <v>5.47</v>
      </c>
      <c r="E1167">
        <v>4.8099999999999996</v>
      </c>
      <c r="F1167">
        <v>1.03</v>
      </c>
      <c r="G1167">
        <v>0</v>
      </c>
      <c r="H1167">
        <v>1.5</v>
      </c>
      <c r="I1167">
        <v>0</v>
      </c>
      <c r="J1167">
        <v>0</v>
      </c>
      <c r="K1167">
        <v>0</v>
      </c>
      <c r="L1167">
        <v>4.5199999999999996</v>
      </c>
      <c r="M1167">
        <v>0</v>
      </c>
      <c r="N1167">
        <v>0</v>
      </c>
      <c r="O1167">
        <v>0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1</v>
      </c>
      <c r="Y1167">
        <v>0</v>
      </c>
      <c r="Z1167">
        <v>0</v>
      </c>
      <c r="AA1167">
        <v>1</v>
      </c>
      <c r="AB1167">
        <v>0</v>
      </c>
      <c r="AC1167">
        <v>1</v>
      </c>
      <c r="AD1167">
        <v>720</v>
      </c>
      <c r="AE1167">
        <v>2</v>
      </c>
      <c r="AF1167">
        <v>0</v>
      </c>
      <c r="AG1167">
        <v>1</v>
      </c>
      <c r="AH1167">
        <v>0</v>
      </c>
      <c r="AI1167">
        <v>1</v>
      </c>
      <c r="AJ1167">
        <v>550</v>
      </c>
      <c r="AK1167">
        <v>3</v>
      </c>
      <c r="AL1167">
        <v>0</v>
      </c>
      <c r="AM1167">
        <v>1</v>
      </c>
      <c r="AN1167">
        <v>0</v>
      </c>
      <c r="AO1167">
        <v>8.2706999999999979</v>
      </c>
      <c r="AP1167">
        <v>5.47</v>
      </c>
      <c r="AQ1167">
        <v>758.226</v>
      </c>
      <c r="AT1167">
        <v>1113</v>
      </c>
      <c r="AU1167">
        <v>12.59</v>
      </c>
      <c r="AX1167" t="s">
        <v>194</v>
      </c>
    </row>
    <row r="1168" spans="1:50" x14ac:dyDescent="0.45">
      <c r="A1168">
        <v>11167</v>
      </c>
      <c r="B1168">
        <v>1</v>
      </c>
      <c r="C1168">
        <v>82.67</v>
      </c>
      <c r="D1168">
        <v>5.47</v>
      </c>
      <c r="E1168">
        <v>4.8099999999999996</v>
      </c>
      <c r="F1168">
        <v>1.03</v>
      </c>
      <c r="G1168">
        <v>0</v>
      </c>
      <c r="H1168">
        <v>1.5</v>
      </c>
      <c r="I1168">
        <v>0</v>
      </c>
      <c r="J1168">
        <v>0</v>
      </c>
      <c r="K1168">
        <v>0</v>
      </c>
      <c r="L1168">
        <v>4.5199999999999996</v>
      </c>
      <c r="M1168">
        <v>0</v>
      </c>
      <c r="N1168">
        <v>0</v>
      </c>
      <c r="O1168">
        <v>0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1</v>
      </c>
      <c r="Y1168">
        <v>0</v>
      </c>
      <c r="Z1168">
        <v>0</v>
      </c>
      <c r="AA1168">
        <v>1</v>
      </c>
      <c r="AB1168">
        <v>0</v>
      </c>
      <c r="AC1168">
        <v>1</v>
      </c>
      <c r="AD1168">
        <v>730</v>
      </c>
      <c r="AE1168">
        <v>2</v>
      </c>
      <c r="AF1168">
        <v>0</v>
      </c>
      <c r="AG1168">
        <v>1</v>
      </c>
      <c r="AH1168">
        <v>0</v>
      </c>
      <c r="AI1168">
        <v>1</v>
      </c>
      <c r="AJ1168">
        <v>550</v>
      </c>
      <c r="AK1168">
        <v>3</v>
      </c>
      <c r="AL1168">
        <v>0</v>
      </c>
      <c r="AM1168">
        <v>1</v>
      </c>
      <c r="AN1168">
        <v>0</v>
      </c>
      <c r="AO1168">
        <v>8.2706999999999979</v>
      </c>
      <c r="AP1168">
        <v>5.47</v>
      </c>
      <c r="AQ1168">
        <v>758.226</v>
      </c>
      <c r="AT1168">
        <v>1160.26</v>
      </c>
      <c r="AU1168">
        <v>11.55</v>
      </c>
      <c r="AX1168" t="s">
        <v>194</v>
      </c>
    </row>
    <row r="1169" spans="1:50" x14ac:dyDescent="0.45">
      <c r="A1169">
        <v>11168</v>
      </c>
      <c r="B1169">
        <v>1</v>
      </c>
      <c r="C1169">
        <v>82.67</v>
      </c>
      <c r="D1169">
        <v>5.47</v>
      </c>
      <c r="E1169">
        <v>4.8099999999999996</v>
      </c>
      <c r="F1169">
        <v>1.03</v>
      </c>
      <c r="G1169">
        <v>0</v>
      </c>
      <c r="H1169">
        <v>1.5</v>
      </c>
      <c r="I1169">
        <v>0</v>
      </c>
      <c r="J1169">
        <v>0</v>
      </c>
      <c r="K1169">
        <v>0</v>
      </c>
      <c r="L1169">
        <v>4.5199999999999996</v>
      </c>
      <c r="M1169">
        <v>0</v>
      </c>
      <c r="N1169">
        <v>0</v>
      </c>
      <c r="O1169">
        <v>0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1</v>
      </c>
      <c r="Y1169">
        <v>0</v>
      </c>
      <c r="Z1169">
        <v>0</v>
      </c>
      <c r="AA1169">
        <v>1</v>
      </c>
      <c r="AB1169">
        <v>0</v>
      </c>
      <c r="AC1169">
        <v>1</v>
      </c>
      <c r="AD1169">
        <v>740</v>
      </c>
      <c r="AE1169">
        <v>2</v>
      </c>
      <c r="AF1169">
        <v>0</v>
      </c>
      <c r="AG1169">
        <v>1</v>
      </c>
      <c r="AH1169">
        <v>0</v>
      </c>
      <c r="AI1169">
        <v>1</v>
      </c>
      <c r="AJ1169">
        <v>550</v>
      </c>
      <c r="AK1169">
        <v>3</v>
      </c>
      <c r="AL1169">
        <v>0</v>
      </c>
      <c r="AM1169">
        <v>1</v>
      </c>
      <c r="AN1169">
        <v>0</v>
      </c>
      <c r="AO1169">
        <v>8.2706999999999979</v>
      </c>
      <c r="AP1169">
        <v>5.47</v>
      </c>
      <c r="AQ1169">
        <v>758.226</v>
      </c>
      <c r="AT1169">
        <v>1200.71</v>
      </c>
      <c r="AU1169">
        <v>10.38</v>
      </c>
      <c r="AX1169" t="s">
        <v>194</v>
      </c>
    </row>
    <row r="1170" spans="1:50" x14ac:dyDescent="0.45">
      <c r="A1170">
        <v>11169</v>
      </c>
      <c r="B1170">
        <v>1</v>
      </c>
      <c r="C1170">
        <v>82.67</v>
      </c>
      <c r="D1170">
        <v>5.47</v>
      </c>
      <c r="E1170">
        <v>4.8099999999999996</v>
      </c>
      <c r="F1170">
        <v>1.03</v>
      </c>
      <c r="G1170">
        <v>0</v>
      </c>
      <c r="H1170">
        <v>1.5</v>
      </c>
      <c r="I1170">
        <v>0</v>
      </c>
      <c r="J1170">
        <v>0</v>
      </c>
      <c r="K1170">
        <v>0</v>
      </c>
      <c r="L1170">
        <v>4.5199999999999996</v>
      </c>
      <c r="M1170">
        <v>0</v>
      </c>
      <c r="N1170">
        <v>0</v>
      </c>
      <c r="O1170">
        <v>0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1</v>
      </c>
      <c r="Y1170">
        <v>0</v>
      </c>
      <c r="Z1170">
        <v>0</v>
      </c>
      <c r="AA1170">
        <v>1</v>
      </c>
      <c r="AB1170">
        <v>0</v>
      </c>
      <c r="AC1170">
        <v>1</v>
      </c>
      <c r="AD1170">
        <v>750</v>
      </c>
      <c r="AE1170">
        <v>2</v>
      </c>
      <c r="AF1170">
        <v>0</v>
      </c>
      <c r="AG1170">
        <v>1</v>
      </c>
      <c r="AH1170">
        <v>0</v>
      </c>
      <c r="AI1170">
        <v>1</v>
      </c>
      <c r="AJ1170">
        <v>550</v>
      </c>
      <c r="AK1170">
        <v>3</v>
      </c>
      <c r="AL1170">
        <v>0</v>
      </c>
      <c r="AM1170">
        <v>1</v>
      </c>
      <c r="AN1170">
        <v>0</v>
      </c>
      <c r="AO1170">
        <v>8.2706999999999979</v>
      </c>
      <c r="AP1170">
        <v>5.47</v>
      </c>
      <c r="AQ1170">
        <v>758.226</v>
      </c>
      <c r="AT1170">
        <v>1251.8499999999999</v>
      </c>
      <c r="AU1170">
        <v>8.42</v>
      </c>
      <c r="AX1170" t="s">
        <v>194</v>
      </c>
    </row>
    <row r="1171" spans="1:50" x14ac:dyDescent="0.45">
      <c r="A1171">
        <v>11170</v>
      </c>
      <c r="B1171">
        <v>1</v>
      </c>
      <c r="C1171">
        <v>82.67</v>
      </c>
      <c r="D1171">
        <v>5.47</v>
      </c>
      <c r="E1171">
        <v>4.8099999999999996</v>
      </c>
      <c r="F1171">
        <v>1.03</v>
      </c>
      <c r="G1171">
        <v>0</v>
      </c>
      <c r="H1171">
        <v>1.5</v>
      </c>
      <c r="I1171">
        <v>0</v>
      </c>
      <c r="J1171">
        <v>0</v>
      </c>
      <c r="K1171">
        <v>0</v>
      </c>
      <c r="L1171">
        <v>4.5199999999999996</v>
      </c>
      <c r="M1171">
        <v>0</v>
      </c>
      <c r="N1171">
        <v>0</v>
      </c>
      <c r="O1171">
        <v>0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1</v>
      </c>
      <c r="Y1171">
        <v>0</v>
      </c>
      <c r="Z1171">
        <v>0</v>
      </c>
      <c r="AA1171">
        <v>1</v>
      </c>
      <c r="AB1171">
        <v>0</v>
      </c>
      <c r="AC1171">
        <v>1</v>
      </c>
      <c r="AD1171">
        <v>760</v>
      </c>
      <c r="AE1171">
        <v>2</v>
      </c>
      <c r="AF1171">
        <v>0</v>
      </c>
      <c r="AG1171">
        <v>1</v>
      </c>
      <c r="AH1171">
        <v>0</v>
      </c>
      <c r="AI1171">
        <v>1</v>
      </c>
      <c r="AJ1171">
        <v>550</v>
      </c>
      <c r="AK1171">
        <v>3</v>
      </c>
      <c r="AL1171">
        <v>0</v>
      </c>
      <c r="AM1171">
        <v>1</v>
      </c>
      <c r="AN1171">
        <v>0</v>
      </c>
      <c r="AO1171">
        <v>8.2706999999999979</v>
      </c>
      <c r="AP1171">
        <v>5.47</v>
      </c>
      <c r="AQ1171">
        <v>758.226</v>
      </c>
      <c r="AT1171">
        <v>1253.9000000000001</v>
      </c>
      <c r="AU1171">
        <v>5.91</v>
      </c>
      <c r="AX1171" t="s">
        <v>194</v>
      </c>
    </row>
    <row r="1172" spans="1:50" x14ac:dyDescent="0.45">
      <c r="A1172">
        <v>11171</v>
      </c>
      <c r="B1172">
        <v>1</v>
      </c>
      <c r="C1172">
        <v>82.67</v>
      </c>
      <c r="D1172">
        <v>5.47</v>
      </c>
      <c r="E1172">
        <v>4.8099999999999996</v>
      </c>
      <c r="F1172">
        <v>1.03</v>
      </c>
      <c r="G1172">
        <v>0</v>
      </c>
      <c r="H1172">
        <v>1.5</v>
      </c>
      <c r="I1172">
        <v>0</v>
      </c>
      <c r="J1172">
        <v>0</v>
      </c>
      <c r="K1172">
        <v>0</v>
      </c>
      <c r="L1172">
        <v>4.5199999999999996</v>
      </c>
      <c r="M1172">
        <v>0</v>
      </c>
      <c r="N1172">
        <v>0</v>
      </c>
      <c r="O1172">
        <v>0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1</v>
      </c>
      <c r="Y1172">
        <v>0</v>
      </c>
      <c r="Z1172">
        <v>0</v>
      </c>
      <c r="AA1172">
        <v>1</v>
      </c>
      <c r="AB1172">
        <v>0</v>
      </c>
      <c r="AC1172">
        <v>1</v>
      </c>
      <c r="AD1172">
        <v>770</v>
      </c>
      <c r="AE1172">
        <v>2</v>
      </c>
      <c r="AF1172">
        <v>0</v>
      </c>
      <c r="AG1172">
        <v>1</v>
      </c>
      <c r="AH1172">
        <v>0</v>
      </c>
      <c r="AI1172">
        <v>1</v>
      </c>
      <c r="AJ1172">
        <v>550</v>
      </c>
      <c r="AK1172">
        <v>3</v>
      </c>
      <c r="AL1172">
        <v>0</v>
      </c>
      <c r="AM1172">
        <v>1</v>
      </c>
      <c r="AN1172">
        <v>0</v>
      </c>
      <c r="AO1172">
        <v>8.2706999999999979</v>
      </c>
      <c r="AP1172">
        <v>5.47</v>
      </c>
      <c r="AQ1172">
        <v>758.226</v>
      </c>
      <c r="AT1172">
        <v>1284.99</v>
      </c>
      <c r="AU1172">
        <v>5.1100000000000003</v>
      </c>
      <c r="AX1172" t="s">
        <v>194</v>
      </c>
    </row>
    <row r="1173" spans="1:50" x14ac:dyDescent="0.45">
      <c r="A1173">
        <v>11172</v>
      </c>
      <c r="B1173">
        <v>1</v>
      </c>
      <c r="C1173">
        <v>82.67</v>
      </c>
      <c r="D1173">
        <v>5.47</v>
      </c>
      <c r="E1173">
        <v>4.8099999999999996</v>
      </c>
      <c r="F1173">
        <v>1.03</v>
      </c>
      <c r="G1173">
        <v>0</v>
      </c>
      <c r="H1173">
        <v>1.5</v>
      </c>
      <c r="I1173">
        <v>0</v>
      </c>
      <c r="J1173">
        <v>0</v>
      </c>
      <c r="K1173">
        <v>0</v>
      </c>
      <c r="L1173">
        <v>4.5199999999999996</v>
      </c>
      <c r="M1173">
        <v>0</v>
      </c>
      <c r="N1173">
        <v>0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1</v>
      </c>
      <c r="Y1173">
        <v>0</v>
      </c>
      <c r="Z1173">
        <v>0</v>
      </c>
      <c r="AA1173">
        <v>1</v>
      </c>
      <c r="AB1173">
        <v>0</v>
      </c>
      <c r="AC1173">
        <v>1</v>
      </c>
      <c r="AD1173">
        <v>780</v>
      </c>
      <c r="AE1173">
        <v>2</v>
      </c>
      <c r="AF1173">
        <v>0</v>
      </c>
      <c r="AG1173">
        <v>1</v>
      </c>
      <c r="AH1173">
        <v>0</v>
      </c>
      <c r="AI1173">
        <v>1</v>
      </c>
      <c r="AJ1173">
        <v>550</v>
      </c>
      <c r="AK1173">
        <v>3</v>
      </c>
      <c r="AL1173">
        <v>0</v>
      </c>
      <c r="AM1173">
        <v>1</v>
      </c>
      <c r="AN1173">
        <v>0</v>
      </c>
      <c r="AO1173">
        <v>8.2706999999999979</v>
      </c>
      <c r="AP1173">
        <v>5.47</v>
      </c>
      <c r="AQ1173">
        <v>758.226</v>
      </c>
      <c r="AT1173">
        <v>1300.6099999999999</v>
      </c>
      <c r="AU1173">
        <v>4.05</v>
      </c>
      <c r="AX1173" t="s">
        <v>194</v>
      </c>
    </row>
    <row r="1174" spans="1:50" x14ac:dyDescent="0.45">
      <c r="A1174">
        <v>11173</v>
      </c>
      <c r="B1174">
        <v>1</v>
      </c>
      <c r="C1174">
        <v>82.67</v>
      </c>
      <c r="D1174">
        <v>5.47</v>
      </c>
      <c r="E1174">
        <v>4.8099999999999996</v>
      </c>
      <c r="F1174">
        <v>1.03</v>
      </c>
      <c r="G1174">
        <v>0</v>
      </c>
      <c r="H1174">
        <v>1.5</v>
      </c>
      <c r="I1174">
        <v>0</v>
      </c>
      <c r="J1174">
        <v>0</v>
      </c>
      <c r="K1174">
        <v>0</v>
      </c>
      <c r="L1174">
        <v>4.5199999999999996</v>
      </c>
      <c r="M1174">
        <v>0</v>
      </c>
      <c r="N1174">
        <v>0</v>
      </c>
      <c r="O1174">
        <v>0</v>
      </c>
      <c r="P1174">
        <v>0</v>
      </c>
      <c r="Q1174">
        <v>0</v>
      </c>
      <c r="R1174">
        <v>0</v>
      </c>
      <c r="S1174">
        <v>0</v>
      </c>
      <c r="T1174">
        <v>0</v>
      </c>
      <c r="U1174">
        <v>0</v>
      </c>
      <c r="V1174">
        <v>1</v>
      </c>
      <c r="Y1174">
        <v>0</v>
      </c>
      <c r="Z1174">
        <v>0</v>
      </c>
      <c r="AA1174">
        <v>1</v>
      </c>
      <c r="AB1174">
        <v>0</v>
      </c>
      <c r="AC1174">
        <v>1</v>
      </c>
      <c r="AD1174">
        <v>790</v>
      </c>
      <c r="AE1174">
        <v>2</v>
      </c>
      <c r="AF1174">
        <v>0</v>
      </c>
      <c r="AG1174">
        <v>1</v>
      </c>
      <c r="AH1174">
        <v>0</v>
      </c>
      <c r="AI1174">
        <v>1</v>
      </c>
      <c r="AJ1174">
        <v>550</v>
      </c>
      <c r="AK1174">
        <v>3</v>
      </c>
      <c r="AL1174">
        <v>0</v>
      </c>
      <c r="AM1174">
        <v>1</v>
      </c>
      <c r="AN1174">
        <v>0</v>
      </c>
      <c r="AO1174">
        <v>8.2706999999999979</v>
      </c>
      <c r="AP1174">
        <v>5.47</v>
      </c>
      <c r="AQ1174">
        <v>758.226</v>
      </c>
      <c r="AT1174">
        <v>1336.48</v>
      </c>
      <c r="AU1174">
        <v>3.76</v>
      </c>
      <c r="AW1174" t="s">
        <v>353</v>
      </c>
      <c r="AX1174" t="s">
        <v>194</v>
      </c>
    </row>
    <row r="1175" spans="1:50" x14ac:dyDescent="0.45">
      <c r="A1175">
        <v>11174</v>
      </c>
      <c r="B1175">
        <v>1</v>
      </c>
      <c r="C1175">
        <v>82.67</v>
      </c>
      <c r="D1175">
        <v>5.47</v>
      </c>
      <c r="E1175">
        <v>4.8099999999999996</v>
      </c>
      <c r="F1175">
        <v>1.03</v>
      </c>
      <c r="G1175">
        <v>0</v>
      </c>
      <c r="H1175">
        <v>1.5</v>
      </c>
      <c r="I1175">
        <v>0</v>
      </c>
      <c r="J1175">
        <v>0</v>
      </c>
      <c r="K1175">
        <v>0</v>
      </c>
      <c r="L1175">
        <v>4.5199999999999996</v>
      </c>
      <c r="M1175">
        <v>0</v>
      </c>
      <c r="N1175">
        <v>0</v>
      </c>
      <c r="O1175">
        <v>0</v>
      </c>
      <c r="P1175">
        <v>0</v>
      </c>
      <c r="Q1175">
        <v>0</v>
      </c>
      <c r="R1175">
        <v>0</v>
      </c>
      <c r="S1175">
        <v>0</v>
      </c>
      <c r="T1175">
        <v>0</v>
      </c>
      <c r="U1175">
        <v>0</v>
      </c>
      <c r="V1175">
        <v>1</v>
      </c>
      <c r="Y1175">
        <v>0</v>
      </c>
      <c r="Z1175">
        <v>0</v>
      </c>
      <c r="AA1175">
        <v>1</v>
      </c>
      <c r="AB1175">
        <v>0</v>
      </c>
      <c r="AC1175">
        <v>1</v>
      </c>
      <c r="AD1175">
        <v>800</v>
      </c>
      <c r="AE1175">
        <v>2</v>
      </c>
      <c r="AF1175">
        <v>0</v>
      </c>
      <c r="AG1175">
        <v>1</v>
      </c>
      <c r="AH1175">
        <v>0</v>
      </c>
      <c r="AI1175">
        <v>1</v>
      </c>
      <c r="AJ1175">
        <v>550</v>
      </c>
      <c r="AK1175">
        <v>3</v>
      </c>
      <c r="AL1175">
        <v>0</v>
      </c>
      <c r="AM1175">
        <v>1</v>
      </c>
      <c r="AN1175">
        <v>0</v>
      </c>
      <c r="AO1175">
        <v>8.2706999999999979</v>
      </c>
      <c r="AP1175">
        <v>5.47</v>
      </c>
      <c r="AQ1175">
        <v>758.226</v>
      </c>
      <c r="AT1175">
        <v>1377.68</v>
      </c>
      <c r="AU1175">
        <v>3.7</v>
      </c>
      <c r="AW1175" t="s">
        <v>353</v>
      </c>
      <c r="AX1175" t="s">
        <v>194</v>
      </c>
    </row>
    <row r="1176" spans="1:50" x14ac:dyDescent="0.45">
      <c r="A1176">
        <v>11175</v>
      </c>
      <c r="B1176">
        <v>1</v>
      </c>
      <c r="C1176">
        <v>82.67</v>
      </c>
      <c r="D1176">
        <v>5.47</v>
      </c>
      <c r="E1176">
        <v>4.8099999999999996</v>
      </c>
      <c r="F1176">
        <v>1.03</v>
      </c>
      <c r="G1176">
        <v>0</v>
      </c>
      <c r="H1176">
        <v>1.5</v>
      </c>
      <c r="I1176">
        <v>0</v>
      </c>
      <c r="J1176">
        <v>0</v>
      </c>
      <c r="K1176">
        <v>0</v>
      </c>
      <c r="L1176">
        <v>4.5199999999999996</v>
      </c>
      <c r="M1176">
        <v>0</v>
      </c>
      <c r="N1176">
        <v>0</v>
      </c>
      <c r="O1176">
        <v>0</v>
      </c>
      <c r="P1176">
        <v>0</v>
      </c>
      <c r="Q1176">
        <v>0</v>
      </c>
      <c r="R1176">
        <v>0</v>
      </c>
      <c r="S1176">
        <v>0</v>
      </c>
      <c r="T1176">
        <v>0</v>
      </c>
      <c r="U1176">
        <v>0</v>
      </c>
      <c r="V1176">
        <v>1</v>
      </c>
      <c r="Y1176">
        <v>0</v>
      </c>
      <c r="Z1176">
        <v>0</v>
      </c>
      <c r="AA1176">
        <v>1</v>
      </c>
      <c r="AB1176">
        <v>0</v>
      </c>
      <c r="AC1176">
        <v>1</v>
      </c>
      <c r="AD1176">
        <v>810</v>
      </c>
      <c r="AE1176">
        <v>2</v>
      </c>
      <c r="AF1176">
        <v>0</v>
      </c>
      <c r="AG1176">
        <v>1</v>
      </c>
      <c r="AH1176">
        <v>0</v>
      </c>
      <c r="AI1176">
        <v>1</v>
      </c>
      <c r="AJ1176">
        <v>550</v>
      </c>
      <c r="AK1176">
        <v>3</v>
      </c>
      <c r="AL1176">
        <v>0</v>
      </c>
      <c r="AM1176">
        <v>1</v>
      </c>
      <c r="AN1176">
        <v>0</v>
      </c>
      <c r="AO1176">
        <v>8.2706999999999979</v>
      </c>
      <c r="AP1176">
        <v>5.47</v>
      </c>
      <c r="AQ1176">
        <v>758.226</v>
      </c>
      <c r="AT1176">
        <v>1354.34</v>
      </c>
      <c r="AU1176">
        <v>3.61</v>
      </c>
      <c r="AW1176" t="s">
        <v>353</v>
      </c>
      <c r="AX1176" t="s">
        <v>194</v>
      </c>
    </row>
    <row r="1177" spans="1:50" x14ac:dyDescent="0.45">
      <c r="A1177">
        <v>11176</v>
      </c>
      <c r="B1177">
        <v>1</v>
      </c>
      <c r="C1177">
        <v>82.67</v>
      </c>
      <c r="D1177">
        <v>5.47</v>
      </c>
      <c r="E1177">
        <v>4.8099999999999996</v>
      </c>
      <c r="F1177">
        <v>1.03</v>
      </c>
      <c r="G1177">
        <v>0</v>
      </c>
      <c r="H1177">
        <v>1.5</v>
      </c>
      <c r="I1177">
        <v>0</v>
      </c>
      <c r="J1177">
        <v>0</v>
      </c>
      <c r="K1177">
        <v>0</v>
      </c>
      <c r="L1177">
        <v>4.5199999999999996</v>
      </c>
      <c r="M1177">
        <v>0</v>
      </c>
      <c r="N1177">
        <v>0</v>
      </c>
      <c r="O1177">
        <v>0</v>
      </c>
      <c r="P1177">
        <v>0</v>
      </c>
      <c r="Q1177">
        <v>0</v>
      </c>
      <c r="R1177">
        <v>0</v>
      </c>
      <c r="S1177">
        <v>0</v>
      </c>
      <c r="T1177">
        <v>0</v>
      </c>
      <c r="U1177">
        <v>0</v>
      </c>
      <c r="V1177">
        <v>1</v>
      </c>
      <c r="Y1177">
        <v>0</v>
      </c>
      <c r="Z1177">
        <v>0</v>
      </c>
      <c r="AA1177">
        <v>1</v>
      </c>
      <c r="AB1177">
        <v>0</v>
      </c>
      <c r="AC1177">
        <v>1</v>
      </c>
      <c r="AD1177">
        <v>820</v>
      </c>
      <c r="AE1177">
        <v>2</v>
      </c>
      <c r="AF1177">
        <v>0</v>
      </c>
      <c r="AG1177">
        <v>1</v>
      </c>
      <c r="AH1177">
        <v>0</v>
      </c>
      <c r="AI1177">
        <v>1</v>
      </c>
      <c r="AJ1177">
        <v>550</v>
      </c>
      <c r="AK1177">
        <v>3</v>
      </c>
      <c r="AL1177">
        <v>0</v>
      </c>
      <c r="AM1177">
        <v>1</v>
      </c>
      <c r="AN1177">
        <v>0</v>
      </c>
      <c r="AO1177">
        <v>8.2706999999999979</v>
      </c>
      <c r="AP1177">
        <v>5.47</v>
      </c>
      <c r="AQ1177">
        <v>758.226</v>
      </c>
      <c r="AT1177">
        <v>1361.94</v>
      </c>
      <c r="AU1177">
        <v>3.52</v>
      </c>
      <c r="AW1177" t="s">
        <v>353</v>
      </c>
      <c r="AX1177" t="s">
        <v>194</v>
      </c>
    </row>
    <row r="1178" spans="1:50" x14ac:dyDescent="0.45">
      <c r="A1178">
        <v>11177</v>
      </c>
      <c r="B1178">
        <v>1</v>
      </c>
      <c r="C1178">
        <v>82.67</v>
      </c>
      <c r="D1178">
        <v>5.47</v>
      </c>
      <c r="E1178">
        <v>4.8099999999999996</v>
      </c>
      <c r="F1178">
        <v>1.03</v>
      </c>
      <c r="G1178">
        <v>0</v>
      </c>
      <c r="H1178">
        <v>1.5</v>
      </c>
      <c r="I1178">
        <v>0</v>
      </c>
      <c r="J1178">
        <v>0</v>
      </c>
      <c r="K1178">
        <v>0</v>
      </c>
      <c r="L1178">
        <v>4.5199999999999996</v>
      </c>
      <c r="M1178">
        <v>0</v>
      </c>
      <c r="N1178">
        <v>0</v>
      </c>
      <c r="O1178">
        <v>0</v>
      </c>
      <c r="P1178">
        <v>0</v>
      </c>
      <c r="Q1178">
        <v>0</v>
      </c>
      <c r="R1178">
        <v>0</v>
      </c>
      <c r="S1178">
        <v>0</v>
      </c>
      <c r="T1178">
        <v>0</v>
      </c>
      <c r="U1178">
        <v>0</v>
      </c>
      <c r="V1178">
        <v>1</v>
      </c>
      <c r="Y1178">
        <v>0</v>
      </c>
      <c r="Z1178">
        <v>0</v>
      </c>
      <c r="AA1178">
        <v>1</v>
      </c>
      <c r="AB1178">
        <v>0</v>
      </c>
      <c r="AC1178">
        <v>1</v>
      </c>
      <c r="AD1178">
        <v>830</v>
      </c>
      <c r="AE1178">
        <v>2</v>
      </c>
      <c r="AF1178">
        <v>0</v>
      </c>
      <c r="AG1178">
        <v>1</v>
      </c>
      <c r="AH1178">
        <v>0</v>
      </c>
      <c r="AI1178">
        <v>1</v>
      </c>
      <c r="AJ1178">
        <v>550</v>
      </c>
      <c r="AK1178">
        <v>3</v>
      </c>
      <c r="AL1178">
        <v>0</v>
      </c>
      <c r="AM1178">
        <v>1</v>
      </c>
      <c r="AN1178">
        <v>0</v>
      </c>
      <c r="AO1178">
        <v>8.2706999999999979</v>
      </c>
      <c r="AP1178">
        <v>5.47</v>
      </c>
      <c r="AQ1178">
        <v>758.226</v>
      </c>
      <c r="AT1178">
        <v>1370.3</v>
      </c>
      <c r="AU1178">
        <v>3.44</v>
      </c>
      <c r="AW1178" t="s">
        <v>353</v>
      </c>
      <c r="AX1178" t="s">
        <v>194</v>
      </c>
    </row>
    <row r="1179" spans="1:50" x14ac:dyDescent="0.45">
      <c r="A1179">
        <v>11178</v>
      </c>
      <c r="B1179">
        <v>1</v>
      </c>
      <c r="C1179">
        <v>82.67</v>
      </c>
      <c r="D1179">
        <v>5.47</v>
      </c>
      <c r="E1179">
        <v>4.8099999999999996</v>
      </c>
      <c r="F1179">
        <v>1.03</v>
      </c>
      <c r="G1179">
        <v>0</v>
      </c>
      <c r="H1179">
        <v>1.5</v>
      </c>
      <c r="I1179">
        <v>0</v>
      </c>
      <c r="J1179">
        <v>0</v>
      </c>
      <c r="K1179">
        <v>0</v>
      </c>
      <c r="L1179">
        <v>4.5199999999999996</v>
      </c>
      <c r="M1179">
        <v>0</v>
      </c>
      <c r="N1179">
        <v>0</v>
      </c>
      <c r="O1179">
        <v>0</v>
      </c>
      <c r="P1179">
        <v>0</v>
      </c>
      <c r="Q1179">
        <v>0</v>
      </c>
      <c r="R1179">
        <v>0</v>
      </c>
      <c r="S1179">
        <v>0</v>
      </c>
      <c r="T1179">
        <v>0</v>
      </c>
      <c r="U1179">
        <v>0</v>
      </c>
      <c r="V1179">
        <v>1</v>
      </c>
      <c r="Y1179">
        <v>0</v>
      </c>
      <c r="Z1179">
        <v>0</v>
      </c>
      <c r="AA1179">
        <v>1</v>
      </c>
      <c r="AB1179">
        <v>0</v>
      </c>
      <c r="AC1179">
        <v>1</v>
      </c>
      <c r="AD1179">
        <v>840</v>
      </c>
      <c r="AE1179">
        <v>2</v>
      </c>
      <c r="AF1179">
        <v>0</v>
      </c>
      <c r="AG1179">
        <v>1</v>
      </c>
      <c r="AH1179">
        <v>0</v>
      </c>
      <c r="AI1179">
        <v>1</v>
      </c>
      <c r="AJ1179">
        <v>550</v>
      </c>
      <c r="AK1179">
        <v>3</v>
      </c>
      <c r="AL1179">
        <v>0</v>
      </c>
      <c r="AM1179">
        <v>1</v>
      </c>
      <c r="AN1179">
        <v>0</v>
      </c>
      <c r="AO1179">
        <v>8.2706999999999979</v>
      </c>
      <c r="AP1179">
        <v>5.47</v>
      </c>
      <c r="AQ1179">
        <v>758.226</v>
      </c>
      <c r="AT1179">
        <v>1390.12</v>
      </c>
      <c r="AU1179">
        <v>3.4</v>
      </c>
      <c r="AW1179" t="s">
        <v>353</v>
      </c>
      <c r="AX1179" t="s">
        <v>194</v>
      </c>
    </row>
    <row r="1180" spans="1:50" x14ac:dyDescent="0.45">
      <c r="A1180">
        <v>11179</v>
      </c>
      <c r="B1180">
        <v>1</v>
      </c>
      <c r="C1180">
        <v>82.67</v>
      </c>
      <c r="D1180">
        <v>5.47</v>
      </c>
      <c r="E1180">
        <v>4.8099999999999996</v>
      </c>
      <c r="F1180">
        <v>1.03</v>
      </c>
      <c r="G1180">
        <v>0</v>
      </c>
      <c r="H1180">
        <v>1.5</v>
      </c>
      <c r="I1180">
        <v>0</v>
      </c>
      <c r="J1180">
        <v>0</v>
      </c>
      <c r="K1180">
        <v>0</v>
      </c>
      <c r="L1180">
        <v>4.5199999999999996</v>
      </c>
      <c r="M1180">
        <v>0</v>
      </c>
      <c r="N1180">
        <v>0</v>
      </c>
      <c r="O1180">
        <v>0</v>
      </c>
      <c r="P1180">
        <v>0</v>
      </c>
      <c r="Q1180">
        <v>0</v>
      </c>
      <c r="R1180">
        <v>0</v>
      </c>
      <c r="S1180">
        <v>0</v>
      </c>
      <c r="T1180">
        <v>0</v>
      </c>
      <c r="U1180">
        <v>0</v>
      </c>
      <c r="V1180">
        <v>1</v>
      </c>
      <c r="Y1180">
        <v>0</v>
      </c>
      <c r="Z1180">
        <v>0</v>
      </c>
      <c r="AA1180">
        <v>1</v>
      </c>
      <c r="AB1180">
        <v>0</v>
      </c>
      <c r="AC1180">
        <v>1</v>
      </c>
      <c r="AD1180">
        <v>850</v>
      </c>
      <c r="AE1180">
        <v>2</v>
      </c>
      <c r="AF1180">
        <v>0</v>
      </c>
      <c r="AG1180">
        <v>1</v>
      </c>
      <c r="AH1180">
        <v>0</v>
      </c>
      <c r="AI1180">
        <v>1</v>
      </c>
      <c r="AJ1180">
        <v>550</v>
      </c>
      <c r="AK1180">
        <v>3</v>
      </c>
      <c r="AL1180">
        <v>0</v>
      </c>
      <c r="AM1180">
        <v>1</v>
      </c>
      <c r="AN1180">
        <v>0</v>
      </c>
      <c r="AO1180">
        <v>8.2706999999999979</v>
      </c>
      <c r="AP1180">
        <v>5.47</v>
      </c>
      <c r="AQ1180">
        <v>758.226</v>
      </c>
      <c r="AT1180">
        <v>1409.56</v>
      </c>
      <c r="AU1180">
        <v>3.39</v>
      </c>
      <c r="AW1180" t="s">
        <v>353</v>
      </c>
      <c r="AX1180" t="s">
        <v>194</v>
      </c>
    </row>
    <row r="1181" spans="1:50" x14ac:dyDescent="0.45">
      <c r="A1181">
        <v>11180</v>
      </c>
      <c r="B1181">
        <v>1</v>
      </c>
      <c r="C1181">
        <v>82.67</v>
      </c>
      <c r="D1181">
        <v>5.47</v>
      </c>
      <c r="E1181">
        <v>4.8099999999999996</v>
      </c>
      <c r="F1181">
        <v>1.03</v>
      </c>
      <c r="G1181">
        <v>0</v>
      </c>
      <c r="H1181">
        <v>1.5</v>
      </c>
      <c r="I1181">
        <v>0</v>
      </c>
      <c r="J1181">
        <v>0</v>
      </c>
      <c r="K1181">
        <v>0</v>
      </c>
      <c r="L1181">
        <v>4.5199999999999996</v>
      </c>
      <c r="M1181">
        <v>0</v>
      </c>
      <c r="N1181">
        <v>0</v>
      </c>
      <c r="O1181">
        <v>0</v>
      </c>
      <c r="P1181">
        <v>0</v>
      </c>
      <c r="Q1181">
        <v>0</v>
      </c>
      <c r="R1181">
        <v>0</v>
      </c>
      <c r="S1181">
        <v>0</v>
      </c>
      <c r="T1181">
        <v>0</v>
      </c>
      <c r="U1181">
        <v>0</v>
      </c>
      <c r="V1181">
        <v>1</v>
      </c>
      <c r="Y1181">
        <v>0</v>
      </c>
      <c r="Z1181">
        <v>0</v>
      </c>
      <c r="AA1181">
        <v>1</v>
      </c>
      <c r="AB1181">
        <v>0</v>
      </c>
      <c r="AC1181">
        <v>1</v>
      </c>
      <c r="AD1181">
        <v>860</v>
      </c>
      <c r="AE1181">
        <v>2</v>
      </c>
      <c r="AF1181">
        <v>0</v>
      </c>
      <c r="AG1181">
        <v>1</v>
      </c>
      <c r="AH1181">
        <v>0</v>
      </c>
      <c r="AI1181">
        <v>1</v>
      </c>
      <c r="AJ1181">
        <v>550</v>
      </c>
      <c r="AK1181">
        <v>3</v>
      </c>
      <c r="AL1181">
        <v>0</v>
      </c>
      <c r="AM1181">
        <v>1</v>
      </c>
      <c r="AN1181">
        <v>0</v>
      </c>
      <c r="AO1181">
        <v>8.2706999999999979</v>
      </c>
      <c r="AP1181">
        <v>5.47</v>
      </c>
      <c r="AQ1181">
        <v>758.226</v>
      </c>
      <c r="AT1181">
        <v>1423.7</v>
      </c>
      <c r="AU1181">
        <v>3.33</v>
      </c>
      <c r="AW1181" t="s">
        <v>353</v>
      </c>
      <c r="AX1181" t="s">
        <v>194</v>
      </c>
    </row>
    <row r="1182" spans="1:50" x14ac:dyDescent="0.45">
      <c r="A1182">
        <v>11181</v>
      </c>
      <c r="B1182">
        <v>1</v>
      </c>
      <c r="C1182">
        <v>82.8</v>
      </c>
      <c r="D1182">
        <v>6.2</v>
      </c>
      <c r="E1182">
        <v>0</v>
      </c>
      <c r="F1182">
        <v>1.5</v>
      </c>
      <c r="G1182">
        <v>0</v>
      </c>
      <c r="H1182">
        <v>0</v>
      </c>
      <c r="I1182">
        <v>0</v>
      </c>
      <c r="J1182">
        <v>2.6</v>
      </c>
      <c r="K1182">
        <v>2.7</v>
      </c>
      <c r="L1182">
        <v>4.2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0</v>
      </c>
      <c r="U1182">
        <v>0</v>
      </c>
      <c r="V1182">
        <v>1</v>
      </c>
      <c r="Y1182">
        <v>0</v>
      </c>
      <c r="Z1182">
        <v>0</v>
      </c>
      <c r="AA1182">
        <v>1</v>
      </c>
      <c r="AB1182">
        <v>0</v>
      </c>
      <c r="AC1182">
        <v>0</v>
      </c>
      <c r="AI1182">
        <v>0</v>
      </c>
      <c r="AO1182">
        <v>1.1560000000000006</v>
      </c>
      <c r="AP1182">
        <v>6.6333333333333337</v>
      </c>
      <c r="AQ1182">
        <v>819.03</v>
      </c>
      <c r="AS1182">
        <v>1073</v>
      </c>
      <c r="AT1182">
        <v>1097</v>
      </c>
      <c r="AU1182">
        <v>14</v>
      </c>
      <c r="AW1182" t="s">
        <v>353</v>
      </c>
      <c r="AX1182" t="s">
        <v>196</v>
      </c>
    </row>
    <row r="1183" spans="1:50" x14ac:dyDescent="0.45">
      <c r="A1183">
        <v>11182</v>
      </c>
      <c r="B1183">
        <v>1</v>
      </c>
      <c r="C1183">
        <v>82.8</v>
      </c>
      <c r="D1183">
        <v>6.2</v>
      </c>
      <c r="E1183">
        <v>0</v>
      </c>
      <c r="F1183">
        <v>1.5</v>
      </c>
      <c r="G1183">
        <v>0</v>
      </c>
      <c r="H1183">
        <v>0</v>
      </c>
      <c r="I1183">
        <v>0</v>
      </c>
      <c r="J1183">
        <v>2.6</v>
      </c>
      <c r="K1183">
        <v>2.7</v>
      </c>
      <c r="L1183">
        <v>4.2</v>
      </c>
      <c r="M1183">
        <v>0</v>
      </c>
      <c r="N1183">
        <v>0</v>
      </c>
      <c r="O1183">
        <v>0</v>
      </c>
      <c r="P1183">
        <v>0</v>
      </c>
      <c r="Q1183">
        <v>0</v>
      </c>
      <c r="R1183">
        <v>0</v>
      </c>
      <c r="S1183">
        <v>0</v>
      </c>
      <c r="T1183">
        <v>0</v>
      </c>
      <c r="U1183">
        <v>0</v>
      </c>
      <c r="V1183">
        <v>1</v>
      </c>
      <c r="Y1183">
        <v>0</v>
      </c>
      <c r="Z1183">
        <v>0</v>
      </c>
      <c r="AA1183">
        <v>1</v>
      </c>
      <c r="AB1183">
        <v>0</v>
      </c>
      <c r="AC1183">
        <v>1</v>
      </c>
      <c r="AD1183">
        <v>910</v>
      </c>
      <c r="AE1183">
        <v>1</v>
      </c>
      <c r="AF1183">
        <v>0</v>
      </c>
      <c r="AG1183">
        <v>1</v>
      </c>
      <c r="AH1183">
        <v>0</v>
      </c>
      <c r="AI1183">
        <v>1</v>
      </c>
      <c r="AJ1183">
        <v>590</v>
      </c>
      <c r="AK1183">
        <v>4</v>
      </c>
      <c r="AL1183">
        <v>0</v>
      </c>
      <c r="AM1183">
        <v>1</v>
      </c>
      <c r="AN1183">
        <v>0</v>
      </c>
      <c r="AO1183">
        <v>1.1560000000000006</v>
      </c>
      <c r="AP1183">
        <v>6.6333333333333337</v>
      </c>
      <c r="AQ1183">
        <v>819.03</v>
      </c>
      <c r="AS1183">
        <v>1258</v>
      </c>
      <c r="AT1183">
        <v>1331</v>
      </c>
      <c r="AU1183">
        <v>9.8000000000000007</v>
      </c>
      <c r="AW1183" t="s">
        <v>353</v>
      </c>
      <c r="AX1183" t="s">
        <v>196</v>
      </c>
    </row>
    <row r="1184" spans="1:50" x14ac:dyDescent="0.45">
      <c r="A1184">
        <v>11183</v>
      </c>
      <c r="B1184">
        <v>1</v>
      </c>
      <c r="C1184">
        <v>82.8</v>
      </c>
      <c r="D1184">
        <v>6.2</v>
      </c>
      <c r="E1184">
        <v>0</v>
      </c>
      <c r="F1184">
        <v>1.5</v>
      </c>
      <c r="G1184">
        <v>0</v>
      </c>
      <c r="H1184">
        <v>0</v>
      </c>
      <c r="I1184">
        <v>0</v>
      </c>
      <c r="J1184">
        <v>2.6</v>
      </c>
      <c r="K1184">
        <v>2.7</v>
      </c>
      <c r="L1184">
        <v>4.2</v>
      </c>
      <c r="M1184">
        <v>0</v>
      </c>
      <c r="N1184">
        <v>0</v>
      </c>
      <c r="O1184">
        <v>0</v>
      </c>
      <c r="P1184">
        <v>0</v>
      </c>
      <c r="Q1184">
        <v>0</v>
      </c>
      <c r="R1184">
        <v>0</v>
      </c>
      <c r="S1184">
        <v>0</v>
      </c>
      <c r="T1184">
        <v>0</v>
      </c>
      <c r="U1184">
        <v>0</v>
      </c>
      <c r="V1184">
        <v>1</v>
      </c>
      <c r="Y1184">
        <v>0</v>
      </c>
      <c r="Z1184">
        <v>0</v>
      </c>
      <c r="AA1184">
        <v>1</v>
      </c>
      <c r="AB1184">
        <v>0</v>
      </c>
      <c r="AC1184">
        <v>1</v>
      </c>
      <c r="AD1184">
        <v>910</v>
      </c>
      <c r="AE1184">
        <v>1</v>
      </c>
      <c r="AI1184">
        <v>1</v>
      </c>
      <c r="AJ1184">
        <v>590</v>
      </c>
      <c r="AK1184">
        <v>4</v>
      </c>
      <c r="AL1184">
        <v>0</v>
      </c>
      <c r="AM1184">
        <v>1</v>
      </c>
      <c r="AN1184">
        <v>0</v>
      </c>
      <c r="AO1184">
        <v>1.1560000000000006</v>
      </c>
      <c r="AP1184">
        <v>6.6333333333333337</v>
      </c>
      <c r="AQ1184">
        <v>819.03</v>
      </c>
      <c r="AS1184">
        <v>1113</v>
      </c>
      <c r="AT1184">
        <v>1188</v>
      </c>
      <c r="AU1184">
        <v>13</v>
      </c>
      <c r="AW1184" t="s">
        <v>353</v>
      </c>
      <c r="AX1184" t="s">
        <v>196</v>
      </c>
    </row>
    <row r="1185" spans="1:50" x14ac:dyDescent="0.45">
      <c r="A1185">
        <v>11184</v>
      </c>
      <c r="B1185">
        <v>1</v>
      </c>
      <c r="C1185">
        <v>82.8</v>
      </c>
      <c r="D1185">
        <v>6.2</v>
      </c>
      <c r="E1185">
        <v>0</v>
      </c>
      <c r="F1185">
        <v>1.5</v>
      </c>
      <c r="G1185">
        <v>0</v>
      </c>
      <c r="H1185">
        <v>0</v>
      </c>
      <c r="I1185">
        <v>0</v>
      </c>
      <c r="J1185">
        <v>2.6</v>
      </c>
      <c r="K1185">
        <v>2.7</v>
      </c>
      <c r="L1185">
        <v>4.2</v>
      </c>
      <c r="M1185">
        <v>0</v>
      </c>
      <c r="N1185">
        <v>0</v>
      </c>
      <c r="O1185">
        <v>0</v>
      </c>
      <c r="P1185">
        <v>0</v>
      </c>
      <c r="Q1185">
        <v>0</v>
      </c>
      <c r="R1185">
        <v>0</v>
      </c>
      <c r="S1185">
        <v>0</v>
      </c>
      <c r="T1185">
        <v>0</v>
      </c>
      <c r="U1185">
        <v>0</v>
      </c>
      <c r="V1185">
        <v>1</v>
      </c>
      <c r="Y1185">
        <v>0</v>
      </c>
      <c r="Z1185">
        <v>0</v>
      </c>
      <c r="AA1185">
        <v>1</v>
      </c>
      <c r="AB1185">
        <v>0</v>
      </c>
      <c r="AC1185">
        <v>1</v>
      </c>
      <c r="AD1185">
        <v>910</v>
      </c>
      <c r="AE1185">
        <v>1</v>
      </c>
      <c r="AF1185">
        <v>0</v>
      </c>
      <c r="AG1185">
        <v>0</v>
      </c>
      <c r="AH1185">
        <v>1</v>
      </c>
      <c r="AI1185">
        <v>1</v>
      </c>
      <c r="AJ1185">
        <v>590</v>
      </c>
      <c r="AK1185">
        <v>4</v>
      </c>
      <c r="AL1185">
        <v>0</v>
      </c>
      <c r="AM1185">
        <v>1</v>
      </c>
      <c r="AN1185">
        <v>0</v>
      </c>
      <c r="AO1185">
        <v>1.1560000000000006</v>
      </c>
      <c r="AP1185">
        <v>6.6333333333333337</v>
      </c>
      <c r="AQ1185">
        <v>819.03</v>
      </c>
      <c r="AS1185">
        <v>1001</v>
      </c>
      <c r="AT1185">
        <v>1048</v>
      </c>
      <c r="AU1185">
        <v>20.3</v>
      </c>
      <c r="AW1185" t="s">
        <v>353</v>
      </c>
      <c r="AX1185" t="s">
        <v>196</v>
      </c>
    </row>
    <row r="1186" spans="1:50" x14ac:dyDescent="0.45">
      <c r="A1186">
        <v>11185</v>
      </c>
      <c r="B1186">
        <v>0</v>
      </c>
      <c r="C1186">
        <v>81.05</v>
      </c>
      <c r="D1186">
        <v>5.01</v>
      </c>
      <c r="E1186">
        <v>4.9800000000000004</v>
      </c>
      <c r="F1186">
        <v>2.99</v>
      </c>
      <c r="G1186">
        <v>0</v>
      </c>
      <c r="H1186">
        <v>0</v>
      </c>
      <c r="I1186">
        <v>0</v>
      </c>
      <c r="J1186">
        <v>1</v>
      </c>
      <c r="K1186">
        <v>0</v>
      </c>
      <c r="L1186">
        <v>4.97</v>
      </c>
      <c r="M1186">
        <v>0</v>
      </c>
      <c r="N1186">
        <v>0</v>
      </c>
      <c r="O1186">
        <v>0</v>
      </c>
      <c r="P1186">
        <v>0</v>
      </c>
      <c r="Q1186">
        <v>0</v>
      </c>
      <c r="R1186">
        <v>0</v>
      </c>
      <c r="S1186">
        <v>0</v>
      </c>
      <c r="T1186">
        <v>0</v>
      </c>
      <c r="U1186">
        <v>0</v>
      </c>
      <c r="V1186">
        <v>1</v>
      </c>
      <c r="Y1186">
        <v>0</v>
      </c>
      <c r="Z1186">
        <v>0</v>
      </c>
      <c r="AA1186">
        <v>1</v>
      </c>
      <c r="AB1186">
        <v>0</v>
      </c>
      <c r="AC1186">
        <v>1</v>
      </c>
      <c r="AD1186">
        <v>860</v>
      </c>
      <c r="AE1186">
        <v>2</v>
      </c>
      <c r="AF1186">
        <v>0</v>
      </c>
      <c r="AG1186">
        <v>0</v>
      </c>
      <c r="AH1186">
        <v>1</v>
      </c>
      <c r="AI1186">
        <v>1</v>
      </c>
      <c r="AJ1186">
        <v>610</v>
      </c>
      <c r="AK1186">
        <v>3</v>
      </c>
      <c r="AL1186">
        <v>0</v>
      </c>
      <c r="AM1186">
        <v>1</v>
      </c>
      <c r="AN1186">
        <v>0</v>
      </c>
      <c r="AO1186">
        <v>8.0806000000000004</v>
      </c>
      <c r="AP1186">
        <v>5.1766666666666667</v>
      </c>
      <c r="AQ1186">
        <v>743.46299999999997</v>
      </c>
      <c r="AW1186" t="s">
        <v>353</v>
      </c>
      <c r="AX1186" t="s">
        <v>199</v>
      </c>
    </row>
    <row r="1187" spans="1:50" x14ac:dyDescent="0.45">
      <c r="A1187">
        <v>11186</v>
      </c>
      <c r="B1187">
        <v>0</v>
      </c>
      <c r="C1187">
        <v>81.05</v>
      </c>
      <c r="D1187">
        <v>5.01</v>
      </c>
      <c r="E1187">
        <v>4.9800000000000004</v>
      </c>
      <c r="F1187">
        <v>2.99</v>
      </c>
      <c r="G1187">
        <v>0</v>
      </c>
      <c r="H1187">
        <v>0</v>
      </c>
      <c r="I1187">
        <v>0</v>
      </c>
      <c r="J1187">
        <v>1</v>
      </c>
      <c r="K1187">
        <v>0</v>
      </c>
      <c r="L1187">
        <v>4.97</v>
      </c>
      <c r="M1187">
        <v>0</v>
      </c>
      <c r="N1187">
        <v>0</v>
      </c>
      <c r="O1187">
        <v>0</v>
      </c>
      <c r="P1187">
        <v>0</v>
      </c>
      <c r="Q1187">
        <v>0</v>
      </c>
      <c r="R1187">
        <v>0</v>
      </c>
      <c r="S1187">
        <v>0</v>
      </c>
      <c r="T1187">
        <v>0</v>
      </c>
      <c r="U1187">
        <v>0</v>
      </c>
      <c r="V1187">
        <v>1</v>
      </c>
      <c r="Y1187">
        <v>0</v>
      </c>
      <c r="Z1187">
        <v>0</v>
      </c>
      <c r="AA1187">
        <v>1</v>
      </c>
      <c r="AB1187">
        <v>0</v>
      </c>
      <c r="AC1187">
        <v>1</v>
      </c>
      <c r="AD1187">
        <v>860</v>
      </c>
      <c r="AE1187">
        <v>2</v>
      </c>
      <c r="AF1187">
        <v>0</v>
      </c>
      <c r="AG1187">
        <v>0</v>
      </c>
      <c r="AH1187">
        <v>1</v>
      </c>
      <c r="AI1187">
        <v>1</v>
      </c>
      <c r="AJ1187">
        <v>640</v>
      </c>
      <c r="AK1187">
        <v>3</v>
      </c>
      <c r="AL1187">
        <v>0</v>
      </c>
      <c r="AM1187">
        <v>1</v>
      </c>
      <c r="AN1187">
        <v>0</v>
      </c>
      <c r="AO1187">
        <v>8.0806000000000004</v>
      </c>
      <c r="AP1187">
        <v>5.1766666666666667</v>
      </c>
      <c r="AQ1187">
        <v>743.46299999999997</v>
      </c>
      <c r="AW1187" t="s">
        <v>353</v>
      </c>
      <c r="AX1187" t="s">
        <v>199</v>
      </c>
    </row>
    <row r="1188" spans="1:50" x14ac:dyDescent="0.45">
      <c r="A1188">
        <v>11187</v>
      </c>
      <c r="B1188">
        <v>0</v>
      </c>
      <c r="C1188">
        <v>81.05</v>
      </c>
      <c r="D1188">
        <v>5.01</v>
      </c>
      <c r="E1188">
        <v>4.9800000000000004</v>
      </c>
      <c r="F1188">
        <v>2.99</v>
      </c>
      <c r="G1188">
        <v>0</v>
      </c>
      <c r="H1188">
        <v>0</v>
      </c>
      <c r="I1188">
        <v>0</v>
      </c>
      <c r="J1188">
        <v>1</v>
      </c>
      <c r="K1188">
        <v>0</v>
      </c>
      <c r="L1188">
        <v>4.97</v>
      </c>
      <c r="M1188">
        <v>0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1</v>
      </c>
      <c r="Y1188">
        <v>0</v>
      </c>
      <c r="Z1188">
        <v>0</v>
      </c>
      <c r="AA1188">
        <v>1</v>
      </c>
      <c r="AB1188">
        <v>0</v>
      </c>
      <c r="AC1188">
        <v>1</v>
      </c>
      <c r="AD1188">
        <v>860</v>
      </c>
      <c r="AE1188">
        <v>2</v>
      </c>
      <c r="AF1188">
        <v>0</v>
      </c>
      <c r="AG1188">
        <v>0</v>
      </c>
      <c r="AH1188">
        <v>1</v>
      </c>
      <c r="AI1188">
        <v>1</v>
      </c>
      <c r="AJ1188">
        <v>670</v>
      </c>
      <c r="AK1188">
        <v>3</v>
      </c>
      <c r="AL1188">
        <v>0</v>
      </c>
      <c r="AM1188">
        <v>1</v>
      </c>
      <c r="AN1188">
        <v>0</v>
      </c>
      <c r="AO1188">
        <v>8.0806000000000004</v>
      </c>
      <c r="AP1188">
        <v>5.1766666666666667</v>
      </c>
      <c r="AQ1188">
        <v>743.46299999999997</v>
      </c>
      <c r="AW1188" t="s">
        <v>353</v>
      </c>
      <c r="AX1188" t="s">
        <v>199</v>
      </c>
    </row>
    <row r="1189" spans="1:50" x14ac:dyDescent="0.45">
      <c r="A1189">
        <v>11188</v>
      </c>
      <c r="B1189">
        <v>0</v>
      </c>
      <c r="C1189">
        <v>93.352599999999995</v>
      </c>
      <c r="D1189">
        <v>2.61</v>
      </c>
      <c r="E1189">
        <v>0</v>
      </c>
      <c r="F1189">
        <v>0</v>
      </c>
      <c r="G1189">
        <v>0</v>
      </c>
      <c r="H1189">
        <v>1.7000000000000001E-2</v>
      </c>
      <c r="I1189">
        <v>0</v>
      </c>
      <c r="J1189">
        <v>3.07</v>
      </c>
      <c r="K1189">
        <v>0.02</v>
      </c>
      <c r="L1189">
        <v>0.86</v>
      </c>
      <c r="M1189">
        <v>0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1</v>
      </c>
      <c r="W1189">
        <v>1050</v>
      </c>
      <c r="Y1189">
        <v>0</v>
      </c>
      <c r="Z1189">
        <v>0</v>
      </c>
      <c r="AA1189">
        <v>1</v>
      </c>
      <c r="AB1189">
        <v>0</v>
      </c>
      <c r="AC1189">
        <v>1</v>
      </c>
      <c r="AD1189">
        <v>950</v>
      </c>
      <c r="AE1189">
        <v>1</v>
      </c>
      <c r="AF1189">
        <v>0</v>
      </c>
      <c r="AG1189">
        <v>0</v>
      </c>
      <c r="AH1189">
        <v>1</v>
      </c>
      <c r="AI1189">
        <v>0</v>
      </c>
      <c r="AO1189">
        <v>-1.6950999999999998</v>
      </c>
      <c r="AP1189">
        <v>3.1216666666666666</v>
      </c>
      <c r="AQ1189">
        <v>857.86620000000005</v>
      </c>
      <c r="AX1189" t="s">
        <v>202</v>
      </c>
    </row>
    <row r="1190" spans="1:50" x14ac:dyDescent="0.45">
      <c r="A1190">
        <v>11189</v>
      </c>
      <c r="B1190">
        <v>0</v>
      </c>
      <c r="C1190">
        <v>93.352599999999995</v>
      </c>
      <c r="D1190">
        <v>2.61</v>
      </c>
      <c r="E1190">
        <v>0</v>
      </c>
      <c r="F1190">
        <v>0</v>
      </c>
      <c r="G1190">
        <v>0</v>
      </c>
      <c r="H1190">
        <v>1.7000000000000001E-2</v>
      </c>
      <c r="I1190">
        <v>0</v>
      </c>
      <c r="J1190">
        <v>3.07</v>
      </c>
      <c r="K1190">
        <v>0.02</v>
      </c>
      <c r="L1190">
        <v>0.86</v>
      </c>
      <c r="M1190">
        <v>0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1</v>
      </c>
      <c r="W1190">
        <v>1050</v>
      </c>
      <c r="Y1190">
        <v>0</v>
      </c>
      <c r="Z1190">
        <v>0</v>
      </c>
      <c r="AA1190">
        <v>1</v>
      </c>
      <c r="AB1190">
        <v>0</v>
      </c>
      <c r="AC1190">
        <v>1</v>
      </c>
      <c r="AD1190">
        <v>950</v>
      </c>
      <c r="AE1190">
        <v>1</v>
      </c>
      <c r="AF1190">
        <v>0</v>
      </c>
      <c r="AG1190">
        <v>0</v>
      </c>
      <c r="AH1190">
        <v>1</v>
      </c>
      <c r="AI1190">
        <v>0</v>
      </c>
      <c r="AO1190">
        <v>-1.6950999999999998</v>
      </c>
      <c r="AP1190">
        <v>3.1216666666666666</v>
      </c>
      <c r="AQ1190">
        <v>857.86620000000005</v>
      </c>
      <c r="AX1190" t="s">
        <v>202</v>
      </c>
    </row>
    <row r="1191" spans="1:50" x14ac:dyDescent="0.45">
      <c r="A1191">
        <v>11190</v>
      </c>
      <c r="B1191">
        <v>0</v>
      </c>
      <c r="C1191">
        <v>93.352599999999995</v>
      </c>
      <c r="D1191">
        <v>2.61</v>
      </c>
      <c r="E1191">
        <v>0</v>
      </c>
      <c r="F1191">
        <v>0</v>
      </c>
      <c r="G1191">
        <v>0</v>
      </c>
      <c r="H1191">
        <v>1.7000000000000001E-2</v>
      </c>
      <c r="I1191">
        <v>0</v>
      </c>
      <c r="J1191">
        <v>3.07</v>
      </c>
      <c r="K1191">
        <v>0.02</v>
      </c>
      <c r="L1191">
        <v>0.86</v>
      </c>
      <c r="M1191">
        <v>0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1</v>
      </c>
      <c r="W1191">
        <v>1050</v>
      </c>
      <c r="Y1191">
        <v>0</v>
      </c>
      <c r="Z1191">
        <v>0</v>
      </c>
      <c r="AA1191">
        <v>1</v>
      </c>
      <c r="AB1191">
        <v>0</v>
      </c>
      <c r="AC1191">
        <v>1</v>
      </c>
      <c r="AD1191">
        <v>950</v>
      </c>
      <c r="AE1191">
        <v>1</v>
      </c>
      <c r="AF1191">
        <v>0</v>
      </c>
      <c r="AG1191">
        <v>0</v>
      </c>
      <c r="AH1191">
        <v>1</v>
      </c>
      <c r="AI1191">
        <v>0</v>
      </c>
      <c r="AO1191">
        <v>-1.6950999999999998</v>
      </c>
      <c r="AP1191">
        <v>3.1216666666666666</v>
      </c>
      <c r="AQ1191">
        <v>857.86620000000005</v>
      </c>
      <c r="AX1191" t="s">
        <v>202</v>
      </c>
    </row>
    <row r="1192" spans="1:50" x14ac:dyDescent="0.45">
      <c r="A1192">
        <v>11191</v>
      </c>
      <c r="B1192">
        <v>0</v>
      </c>
      <c r="C1192">
        <v>93.352599999999995</v>
      </c>
      <c r="D1192">
        <v>2.61</v>
      </c>
      <c r="E1192">
        <v>0</v>
      </c>
      <c r="F1192">
        <v>0</v>
      </c>
      <c r="G1192">
        <v>0</v>
      </c>
      <c r="H1192">
        <v>1.7000000000000001E-2</v>
      </c>
      <c r="I1192">
        <v>0</v>
      </c>
      <c r="J1192">
        <v>3.07</v>
      </c>
      <c r="K1192">
        <v>0.02</v>
      </c>
      <c r="L1192">
        <v>0.86</v>
      </c>
      <c r="M1192">
        <v>0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1</v>
      </c>
      <c r="W1192">
        <v>1050</v>
      </c>
      <c r="Y1192">
        <v>0</v>
      </c>
      <c r="Z1192">
        <v>0</v>
      </c>
      <c r="AA1192">
        <v>1</v>
      </c>
      <c r="AB1192">
        <v>0</v>
      </c>
      <c r="AC1192">
        <v>1</v>
      </c>
      <c r="AD1192">
        <v>950</v>
      </c>
      <c r="AE1192">
        <v>1</v>
      </c>
      <c r="AF1192">
        <v>0</v>
      </c>
      <c r="AG1192">
        <v>0</v>
      </c>
      <c r="AH1192">
        <v>1</v>
      </c>
      <c r="AI1192">
        <v>0</v>
      </c>
      <c r="AO1192">
        <v>-1.6950999999999998</v>
      </c>
      <c r="AP1192">
        <v>3.1216666666666666</v>
      </c>
      <c r="AQ1192">
        <v>857.86620000000005</v>
      </c>
      <c r="AX1192" t="s">
        <v>202</v>
      </c>
    </row>
    <row r="1193" spans="1:50" x14ac:dyDescent="0.45">
      <c r="A1193">
        <v>11192</v>
      </c>
      <c r="B1193">
        <v>0</v>
      </c>
      <c r="C1193">
        <v>93.352599999999995</v>
      </c>
      <c r="D1193">
        <v>2.61</v>
      </c>
      <c r="E1193">
        <v>0</v>
      </c>
      <c r="F1193">
        <v>0</v>
      </c>
      <c r="G1193">
        <v>0</v>
      </c>
      <c r="H1193">
        <v>1.7000000000000001E-2</v>
      </c>
      <c r="I1193">
        <v>0</v>
      </c>
      <c r="J1193">
        <v>3.07</v>
      </c>
      <c r="K1193">
        <v>0.02</v>
      </c>
      <c r="L1193">
        <v>0.86</v>
      </c>
      <c r="M1193">
        <v>0</v>
      </c>
      <c r="N1193">
        <v>0</v>
      </c>
      <c r="O1193">
        <v>0</v>
      </c>
      <c r="P1193">
        <v>0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1</v>
      </c>
      <c r="W1193">
        <v>1050</v>
      </c>
      <c r="Y1193">
        <v>0</v>
      </c>
      <c r="Z1193">
        <v>0</v>
      </c>
      <c r="AA1193">
        <v>1</v>
      </c>
      <c r="AB1193">
        <v>0</v>
      </c>
      <c r="AC1193">
        <v>1</v>
      </c>
      <c r="AD1193">
        <v>950</v>
      </c>
      <c r="AE1193">
        <v>1</v>
      </c>
      <c r="AF1193">
        <v>0</v>
      </c>
      <c r="AG1193">
        <v>0</v>
      </c>
      <c r="AH1193">
        <v>1</v>
      </c>
      <c r="AI1193">
        <v>0</v>
      </c>
      <c r="AO1193">
        <v>-1.6950999999999998</v>
      </c>
      <c r="AP1193">
        <v>3.1216666666666666</v>
      </c>
      <c r="AQ1193">
        <v>857.86620000000005</v>
      </c>
      <c r="AX1193" t="s">
        <v>202</v>
      </c>
    </row>
    <row r="1194" spans="1:50" x14ac:dyDescent="0.45">
      <c r="A1194">
        <v>11193</v>
      </c>
      <c r="B1194">
        <v>1</v>
      </c>
      <c r="C1194">
        <v>87.11</v>
      </c>
      <c r="D1194">
        <v>6.11</v>
      </c>
      <c r="E1194">
        <v>0</v>
      </c>
      <c r="F1194">
        <v>1.71</v>
      </c>
      <c r="G1194">
        <v>0</v>
      </c>
      <c r="H1194">
        <v>0</v>
      </c>
      <c r="I1194">
        <v>0</v>
      </c>
      <c r="J1194">
        <v>1.01</v>
      </c>
      <c r="K1194">
        <v>1.03</v>
      </c>
      <c r="L1194">
        <v>2.1</v>
      </c>
      <c r="M1194">
        <v>0.93</v>
      </c>
      <c r="N1194">
        <v>0</v>
      </c>
      <c r="O1194">
        <v>0</v>
      </c>
      <c r="P1194">
        <v>0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1</v>
      </c>
      <c r="Y1194">
        <v>0</v>
      </c>
      <c r="Z1194">
        <v>0</v>
      </c>
      <c r="AA1194">
        <v>1</v>
      </c>
      <c r="AB1194">
        <v>0</v>
      </c>
      <c r="AC1194">
        <v>1</v>
      </c>
      <c r="AD1194">
        <v>910</v>
      </c>
      <c r="AE1194">
        <v>2</v>
      </c>
      <c r="AF1194">
        <v>1</v>
      </c>
      <c r="AG1194">
        <v>0</v>
      </c>
      <c r="AH1194">
        <v>0</v>
      </c>
      <c r="AI1194">
        <v>0</v>
      </c>
      <c r="AO1194">
        <v>-0.98559999999999981</v>
      </c>
      <c r="AP1194">
        <v>6.5883333333333329</v>
      </c>
      <c r="AQ1194">
        <v>851.12699999999984</v>
      </c>
      <c r="AT1194">
        <v>1144</v>
      </c>
      <c r="AU1194">
        <v>15</v>
      </c>
      <c r="AX1194" t="s">
        <v>203</v>
      </c>
    </row>
    <row r="1195" spans="1:50" x14ac:dyDescent="0.45">
      <c r="A1195">
        <v>11194</v>
      </c>
      <c r="B1195">
        <v>1</v>
      </c>
      <c r="C1195">
        <v>87.11</v>
      </c>
      <c r="D1195">
        <v>6.11</v>
      </c>
      <c r="E1195">
        <v>0</v>
      </c>
      <c r="F1195">
        <v>1.71</v>
      </c>
      <c r="G1195">
        <v>0</v>
      </c>
      <c r="H1195">
        <v>0</v>
      </c>
      <c r="I1195">
        <v>0</v>
      </c>
      <c r="J1195">
        <v>1.01</v>
      </c>
      <c r="K1195">
        <v>1.03</v>
      </c>
      <c r="L1195">
        <v>2.1</v>
      </c>
      <c r="M1195">
        <v>0.93</v>
      </c>
      <c r="N1195">
        <v>0</v>
      </c>
      <c r="O1195">
        <v>0</v>
      </c>
      <c r="P1195">
        <v>0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1</v>
      </c>
      <c r="Y1195">
        <v>0</v>
      </c>
      <c r="Z1195">
        <v>0</v>
      </c>
      <c r="AA1195">
        <v>1</v>
      </c>
      <c r="AB1195">
        <v>0</v>
      </c>
      <c r="AC1195">
        <v>1</v>
      </c>
      <c r="AD1195">
        <v>930</v>
      </c>
      <c r="AE1195">
        <v>2</v>
      </c>
      <c r="AF1195">
        <v>1</v>
      </c>
      <c r="AG1195">
        <v>0</v>
      </c>
      <c r="AH1195">
        <v>0</v>
      </c>
      <c r="AI1195">
        <v>0</v>
      </c>
      <c r="AO1195">
        <v>-0.98559999999999981</v>
      </c>
      <c r="AP1195">
        <v>6.5883333333333329</v>
      </c>
      <c r="AQ1195">
        <v>851.12699999999984</v>
      </c>
      <c r="AT1195">
        <v>1205</v>
      </c>
      <c r="AU1195">
        <v>11</v>
      </c>
      <c r="AX1195" t="s">
        <v>203</v>
      </c>
    </row>
    <row r="1196" spans="1:50" x14ac:dyDescent="0.45">
      <c r="A1196">
        <v>11195</v>
      </c>
      <c r="B1196">
        <v>1</v>
      </c>
      <c r="C1196">
        <v>87.11</v>
      </c>
      <c r="D1196">
        <v>6.11</v>
      </c>
      <c r="E1196">
        <v>0</v>
      </c>
      <c r="F1196">
        <v>1.71</v>
      </c>
      <c r="G1196">
        <v>0</v>
      </c>
      <c r="H1196">
        <v>0</v>
      </c>
      <c r="I1196">
        <v>0</v>
      </c>
      <c r="J1196">
        <v>1.01</v>
      </c>
      <c r="K1196">
        <v>1.03</v>
      </c>
      <c r="L1196">
        <v>2.1</v>
      </c>
      <c r="M1196">
        <v>0.93</v>
      </c>
      <c r="N1196">
        <v>0</v>
      </c>
      <c r="O1196">
        <v>0</v>
      </c>
      <c r="P1196">
        <v>0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1</v>
      </c>
      <c r="Y1196">
        <v>0</v>
      </c>
      <c r="Z1196">
        <v>0</v>
      </c>
      <c r="AA1196">
        <v>1</v>
      </c>
      <c r="AB1196">
        <v>0</v>
      </c>
      <c r="AC1196">
        <v>1</v>
      </c>
      <c r="AD1196">
        <v>950</v>
      </c>
      <c r="AE1196">
        <v>2</v>
      </c>
      <c r="AF1196">
        <v>1</v>
      </c>
      <c r="AG1196">
        <v>0</v>
      </c>
      <c r="AH1196">
        <v>0</v>
      </c>
      <c r="AI1196">
        <v>0</v>
      </c>
      <c r="AO1196">
        <v>-0.98559999999999981</v>
      </c>
      <c r="AP1196">
        <v>6.5883333333333329</v>
      </c>
      <c r="AQ1196">
        <v>851.12699999999984</v>
      </c>
      <c r="AT1196">
        <v>1322</v>
      </c>
      <c r="AU1196">
        <v>7</v>
      </c>
      <c r="AX1196" t="s">
        <v>203</v>
      </c>
    </row>
    <row r="1197" spans="1:50" x14ac:dyDescent="0.45">
      <c r="A1197">
        <v>11196</v>
      </c>
      <c r="B1197">
        <v>1</v>
      </c>
      <c r="C1197">
        <v>87.11</v>
      </c>
      <c r="D1197">
        <v>6.11</v>
      </c>
      <c r="E1197">
        <v>0</v>
      </c>
      <c r="F1197">
        <v>1.71</v>
      </c>
      <c r="G1197">
        <v>0</v>
      </c>
      <c r="H1197">
        <v>0</v>
      </c>
      <c r="I1197">
        <v>0</v>
      </c>
      <c r="J1197">
        <v>1.01</v>
      </c>
      <c r="K1197">
        <v>1.03</v>
      </c>
      <c r="L1197">
        <v>2.1</v>
      </c>
      <c r="M1197">
        <v>0.93</v>
      </c>
      <c r="N1197">
        <v>0</v>
      </c>
      <c r="O1197">
        <v>0</v>
      </c>
      <c r="P1197">
        <v>0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1</v>
      </c>
      <c r="Y1197">
        <v>0</v>
      </c>
      <c r="Z1197">
        <v>0</v>
      </c>
      <c r="AA1197">
        <v>1</v>
      </c>
      <c r="AB1197">
        <v>0</v>
      </c>
      <c r="AC1197">
        <v>1</v>
      </c>
      <c r="AD1197">
        <v>970</v>
      </c>
      <c r="AE1197">
        <v>2</v>
      </c>
      <c r="AF1197">
        <v>1</v>
      </c>
      <c r="AG1197">
        <v>0</v>
      </c>
      <c r="AH1197">
        <v>0</v>
      </c>
      <c r="AI1197">
        <v>0</v>
      </c>
      <c r="AO1197">
        <v>-0.98559999999999981</v>
      </c>
      <c r="AP1197">
        <v>6.5883333333333329</v>
      </c>
      <c r="AQ1197">
        <v>851.12699999999984</v>
      </c>
      <c r="AT1197">
        <v>1215</v>
      </c>
      <c r="AU1197">
        <v>2.4500000000000002</v>
      </c>
      <c r="AX1197" t="s">
        <v>203</v>
      </c>
    </row>
    <row r="1198" spans="1:50" x14ac:dyDescent="0.45">
      <c r="A1198">
        <v>11197</v>
      </c>
      <c r="B1198">
        <v>1</v>
      </c>
      <c r="C1198">
        <v>87.11</v>
      </c>
      <c r="D1198">
        <v>6.11</v>
      </c>
      <c r="E1198">
        <v>0</v>
      </c>
      <c r="F1198">
        <v>1.71</v>
      </c>
      <c r="G1198">
        <v>0</v>
      </c>
      <c r="H1198">
        <v>0</v>
      </c>
      <c r="I1198">
        <v>0</v>
      </c>
      <c r="J1198">
        <v>1.01</v>
      </c>
      <c r="K1198">
        <v>1.03</v>
      </c>
      <c r="L1198">
        <v>2.1</v>
      </c>
      <c r="M1198">
        <v>0.93</v>
      </c>
      <c r="N1198">
        <v>0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1</v>
      </c>
      <c r="Y1198">
        <v>0</v>
      </c>
      <c r="Z1198">
        <v>0</v>
      </c>
      <c r="AA1198">
        <v>1</v>
      </c>
      <c r="AB1198">
        <v>0</v>
      </c>
      <c r="AC1198">
        <v>1</v>
      </c>
      <c r="AD1198">
        <v>990</v>
      </c>
      <c r="AE1198">
        <v>2</v>
      </c>
      <c r="AF1198">
        <v>1</v>
      </c>
      <c r="AG1198">
        <v>0</v>
      </c>
      <c r="AH1198">
        <v>0</v>
      </c>
      <c r="AI1198">
        <v>0</v>
      </c>
      <c r="AO1198">
        <v>-0.98559999999999981</v>
      </c>
      <c r="AP1198">
        <v>6.5883333333333329</v>
      </c>
      <c r="AQ1198">
        <v>851.12699999999984</v>
      </c>
      <c r="AT1198">
        <v>1213</v>
      </c>
      <c r="AU1198">
        <v>2.4500000000000002</v>
      </c>
      <c r="AX1198" t="s">
        <v>203</v>
      </c>
    </row>
    <row r="1199" spans="1:50" x14ac:dyDescent="0.45">
      <c r="A1199">
        <v>11198</v>
      </c>
      <c r="B1199">
        <v>1</v>
      </c>
      <c r="C1199">
        <v>87.11</v>
      </c>
      <c r="D1199">
        <v>6.11</v>
      </c>
      <c r="E1199">
        <v>0</v>
      </c>
      <c r="F1199">
        <v>1.71</v>
      </c>
      <c r="G1199">
        <v>0</v>
      </c>
      <c r="H1199">
        <v>0</v>
      </c>
      <c r="I1199">
        <v>0</v>
      </c>
      <c r="J1199">
        <v>1.01</v>
      </c>
      <c r="K1199">
        <v>1.03</v>
      </c>
      <c r="L1199">
        <v>2.1</v>
      </c>
      <c r="M1199">
        <v>0.93</v>
      </c>
      <c r="N1199">
        <v>0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1</v>
      </c>
      <c r="Y1199">
        <v>0</v>
      </c>
      <c r="Z1199">
        <v>0</v>
      </c>
      <c r="AA1199">
        <v>1</v>
      </c>
      <c r="AB1199">
        <v>0</v>
      </c>
      <c r="AC1199">
        <v>1</v>
      </c>
      <c r="AD1199">
        <v>1010</v>
      </c>
      <c r="AE1199">
        <v>2</v>
      </c>
      <c r="AF1199">
        <v>1</v>
      </c>
      <c r="AG1199">
        <v>0</v>
      </c>
      <c r="AH1199">
        <v>0</v>
      </c>
      <c r="AI1199">
        <v>0</v>
      </c>
      <c r="AO1199">
        <v>-0.98559999999999981</v>
      </c>
      <c r="AP1199">
        <v>6.5883333333333329</v>
      </c>
      <c r="AQ1199">
        <v>851.12699999999984</v>
      </c>
      <c r="AT1199">
        <v>1210</v>
      </c>
      <c r="AU1199">
        <v>1.98</v>
      </c>
      <c r="AX1199" t="s">
        <v>203</v>
      </c>
    </row>
    <row r="1200" spans="1:50" x14ac:dyDescent="0.45">
      <c r="A1200">
        <v>11199</v>
      </c>
      <c r="B1200">
        <v>1</v>
      </c>
      <c r="C1200">
        <v>80.477999999999994</v>
      </c>
      <c r="D1200">
        <v>5.01</v>
      </c>
      <c r="E1200">
        <v>4.9800000000000004</v>
      </c>
      <c r="F1200">
        <v>2.99</v>
      </c>
      <c r="G1200">
        <v>0</v>
      </c>
      <c r="H1200">
        <v>0.37</v>
      </c>
      <c r="I1200">
        <v>0</v>
      </c>
      <c r="J1200">
        <v>1</v>
      </c>
      <c r="K1200">
        <v>0</v>
      </c>
      <c r="L1200">
        <v>4.97</v>
      </c>
      <c r="M1200">
        <v>0</v>
      </c>
      <c r="N1200">
        <v>0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1</v>
      </c>
      <c r="Y1200">
        <v>0</v>
      </c>
      <c r="Z1200">
        <v>0</v>
      </c>
      <c r="AA1200">
        <v>1</v>
      </c>
      <c r="AB1200">
        <v>0</v>
      </c>
      <c r="AC1200">
        <v>1</v>
      </c>
      <c r="AD1200">
        <v>760</v>
      </c>
      <c r="AE1200">
        <v>0.5</v>
      </c>
      <c r="AF1200">
        <v>0</v>
      </c>
      <c r="AG1200">
        <v>1</v>
      </c>
      <c r="AH1200">
        <v>0</v>
      </c>
      <c r="AI1200">
        <v>1</v>
      </c>
      <c r="AJ1200">
        <v>600</v>
      </c>
      <c r="AK1200">
        <v>6</v>
      </c>
      <c r="AL1200">
        <v>0</v>
      </c>
      <c r="AM1200">
        <v>1</v>
      </c>
      <c r="AN1200">
        <v>0</v>
      </c>
      <c r="AO1200">
        <v>9.1536000000000008</v>
      </c>
      <c r="AP1200">
        <v>5.1766666666666667</v>
      </c>
      <c r="AQ1200">
        <v>737.76499999999999</v>
      </c>
      <c r="AS1200">
        <v>1028</v>
      </c>
      <c r="AT1200">
        <v>1274</v>
      </c>
      <c r="AU1200">
        <v>4</v>
      </c>
      <c r="AX1200" t="s">
        <v>208</v>
      </c>
    </row>
    <row r="1201" spans="1:50" x14ac:dyDescent="0.45">
      <c r="A1201">
        <v>11200</v>
      </c>
      <c r="B1201">
        <v>1</v>
      </c>
      <c r="C1201">
        <v>80.477999999999994</v>
      </c>
      <c r="D1201">
        <v>5.01</v>
      </c>
      <c r="E1201">
        <v>4.9800000000000004</v>
      </c>
      <c r="F1201">
        <v>2.99</v>
      </c>
      <c r="G1201">
        <v>0</v>
      </c>
      <c r="H1201">
        <v>0.37</v>
      </c>
      <c r="I1201">
        <v>0</v>
      </c>
      <c r="J1201">
        <v>1</v>
      </c>
      <c r="K1201">
        <v>0</v>
      </c>
      <c r="L1201">
        <v>4.97</v>
      </c>
      <c r="M1201">
        <v>0</v>
      </c>
      <c r="N1201">
        <v>0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1</v>
      </c>
      <c r="Y1201">
        <v>0</v>
      </c>
      <c r="Z1201">
        <v>0</v>
      </c>
      <c r="AA1201">
        <v>1</v>
      </c>
      <c r="AB1201">
        <v>0</v>
      </c>
      <c r="AC1201">
        <v>1</v>
      </c>
      <c r="AD1201">
        <v>730</v>
      </c>
      <c r="AE1201">
        <v>0.5</v>
      </c>
      <c r="AF1201">
        <v>0</v>
      </c>
      <c r="AG1201">
        <v>1</v>
      </c>
      <c r="AH1201">
        <v>0</v>
      </c>
      <c r="AI1201">
        <v>1</v>
      </c>
      <c r="AJ1201">
        <v>600</v>
      </c>
      <c r="AK1201">
        <v>6</v>
      </c>
      <c r="AL1201">
        <v>0</v>
      </c>
      <c r="AM1201">
        <v>1</v>
      </c>
      <c r="AN1201">
        <v>0</v>
      </c>
      <c r="AO1201">
        <v>9.1536000000000008</v>
      </c>
      <c r="AP1201">
        <v>5.1766666666666667</v>
      </c>
      <c r="AQ1201">
        <v>737.76499999999999</v>
      </c>
      <c r="AS1201">
        <v>1175</v>
      </c>
      <c r="AT1201">
        <v>1240</v>
      </c>
      <c r="AU1201">
        <v>4.5999999999999996</v>
      </c>
      <c r="AX1201" t="s">
        <v>208</v>
      </c>
    </row>
    <row r="1202" spans="1:50" x14ac:dyDescent="0.45">
      <c r="A1202">
        <v>11201</v>
      </c>
      <c r="B1202">
        <v>1</v>
      </c>
      <c r="C1202">
        <v>80.477999999999994</v>
      </c>
      <c r="D1202">
        <v>5.01</v>
      </c>
      <c r="E1202">
        <v>4.9800000000000004</v>
      </c>
      <c r="F1202">
        <v>2.99</v>
      </c>
      <c r="G1202">
        <v>0</v>
      </c>
      <c r="H1202">
        <v>0.37</v>
      </c>
      <c r="I1202">
        <v>0</v>
      </c>
      <c r="J1202">
        <v>1</v>
      </c>
      <c r="K1202">
        <v>0</v>
      </c>
      <c r="L1202">
        <v>4.97</v>
      </c>
      <c r="M1202">
        <v>0</v>
      </c>
      <c r="N1202">
        <v>0</v>
      </c>
      <c r="O1202">
        <v>0</v>
      </c>
      <c r="P1202">
        <v>0</v>
      </c>
      <c r="Q1202">
        <v>0</v>
      </c>
      <c r="R1202">
        <v>0</v>
      </c>
      <c r="S1202">
        <v>0</v>
      </c>
      <c r="T1202">
        <v>0</v>
      </c>
      <c r="U1202">
        <v>0</v>
      </c>
      <c r="V1202">
        <v>1</v>
      </c>
      <c r="Y1202">
        <v>0</v>
      </c>
      <c r="Z1202">
        <v>0</v>
      </c>
      <c r="AA1202">
        <v>1</v>
      </c>
      <c r="AB1202">
        <v>0</v>
      </c>
      <c r="AC1202">
        <v>1</v>
      </c>
      <c r="AD1202">
        <v>700</v>
      </c>
      <c r="AE1202">
        <v>0.5</v>
      </c>
      <c r="AF1202">
        <v>0</v>
      </c>
      <c r="AG1202">
        <v>1</v>
      </c>
      <c r="AH1202">
        <v>0</v>
      </c>
      <c r="AI1202">
        <v>1</v>
      </c>
      <c r="AJ1202">
        <v>600</v>
      </c>
      <c r="AK1202">
        <v>6</v>
      </c>
      <c r="AL1202">
        <v>0</v>
      </c>
      <c r="AM1202">
        <v>1</v>
      </c>
      <c r="AN1202">
        <v>0</v>
      </c>
      <c r="AO1202">
        <v>9.1536000000000008</v>
      </c>
      <c r="AP1202">
        <v>5.1766666666666667</v>
      </c>
      <c r="AQ1202">
        <v>737.76499999999999</v>
      </c>
      <c r="AS1202">
        <v>1128</v>
      </c>
      <c r="AT1202">
        <v>1194</v>
      </c>
      <c r="AU1202">
        <v>7.3</v>
      </c>
      <c r="AX1202" t="s">
        <v>208</v>
      </c>
    </row>
    <row r="1203" spans="1:50" x14ac:dyDescent="0.45">
      <c r="A1203">
        <v>11202</v>
      </c>
      <c r="B1203">
        <v>0</v>
      </c>
      <c r="C1203">
        <v>82.656999999999996</v>
      </c>
      <c r="D1203">
        <v>5.0199999999999996</v>
      </c>
      <c r="E1203">
        <v>0</v>
      </c>
      <c r="F1203">
        <v>3.93</v>
      </c>
      <c r="G1203">
        <v>0</v>
      </c>
      <c r="H1203">
        <v>0.05</v>
      </c>
      <c r="I1203">
        <v>0</v>
      </c>
      <c r="J1203">
        <v>1.95</v>
      </c>
      <c r="K1203">
        <v>0</v>
      </c>
      <c r="L1203">
        <v>3.88</v>
      </c>
      <c r="M1203">
        <v>2.37</v>
      </c>
      <c r="N1203">
        <v>0</v>
      </c>
      <c r="O1203">
        <v>0</v>
      </c>
      <c r="P1203">
        <v>0</v>
      </c>
      <c r="Q1203">
        <v>0</v>
      </c>
      <c r="R1203">
        <v>0</v>
      </c>
      <c r="S1203">
        <v>0</v>
      </c>
      <c r="T1203">
        <v>0</v>
      </c>
      <c r="U1203">
        <v>0</v>
      </c>
      <c r="V1203">
        <v>1</v>
      </c>
      <c r="W1203">
        <v>820</v>
      </c>
      <c r="X1203">
        <v>20</v>
      </c>
      <c r="Y1203">
        <v>0</v>
      </c>
      <c r="Z1203">
        <v>0</v>
      </c>
      <c r="AA1203">
        <v>1</v>
      </c>
      <c r="AB1203">
        <v>0</v>
      </c>
      <c r="AC1203">
        <v>1</v>
      </c>
      <c r="AD1203">
        <v>820</v>
      </c>
      <c r="AE1203">
        <v>4</v>
      </c>
      <c r="AF1203">
        <v>1</v>
      </c>
      <c r="AG1203">
        <v>0</v>
      </c>
      <c r="AH1203">
        <v>0</v>
      </c>
      <c r="AI1203">
        <v>1</v>
      </c>
      <c r="AJ1203">
        <v>630</v>
      </c>
      <c r="AK1203">
        <v>8</v>
      </c>
      <c r="AL1203">
        <v>0</v>
      </c>
      <c r="AM1203">
        <v>1</v>
      </c>
      <c r="AN1203">
        <v>0</v>
      </c>
      <c r="AO1203">
        <v>5.2929999999999993</v>
      </c>
      <c r="AP1203">
        <v>6.1349999999999998</v>
      </c>
      <c r="AQ1203">
        <v>803.85799999999995</v>
      </c>
      <c r="AX1203" t="s">
        <v>211</v>
      </c>
    </row>
    <row r="1204" spans="1:50" x14ac:dyDescent="0.45">
      <c r="A1204">
        <v>11203</v>
      </c>
      <c r="B1204">
        <v>0</v>
      </c>
      <c r="C1204">
        <v>82.656999999999996</v>
      </c>
      <c r="D1204">
        <v>5.0199999999999996</v>
      </c>
      <c r="E1204">
        <v>0</v>
      </c>
      <c r="F1204">
        <v>3.93</v>
      </c>
      <c r="G1204">
        <v>0</v>
      </c>
      <c r="H1204">
        <v>0.05</v>
      </c>
      <c r="I1204">
        <v>0</v>
      </c>
      <c r="J1204">
        <v>1.95</v>
      </c>
      <c r="K1204">
        <v>0</v>
      </c>
      <c r="L1204">
        <v>3.88</v>
      </c>
      <c r="M1204">
        <v>2.37</v>
      </c>
      <c r="N1204">
        <v>0</v>
      </c>
      <c r="O1204">
        <v>0</v>
      </c>
      <c r="P1204">
        <v>0</v>
      </c>
      <c r="Q1204">
        <v>0</v>
      </c>
      <c r="R1204">
        <v>0</v>
      </c>
      <c r="S1204">
        <v>0</v>
      </c>
      <c r="T1204">
        <v>0</v>
      </c>
      <c r="U1204">
        <v>0</v>
      </c>
      <c r="V1204">
        <v>1</v>
      </c>
      <c r="W1204">
        <v>820</v>
      </c>
      <c r="X1204">
        <v>40</v>
      </c>
      <c r="Y1204">
        <v>0</v>
      </c>
      <c r="Z1204">
        <v>0</v>
      </c>
      <c r="AA1204">
        <v>1</v>
      </c>
      <c r="AB1204">
        <v>0</v>
      </c>
      <c r="AC1204">
        <v>1</v>
      </c>
      <c r="AD1204">
        <v>820</v>
      </c>
      <c r="AE1204">
        <v>4</v>
      </c>
      <c r="AF1204">
        <v>1</v>
      </c>
      <c r="AG1204">
        <v>0</v>
      </c>
      <c r="AH1204">
        <v>0</v>
      </c>
      <c r="AI1204">
        <v>1</v>
      </c>
      <c r="AJ1204">
        <v>630</v>
      </c>
      <c r="AK1204">
        <v>8</v>
      </c>
      <c r="AL1204">
        <v>0</v>
      </c>
      <c r="AM1204">
        <v>1</v>
      </c>
      <c r="AN1204">
        <v>0</v>
      </c>
      <c r="AO1204">
        <v>5.2929999999999993</v>
      </c>
      <c r="AP1204">
        <v>6.1349999999999998</v>
      </c>
      <c r="AQ1204">
        <v>803.85799999999995</v>
      </c>
      <c r="AX1204" t="s">
        <v>211</v>
      </c>
    </row>
    <row r="1205" spans="1:50" x14ac:dyDescent="0.45">
      <c r="A1205">
        <v>11204</v>
      </c>
      <c r="B1205">
        <v>0</v>
      </c>
      <c r="C1205">
        <v>82.656999999999996</v>
      </c>
      <c r="D1205">
        <v>5.0199999999999996</v>
      </c>
      <c r="E1205">
        <v>0</v>
      </c>
      <c r="F1205">
        <v>3.93</v>
      </c>
      <c r="G1205">
        <v>0</v>
      </c>
      <c r="H1205">
        <v>0.05</v>
      </c>
      <c r="I1205">
        <v>0</v>
      </c>
      <c r="J1205">
        <v>1.95</v>
      </c>
      <c r="K1205">
        <v>0</v>
      </c>
      <c r="L1205">
        <v>3.88</v>
      </c>
      <c r="M1205">
        <v>2.37</v>
      </c>
      <c r="N1205">
        <v>0</v>
      </c>
      <c r="O1205">
        <v>0</v>
      </c>
      <c r="P1205">
        <v>0</v>
      </c>
      <c r="Q1205">
        <v>0</v>
      </c>
      <c r="R1205">
        <v>0</v>
      </c>
      <c r="S1205">
        <v>0</v>
      </c>
      <c r="T1205">
        <v>0</v>
      </c>
      <c r="U1205">
        <v>0</v>
      </c>
      <c r="V1205">
        <v>1</v>
      </c>
      <c r="W1205">
        <v>820</v>
      </c>
      <c r="X1205">
        <v>60</v>
      </c>
      <c r="Y1205">
        <v>0</v>
      </c>
      <c r="Z1205">
        <v>0</v>
      </c>
      <c r="AA1205">
        <v>1</v>
      </c>
      <c r="AB1205">
        <v>0</v>
      </c>
      <c r="AC1205">
        <v>1</v>
      </c>
      <c r="AD1205">
        <v>820</v>
      </c>
      <c r="AE1205">
        <v>4</v>
      </c>
      <c r="AF1205">
        <v>1</v>
      </c>
      <c r="AG1205">
        <v>0</v>
      </c>
      <c r="AH1205">
        <v>0</v>
      </c>
      <c r="AI1205">
        <v>1</v>
      </c>
      <c r="AJ1205">
        <v>630</v>
      </c>
      <c r="AK1205">
        <v>8</v>
      </c>
      <c r="AL1205">
        <v>0</v>
      </c>
      <c r="AM1205">
        <v>1</v>
      </c>
      <c r="AN1205">
        <v>0</v>
      </c>
      <c r="AO1205">
        <v>5.2929999999999993</v>
      </c>
      <c r="AP1205">
        <v>6.1349999999999998</v>
      </c>
      <c r="AQ1205">
        <v>803.85799999999995</v>
      </c>
      <c r="AX1205" t="s">
        <v>211</v>
      </c>
    </row>
    <row r="1206" spans="1:50" x14ac:dyDescent="0.45">
      <c r="A1206">
        <v>20001</v>
      </c>
      <c r="B1206">
        <v>1</v>
      </c>
      <c r="C1206">
        <v>93</v>
      </c>
      <c r="D1206">
        <v>0</v>
      </c>
      <c r="E1206">
        <v>0</v>
      </c>
      <c r="F1206">
        <v>0</v>
      </c>
      <c r="G1206">
        <v>0</v>
      </c>
      <c r="H1206">
        <v>7</v>
      </c>
      <c r="I1206">
        <v>0</v>
      </c>
      <c r="J1206">
        <v>0</v>
      </c>
      <c r="K1206">
        <v>0</v>
      </c>
      <c r="L1206">
        <v>0</v>
      </c>
      <c r="M1206">
        <v>0</v>
      </c>
      <c r="N1206">
        <v>0</v>
      </c>
      <c r="O1206">
        <v>0</v>
      </c>
      <c r="P1206">
        <v>0</v>
      </c>
      <c r="Q1206">
        <v>0</v>
      </c>
      <c r="R1206">
        <v>0</v>
      </c>
      <c r="S1206">
        <v>0</v>
      </c>
      <c r="T1206">
        <v>0</v>
      </c>
      <c r="U1206">
        <v>0</v>
      </c>
      <c r="V1206">
        <v>0</v>
      </c>
      <c r="Y1206">
        <v>1</v>
      </c>
      <c r="Z1206">
        <v>0</v>
      </c>
      <c r="AA1206">
        <v>0</v>
      </c>
      <c r="AB1206">
        <v>0</v>
      </c>
      <c r="AC1206">
        <v>0</v>
      </c>
      <c r="AI1206">
        <v>0</v>
      </c>
      <c r="AO1206">
        <v>20.3</v>
      </c>
      <c r="AP1206">
        <v>0</v>
      </c>
      <c r="AQ1206">
        <v>774.2</v>
      </c>
      <c r="AR1206">
        <v>130</v>
      </c>
      <c r="AS1206">
        <v>1874</v>
      </c>
      <c r="AT1206">
        <v>1990</v>
      </c>
      <c r="AU1206">
        <v>7.9</v>
      </c>
      <c r="AX1206" t="s">
        <v>359</v>
      </c>
    </row>
    <row r="1207" spans="1:50" x14ac:dyDescent="0.45">
      <c r="A1207">
        <v>20002</v>
      </c>
      <c r="B1207">
        <v>1</v>
      </c>
      <c r="C1207">
        <v>92</v>
      </c>
      <c r="D1207">
        <v>0</v>
      </c>
      <c r="E1207">
        <v>0</v>
      </c>
      <c r="F1207">
        <v>0</v>
      </c>
      <c r="G1207">
        <v>0</v>
      </c>
      <c r="H1207">
        <v>7</v>
      </c>
      <c r="I1207">
        <v>0</v>
      </c>
      <c r="J1207">
        <v>0</v>
      </c>
      <c r="K1207">
        <v>1</v>
      </c>
      <c r="L1207">
        <v>0</v>
      </c>
      <c r="M1207">
        <v>0</v>
      </c>
      <c r="N1207">
        <v>0</v>
      </c>
      <c r="O1207">
        <v>0</v>
      </c>
      <c r="P1207">
        <v>0</v>
      </c>
      <c r="Q1207">
        <v>0</v>
      </c>
      <c r="R1207">
        <v>0</v>
      </c>
      <c r="S1207">
        <v>0</v>
      </c>
      <c r="T1207">
        <v>0</v>
      </c>
      <c r="U1207">
        <v>0</v>
      </c>
      <c r="V1207">
        <v>0</v>
      </c>
      <c r="Y1207">
        <v>1</v>
      </c>
      <c r="Z1207">
        <v>0</v>
      </c>
      <c r="AA1207">
        <v>0</v>
      </c>
      <c r="AB1207">
        <v>0</v>
      </c>
      <c r="AC1207">
        <v>0</v>
      </c>
      <c r="AI1207">
        <v>0</v>
      </c>
      <c r="AO1207">
        <v>20.580000000000002</v>
      </c>
      <c r="AP1207">
        <v>0</v>
      </c>
      <c r="AQ1207">
        <v>774.2</v>
      </c>
      <c r="AR1207">
        <v>124</v>
      </c>
      <c r="AS1207">
        <v>1785</v>
      </c>
      <c r="AT1207">
        <v>1972</v>
      </c>
      <c r="AU1207">
        <v>10</v>
      </c>
      <c r="AX1207" t="s">
        <v>360</v>
      </c>
    </row>
    <row r="1208" spans="1:50" x14ac:dyDescent="0.45">
      <c r="A1208">
        <v>20003</v>
      </c>
      <c r="B1208">
        <v>1</v>
      </c>
      <c r="C1208">
        <v>89</v>
      </c>
      <c r="D1208">
        <v>0</v>
      </c>
      <c r="E1208">
        <v>0</v>
      </c>
      <c r="F1208">
        <v>0</v>
      </c>
      <c r="G1208">
        <v>0</v>
      </c>
      <c r="H1208">
        <v>7</v>
      </c>
      <c r="I1208">
        <v>0</v>
      </c>
      <c r="J1208">
        <v>0</v>
      </c>
      <c r="K1208">
        <v>4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Y1208">
        <v>1</v>
      </c>
      <c r="Z1208">
        <v>0</v>
      </c>
      <c r="AA1208">
        <v>0</v>
      </c>
      <c r="AB1208">
        <v>0</v>
      </c>
      <c r="AC1208">
        <v>0</v>
      </c>
      <c r="AI1208">
        <v>0</v>
      </c>
      <c r="AO1208">
        <v>21.42</v>
      </c>
      <c r="AP1208">
        <v>0</v>
      </c>
      <c r="AQ1208">
        <v>774.2</v>
      </c>
      <c r="AR1208">
        <v>115</v>
      </c>
      <c r="AS1208">
        <v>1539</v>
      </c>
      <c r="AT1208">
        <v>2093</v>
      </c>
      <c r="AU1208">
        <v>24.3</v>
      </c>
      <c r="AX1208" t="s">
        <v>359</v>
      </c>
    </row>
    <row r="1209" spans="1:50" x14ac:dyDescent="0.45">
      <c r="A1209">
        <v>20004</v>
      </c>
      <c r="B1209">
        <v>1</v>
      </c>
      <c r="C1209">
        <v>87</v>
      </c>
      <c r="D1209">
        <v>0</v>
      </c>
      <c r="E1209">
        <v>0</v>
      </c>
      <c r="F1209">
        <v>0</v>
      </c>
      <c r="G1209">
        <v>0</v>
      </c>
      <c r="H1209">
        <v>7</v>
      </c>
      <c r="I1209">
        <v>0</v>
      </c>
      <c r="J1209">
        <v>0</v>
      </c>
      <c r="K1209">
        <v>6</v>
      </c>
      <c r="L1209">
        <v>0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0</v>
      </c>
      <c r="Y1209">
        <v>1</v>
      </c>
      <c r="Z1209">
        <v>0</v>
      </c>
      <c r="AA1209">
        <v>0</v>
      </c>
      <c r="AB1209">
        <v>0</v>
      </c>
      <c r="AC1209">
        <v>0</v>
      </c>
      <c r="AI1209">
        <v>0</v>
      </c>
      <c r="AO1209">
        <v>21.98</v>
      </c>
      <c r="AP1209">
        <v>0</v>
      </c>
      <c r="AQ1209">
        <v>774.2</v>
      </c>
      <c r="AR1209">
        <v>97</v>
      </c>
      <c r="AS1209">
        <v>1144</v>
      </c>
      <c r="AT1209">
        <v>2014</v>
      </c>
      <c r="AU1209">
        <v>32.1</v>
      </c>
      <c r="AX1209" t="s">
        <v>359</v>
      </c>
    </row>
    <row r="1210" spans="1:50" x14ac:dyDescent="0.45">
      <c r="A1210">
        <v>20005</v>
      </c>
      <c r="B1210">
        <v>0</v>
      </c>
      <c r="C1210">
        <v>88.238399999999999</v>
      </c>
      <c r="D1210">
        <v>0</v>
      </c>
      <c r="E1210">
        <v>0</v>
      </c>
      <c r="F1210">
        <v>0</v>
      </c>
      <c r="G1210">
        <v>11.5</v>
      </c>
      <c r="H1210">
        <v>0</v>
      </c>
      <c r="I1210">
        <v>0</v>
      </c>
      <c r="J1210">
        <v>0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9.5999999999999992E-3</v>
      </c>
      <c r="S1210">
        <v>9.5999999999999992E-3</v>
      </c>
      <c r="T1210">
        <v>0.252</v>
      </c>
      <c r="U1210">
        <v>0</v>
      </c>
      <c r="V1210">
        <v>0</v>
      </c>
      <c r="Y1210">
        <v>1</v>
      </c>
      <c r="Z1210">
        <v>0</v>
      </c>
      <c r="AA1210">
        <v>0</v>
      </c>
      <c r="AB1210">
        <v>0</v>
      </c>
      <c r="AC1210">
        <v>0</v>
      </c>
      <c r="AI1210">
        <v>0</v>
      </c>
      <c r="AO1210">
        <v>19.55</v>
      </c>
      <c r="AP1210">
        <v>2.6159999999999999E-2</v>
      </c>
      <c r="AQ1210">
        <v>912.99599999999998</v>
      </c>
      <c r="AR1210">
        <v>96</v>
      </c>
      <c r="AS1210">
        <v>932</v>
      </c>
      <c r="AT1210">
        <v>973</v>
      </c>
      <c r="AU1210">
        <v>2.6</v>
      </c>
      <c r="AV1210">
        <v>291</v>
      </c>
      <c r="AX1210" t="s">
        <v>361</v>
      </c>
    </row>
    <row r="1211" spans="1:50" x14ac:dyDescent="0.45">
      <c r="A1211">
        <v>20006</v>
      </c>
      <c r="B1211">
        <v>0</v>
      </c>
      <c r="C1211">
        <v>86.421899999999994</v>
      </c>
      <c r="D1211">
        <v>0</v>
      </c>
      <c r="E1211">
        <v>0</v>
      </c>
      <c r="F1211">
        <v>0</v>
      </c>
      <c r="G1211">
        <v>13.3</v>
      </c>
      <c r="H1211">
        <v>0</v>
      </c>
      <c r="I1211">
        <v>0</v>
      </c>
      <c r="J1211">
        <v>0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8.0999999999999996E-3</v>
      </c>
      <c r="S1211">
        <v>8.0999999999999996E-3</v>
      </c>
      <c r="T1211">
        <v>0.27</v>
      </c>
      <c r="U1211">
        <v>0</v>
      </c>
      <c r="V1211">
        <v>0</v>
      </c>
      <c r="Y1211">
        <v>1</v>
      </c>
      <c r="Z1211">
        <v>0</v>
      </c>
      <c r="AA1211">
        <v>0</v>
      </c>
      <c r="AB1211">
        <v>0</v>
      </c>
      <c r="AC1211">
        <v>0</v>
      </c>
      <c r="AI1211">
        <v>0</v>
      </c>
      <c r="AO1211">
        <v>22.61</v>
      </c>
      <c r="AP1211">
        <v>2.7810000000000001E-2</v>
      </c>
      <c r="AQ1211">
        <v>915.21</v>
      </c>
      <c r="AR1211">
        <v>99</v>
      </c>
      <c r="AT1211">
        <v>938</v>
      </c>
      <c r="AU1211">
        <v>0.65</v>
      </c>
      <c r="AX1211" t="s">
        <v>361</v>
      </c>
    </row>
    <row r="1212" spans="1:50" x14ac:dyDescent="0.45">
      <c r="A1212">
        <v>20007</v>
      </c>
      <c r="B1212">
        <v>0</v>
      </c>
      <c r="C1212">
        <v>87.271000000000001</v>
      </c>
      <c r="D1212">
        <v>0</v>
      </c>
      <c r="E1212">
        <v>0</v>
      </c>
      <c r="F1212">
        <v>0</v>
      </c>
      <c r="G1212">
        <v>12.65</v>
      </c>
      <c r="H1212">
        <v>0</v>
      </c>
      <c r="I1212">
        <v>0</v>
      </c>
      <c r="J1212">
        <v>0</v>
      </c>
      <c r="K1212">
        <v>0</v>
      </c>
      <c r="L1212">
        <v>0</v>
      </c>
      <c r="M1212">
        <v>0</v>
      </c>
      <c r="N1212">
        <v>0</v>
      </c>
      <c r="O1212">
        <v>0</v>
      </c>
      <c r="P1212">
        <v>0</v>
      </c>
      <c r="Q1212">
        <v>0</v>
      </c>
      <c r="R1212">
        <v>2.3999999999999998E-3</v>
      </c>
      <c r="S1212">
        <v>4.3E-3</v>
      </c>
      <c r="T1212">
        <v>7.4700000000000003E-2</v>
      </c>
      <c r="U1212">
        <v>0</v>
      </c>
      <c r="V1212">
        <v>0</v>
      </c>
      <c r="Y1212">
        <v>1</v>
      </c>
      <c r="Z1212">
        <v>0</v>
      </c>
      <c r="AA1212">
        <v>0</v>
      </c>
      <c r="AB1212">
        <v>0</v>
      </c>
      <c r="AC1212">
        <v>0</v>
      </c>
      <c r="AI1212">
        <v>0</v>
      </c>
      <c r="AO1212">
        <v>21.504999999999999</v>
      </c>
      <c r="AP1212">
        <v>7.9000000000000008E-3</v>
      </c>
      <c r="AQ1212">
        <v>891.18809999999996</v>
      </c>
      <c r="AR1212">
        <v>100</v>
      </c>
      <c r="AT1212">
        <v>939</v>
      </c>
      <c r="AU1212">
        <v>13</v>
      </c>
      <c r="AV1212">
        <v>312</v>
      </c>
      <c r="AX1212" t="s">
        <v>362</v>
      </c>
    </row>
    <row r="1213" spans="1:50" x14ac:dyDescent="0.45">
      <c r="A1213">
        <v>20008</v>
      </c>
      <c r="B1213">
        <v>0</v>
      </c>
      <c r="C1213">
        <v>84.312700000000007</v>
      </c>
      <c r="D1213">
        <v>0</v>
      </c>
      <c r="E1213">
        <v>0</v>
      </c>
      <c r="F1213">
        <v>0</v>
      </c>
      <c r="G1213">
        <v>15.4</v>
      </c>
      <c r="H1213">
        <v>0</v>
      </c>
      <c r="I1213">
        <v>0</v>
      </c>
      <c r="J1213">
        <v>0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0</v>
      </c>
      <c r="R1213">
        <v>1.23E-2</v>
      </c>
      <c r="S1213">
        <v>1.23E-2</v>
      </c>
      <c r="T1213">
        <v>0.27500000000000002</v>
      </c>
      <c r="U1213">
        <v>0</v>
      </c>
      <c r="V1213">
        <v>0</v>
      </c>
      <c r="Y1213">
        <v>1</v>
      </c>
      <c r="Z1213">
        <v>0</v>
      </c>
      <c r="AA1213">
        <v>0</v>
      </c>
      <c r="AB1213">
        <v>0</v>
      </c>
      <c r="AC1213">
        <v>0</v>
      </c>
      <c r="AI1213">
        <v>0</v>
      </c>
      <c r="AO1213">
        <v>26.18</v>
      </c>
      <c r="AP1213">
        <v>2.8729999999999999E-2</v>
      </c>
      <c r="AQ1213">
        <v>915.82500000000005</v>
      </c>
      <c r="AR1213">
        <v>98</v>
      </c>
      <c r="AT1213">
        <v>677</v>
      </c>
      <c r="AX1213" t="s">
        <v>363</v>
      </c>
    </row>
    <row r="1214" spans="1:50" x14ac:dyDescent="0.45">
      <c r="A1214">
        <v>20009</v>
      </c>
      <c r="B1214">
        <v>0</v>
      </c>
      <c r="C1214">
        <v>82.576499999999996</v>
      </c>
      <c r="D1214">
        <v>0</v>
      </c>
      <c r="E1214">
        <v>0</v>
      </c>
      <c r="F1214">
        <v>0</v>
      </c>
      <c r="G1214">
        <v>17.100000000000001</v>
      </c>
      <c r="H1214">
        <v>0</v>
      </c>
      <c r="I1214">
        <v>0</v>
      </c>
      <c r="J1214">
        <v>0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7.4999999999999997E-3</v>
      </c>
      <c r="S1214">
        <v>7.4999999999999997E-3</v>
      </c>
      <c r="T1214">
        <v>0.316</v>
      </c>
      <c r="U1214">
        <v>0</v>
      </c>
      <c r="V1214">
        <v>0</v>
      </c>
      <c r="Y1214">
        <v>1</v>
      </c>
      <c r="Z1214">
        <v>0</v>
      </c>
      <c r="AA1214">
        <v>0</v>
      </c>
      <c r="AB1214">
        <v>0</v>
      </c>
      <c r="AC1214">
        <v>0</v>
      </c>
      <c r="AI1214">
        <v>0</v>
      </c>
      <c r="AO1214">
        <v>29.07</v>
      </c>
      <c r="AP1214">
        <v>3.2350000000000004E-2</v>
      </c>
      <c r="AQ1214">
        <v>920.86800000000005</v>
      </c>
      <c r="AR1214">
        <v>103</v>
      </c>
      <c r="AT1214">
        <v>339</v>
      </c>
      <c r="AV1214">
        <v>317</v>
      </c>
      <c r="AX1214" t="s">
        <v>363</v>
      </c>
    </row>
    <row r="1215" spans="1:50" x14ac:dyDescent="0.45">
      <c r="A1215">
        <v>20010</v>
      </c>
      <c r="B1215">
        <v>0</v>
      </c>
      <c r="C1215">
        <v>82.288800000000009</v>
      </c>
      <c r="D1215">
        <v>0</v>
      </c>
      <c r="E1215">
        <v>0</v>
      </c>
      <c r="F1215">
        <v>0</v>
      </c>
      <c r="G1215">
        <v>17.649999999999999</v>
      </c>
      <c r="H1215">
        <v>0</v>
      </c>
      <c r="I1215">
        <v>0</v>
      </c>
      <c r="J1215">
        <v>0</v>
      </c>
      <c r="K1215">
        <v>0</v>
      </c>
      <c r="L1215">
        <v>0</v>
      </c>
      <c r="M1215">
        <v>0</v>
      </c>
      <c r="N1215">
        <v>0</v>
      </c>
      <c r="O1215">
        <v>0</v>
      </c>
      <c r="P1215">
        <v>0</v>
      </c>
      <c r="Q1215">
        <v>0</v>
      </c>
      <c r="R1215">
        <v>7.3000000000000001E-3</v>
      </c>
      <c r="S1215">
        <v>2.0999999999999999E-3</v>
      </c>
      <c r="T1215">
        <v>5.91E-2</v>
      </c>
      <c r="U1215">
        <v>0</v>
      </c>
      <c r="V1215">
        <v>0</v>
      </c>
      <c r="Y1215">
        <v>1</v>
      </c>
      <c r="Z1215">
        <v>0</v>
      </c>
      <c r="AA1215">
        <v>0</v>
      </c>
      <c r="AB1215">
        <v>0</v>
      </c>
      <c r="AC1215">
        <v>0</v>
      </c>
      <c r="AI1215">
        <v>0</v>
      </c>
      <c r="AO1215">
        <v>30.004999999999995</v>
      </c>
      <c r="AP1215">
        <v>6.1199999999999996E-3</v>
      </c>
      <c r="AQ1215">
        <v>889.26930000000004</v>
      </c>
      <c r="AR1215">
        <v>105</v>
      </c>
      <c r="AT1215">
        <v>246</v>
      </c>
      <c r="AU1215">
        <v>0.1</v>
      </c>
      <c r="AV1215">
        <v>336</v>
      </c>
      <c r="AX1215" t="s">
        <v>362</v>
      </c>
    </row>
    <row r="1216" spans="1:50" x14ac:dyDescent="0.45">
      <c r="A1216">
        <v>20011</v>
      </c>
      <c r="B1216">
        <v>0</v>
      </c>
      <c r="C1216">
        <v>94.321899999999999</v>
      </c>
      <c r="D1216">
        <v>0</v>
      </c>
      <c r="E1216">
        <v>0</v>
      </c>
      <c r="F1216">
        <v>0</v>
      </c>
      <c r="G1216">
        <v>5.6</v>
      </c>
      <c r="H1216">
        <v>0</v>
      </c>
      <c r="I1216">
        <v>0</v>
      </c>
      <c r="J1216">
        <v>0</v>
      </c>
      <c r="K1216">
        <v>0</v>
      </c>
      <c r="L1216">
        <v>0</v>
      </c>
      <c r="M1216">
        <v>0</v>
      </c>
      <c r="N1216">
        <v>0</v>
      </c>
      <c r="O1216">
        <v>0</v>
      </c>
      <c r="P1216">
        <v>0</v>
      </c>
      <c r="Q1216">
        <v>0</v>
      </c>
      <c r="R1216">
        <v>3.5999999999999999E-3</v>
      </c>
      <c r="S1216">
        <v>4.4999999999999997E-3</v>
      </c>
      <c r="T1216">
        <v>7.3599999999999999E-2</v>
      </c>
      <c r="U1216">
        <v>0</v>
      </c>
      <c r="V1216">
        <v>1</v>
      </c>
      <c r="W1216">
        <v>900</v>
      </c>
      <c r="Y1216">
        <v>0</v>
      </c>
      <c r="Z1216">
        <v>1</v>
      </c>
      <c r="AA1216">
        <v>1</v>
      </c>
      <c r="AB1216">
        <v>0</v>
      </c>
      <c r="AC1216">
        <v>1</v>
      </c>
      <c r="AD1216">
        <v>1000</v>
      </c>
      <c r="AE1216">
        <v>6</v>
      </c>
      <c r="AI1216">
        <v>1</v>
      </c>
      <c r="AJ1216">
        <v>900</v>
      </c>
      <c r="AK1216">
        <v>1</v>
      </c>
      <c r="AO1216">
        <v>9.52</v>
      </c>
      <c r="AP1216">
        <v>7.8100000000000001E-3</v>
      </c>
      <c r="AQ1216">
        <v>891.05280000000005</v>
      </c>
      <c r="AR1216">
        <v>129</v>
      </c>
      <c r="AV1216">
        <v>469</v>
      </c>
      <c r="AX1216" t="s">
        <v>362</v>
      </c>
    </row>
    <row r="1217" spans="1:50" x14ac:dyDescent="0.45">
      <c r="A1217">
        <v>20012</v>
      </c>
      <c r="B1217">
        <v>0</v>
      </c>
      <c r="C1217">
        <v>92.200599999999994</v>
      </c>
      <c r="D1217">
        <v>0</v>
      </c>
      <c r="E1217">
        <v>0</v>
      </c>
      <c r="F1217">
        <v>0</v>
      </c>
      <c r="G1217">
        <v>7.56</v>
      </c>
      <c r="H1217">
        <v>0</v>
      </c>
      <c r="I1217">
        <v>0</v>
      </c>
      <c r="J1217">
        <v>0</v>
      </c>
      <c r="K1217">
        <v>0</v>
      </c>
      <c r="L1217">
        <v>0</v>
      </c>
      <c r="M1217">
        <v>0</v>
      </c>
      <c r="N1217">
        <v>0</v>
      </c>
      <c r="O1217">
        <v>0</v>
      </c>
      <c r="P1217">
        <v>0</v>
      </c>
      <c r="Q1217">
        <v>0</v>
      </c>
      <c r="R1217">
        <v>6.4000000000000003E-3</v>
      </c>
      <c r="S1217">
        <v>6.4000000000000003E-3</v>
      </c>
      <c r="T1217">
        <v>0.23300000000000001</v>
      </c>
      <c r="U1217">
        <v>0</v>
      </c>
      <c r="V1217">
        <v>0</v>
      </c>
      <c r="Y1217">
        <v>1</v>
      </c>
      <c r="Z1217">
        <v>0</v>
      </c>
      <c r="AA1217">
        <v>0</v>
      </c>
      <c r="AB1217">
        <v>0</v>
      </c>
      <c r="AC1217">
        <v>0</v>
      </c>
      <c r="AI1217">
        <v>0</v>
      </c>
      <c r="AO1217">
        <v>12.851999999999999</v>
      </c>
      <c r="AP1217">
        <v>2.3939999999999999E-2</v>
      </c>
      <c r="AQ1217">
        <v>910.65899999999999</v>
      </c>
      <c r="AR1217">
        <v>87</v>
      </c>
      <c r="AS1217">
        <v>1094</v>
      </c>
      <c r="AT1217">
        <v>1162</v>
      </c>
      <c r="AU1217">
        <v>1.5</v>
      </c>
      <c r="AX1217" t="s">
        <v>363</v>
      </c>
    </row>
    <row r="1218" spans="1:50" x14ac:dyDescent="0.45">
      <c r="A1218">
        <v>20013</v>
      </c>
      <c r="B1218">
        <v>0</v>
      </c>
      <c r="C1218">
        <v>90.453699999999998</v>
      </c>
      <c r="D1218">
        <v>0</v>
      </c>
      <c r="E1218">
        <v>0</v>
      </c>
      <c r="F1218">
        <v>0</v>
      </c>
      <c r="G1218">
        <v>9.4700000000000006</v>
      </c>
      <c r="H1218">
        <v>0</v>
      </c>
      <c r="I1218">
        <v>0</v>
      </c>
      <c r="J1218">
        <v>0</v>
      </c>
      <c r="K1218">
        <v>0</v>
      </c>
      <c r="L1218">
        <v>0</v>
      </c>
      <c r="M1218">
        <v>0</v>
      </c>
      <c r="N1218">
        <v>0</v>
      </c>
      <c r="O1218">
        <v>0</v>
      </c>
      <c r="P1218">
        <v>0</v>
      </c>
      <c r="Q1218">
        <v>0</v>
      </c>
      <c r="R1218">
        <v>3.0999999999999999E-3</v>
      </c>
      <c r="S1218">
        <v>3.5999999999999999E-3</v>
      </c>
      <c r="T1218">
        <v>7.2700000000000001E-2</v>
      </c>
      <c r="U1218">
        <v>0</v>
      </c>
      <c r="V1218">
        <v>0</v>
      </c>
      <c r="Y1218">
        <v>1</v>
      </c>
      <c r="Z1218">
        <v>0</v>
      </c>
      <c r="AA1218">
        <v>0</v>
      </c>
      <c r="AB1218">
        <v>0</v>
      </c>
      <c r="AC1218">
        <v>0</v>
      </c>
      <c r="AI1218">
        <v>0</v>
      </c>
      <c r="AO1218">
        <v>16.099</v>
      </c>
      <c r="AP1218">
        <v>7.6300000000000005E-3</v>
      </c>
      <c r="AQ1218">
        <v>890.94209999999998</v>
      </c>
      <c r="AR1218">
        <v>94</v>
      </c>
      <c r="AT1218">
        <v>1048</v>
      </c>
      <c r="AU1218">
        <v>19</v>
      </c>
      <c r="AV1218">
        <v>338</v>
      </c>
      <c r="AX1218" t="s">
        <v>362</v>
      </c>
    </row>
    <row r="1219" spans="1:50" x14ac:dyDescent="0.45">
      <c r="A1219">
        <v>20014</v>
      </c>
      <c r="B1219">
        <v>0</v>
      </c>
      <c r="C1219">
        <v>90.457899999999995</v>
      </c>
      <c r="D1219">
        <v>0</v>
      </c>
      <c r="E1219">
        <v>0</v>
      </c>
      <c r="F1219">
        <v>0</v>
      </c>
      <c r="G1219">
        <v>9.2899999999999991</v>
      </c>
      <c r="H1219">
        <v>0</v>
      </c>
      <c r="I1219">
        <v>0</v>
      </c>
      <c r="J1219">
        <v>0</v>
      </c>
      <c r="K1219">
        <v>0</v>
      </c>
      <c r="L1219">
        <v>0</v>
      </c>
      <c r="M1219">
        <v>0</v>
      </c>
      <c r="N1219">
        <v>0</v>
      </c>
      <c r="O1219">
        <v>0</v>
      </c>
      <c r="P1219">
        <v>0</v>
      </c>
      <c r="Q1219">
        <v>0</v>
      </c>
      <c r="R1219">
        <v>8.0999999999999996E-3</v>
      </c>
      <c r="S1219">
        <v>8.0999999999999996E-3</v>
      </c>
      <c r="T1219">
        <v>0.24399999999999999</v>
      </c>
      <c r="U1219">
        <v>0</v>
      </c>
      <c r="V1219">
        <v>0</v>
      </c>
      <c r="Y1219">
        <v>1</v>
      </c>
      <c r="Z1219">
        <v>0</v>
      </c>
      <c r="AA1219">
        <v>0</v>
      </c>
      <c r="AB1219">
        <v>0</v>
      </c>
      <c r="AC1219">
        <v>0</v>
      </c>
      <c r="AI1219">
        <v>0</v>
      </c>
      <c r="AO1219">
        <v>15.792999999999997</v>
      </c>
      <c r="AP1219">
        <v>2.521E-2</v>
      </c>
      <c r="AQ1219">
        <v>912.01199999999994</v>
      </c>
      <c r="AR1219">
        <v>89</v>
      </c>
      <c r="AS1219">
        <v>992</v>
      </c>
      <c r="AT1219">
        <v>1046</v>
      </c>
      <c r="AU1219">
        <v>4.7</v>
      </c>
      <c r="AX1219" t="s">
        <v>363</v>
      </c>
    </row>
    <row r="1220" spans="1:50" x14ac:dyDescent="0.45">
      <c r="A1220">
        <v>20015</v>
      </c>
      <c r="B1220">
        <v>0</v>
      </c>
      <c r="C1220">
        <v>91.942999999999998</v>
      </c>
      <c r="D1220">
        <v>0</v>
      </c>
      <c r="E1220">
        <v>0</v>
      </c>
      <c r="F1220">
        <v>0</v>
      </c>
      <c r="G1220">
        <v>5.07</v>
      </c>
      <c r="H1220">
        <v>0</v>
      </c>
      <c r="I1220">
        <v>0</v>
      </c>
      <c r="J1220">
        <v>0</v>
      </c>
      <c r="K1220">
        <v>0</v>
      </c>
      <c r="L1220">
        <v>2.92</v>
      </c>
      <c r="M1220">
        <v>0</v>
      </c>
      <c r="N1220">
        <v>0</v>
      </c>
      <c r="O1220">
        <v>0</v>
      </c>
      <c r="P1220">
        <v>0</v>
      </c>
      <c r="Q1220">
        <v>0</v>
      </c>
      <c r="R1220">
        <v>1.54E-2</v>
      </c>
      <c r="S1220">
        <v>0</v>
      </c>
      <c r="T1220">
        <v>6.7000000000000004E-2</v>
      </c>
      <c r="U1220">
        <v>0</v>
      </c>
      <c r="V1220">
        <v>1</v>
      </c>
      <c r="W1220">
        <v>900</v>
      </c>
      <c r="Y1220">
        <v>0</v>
      </c>
      <c r="Z1220">
        <v>1</v>
      </c>
      <c r="AA1220">
        <v>1</v>
      </c>
      <c r="AB1220">
        <v>0</v>
      </c>
      <c r="AC1220">
        <v>1</v>
      </c>
      <c r="AD1220">
        <v>1000</v>
      </c>
      <c r="AE1220">
        <v>6</v>
      </c>
      <c r="AF1220">
        <v>1</v>
      </c>
      <c r="AG1220">
        <v>0</v>
      </c>
      <c r="AH1220">
        <v>0</v>
      </c>
      <c r="AI1220">
        <v>1</v>
      </c>
      <c r="AJ1220">
        <v>900</v>
      </c>
      <c r="AK1220">
        <v>6</v>
      </c>
      <c r="AL1220">
        <v>1</v>
      </c>
      <c r="AM1220">
        <v>0</v>
      </c>
      <c r="AN1220">
        <v>0</v>
      </c>
      <c r="AO1220">
        <v>11.539</v>
      </c>
      <c r="AP1220">
        <v>6.7000000000000002E-3</v>
      </c>
      <c r="AQ1220">
        <v>862.50099999999998</v>
      </c>
      <c r="AR1220">
        <v>100</v>
      </c>
      <c r="AS1220">
        <v>855</v>
      </c>
      <c r="AT1220">
        <v>920</v>
      </c>
      <c r="AU1220">
        <v>18</v>
      </c>
      <c r="AV1220">
        <v>372</v>
      </c>
      <c r="AX1220" t="s">
        <v>364</v>
      </c>
    </row>
    <row r="1221" spans="1:50" x14ac:dyDescent="0.45">
      <c r="A1221">
        <v>20016</v>
      </c>
      <c r="B1221">
        <v>0</v>
      </c>
      <c r="C1221">
        <v>91.0154</v>
      </c>
      <c r="D1221">
        <v>0</v>
      </c>
      <c r="E1221">
        <v>0</v>
      </c>
      <c r="F1221">
        <v>0</v>
      </c>
      <c r="G1221">
        <v>4.99</v>
      </c>
      <c r="H1221">
        <v>0</v>
      </c>
      <c r="I1221">
        <v>0</v>
      </c>
      <c r="J1221">
        <v>0</v>
      </c>
      <c r="K1221">
        <v>0</v>
      </c>
      <c r="L1221">
        <v>3.98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1.46E-2</v>
      </c>
      <c r="S1221">
        <v>0</v>
      </c>
      <c r="T1221">
        <v>1.46E-2</v>
      </c>
      <c r="U1221">
        <v>0</v>
      </c>
      <c r="V1221">
        <v>1</v>
      </c>
      <c r="W1221">
        <v>900</v>
      </c>
      <c r="Y1221">
        <v>0</v>
      </c>
      <c r="Z1221">
        <v>1</v>
      </c>
      <c r="AA1221">
        <v>1</v>
      </c>
      <c r="AB1221">
        <v>0</v>
      </c>
      <c r="AC1221">
        <v>1</v>
      </c>
      <c r="AD1221">
        <v>1000</v>
      </c>
      <c r="AE1221">
        <v>6</v>
      </c>
      <c r="AF1221">
        <v>1</v>
      </c>
      <c r="AG1221">
        <v>0</v>
      </c>
      <c r="AH1221">
        <v>0</v>
      </c>
      <c r="AI1221">
        <v>1</v>
      </c>
      <c r="AJ1221">
        <v>900</v>
      </c>
      <c r="AK1221">
        <v>6</v>
      </c>
      <c r="AL1221">
        <v>1</v>
      </c>
      <c r="AM1221">
        <v>0</v>
      </c>
      <c r="AN1221">
        <v>0</v>
      </c>
      <c r="AO1221">
        <v>12.463000000000001</v>
      </c>
      <c r="AP1221">
        <v>1.4599999999999999E-3</v>
      </c>
      <c r="AQ1221">
        <v>845.98580000000004</v>
      </c>
      <c r="AR1221">
        <v>91</v>
      </c>
      <c r="AS1221">
        <v>815</v>
      </c>
      <c r="AT1221">
        <v>815</v>
      </c>
      <c r="AU1221">
        <v>34</v>
      </c>
      <c r="AX1221" t="s">
        <v>364</v>
      </c>
    </row>
    <row r="1222" spans="1:50" x14ac:dyDescent="0.45">
      <c r="A1222">
        <v>20017</v>
      </c>
      <c r="B1222">
        <v>0</v>
      </c>
      <c r="C1222">
        <v>90.700299999999999</v>
      </c>
      <c r="D1222">
        <v>0</v>
      </c>
      <c r="E1222">
        <v>0</v>
      </c>
      <c r="F1222">
        <v>0</v>
      </c>
      <c r="G1222">
        <v>6.32</v>
      </c>
      <c r="H1222">
        <v>0</v>
      </c>
      <c r="I1222">
        <v>0</v>
      </c>
      <c r="J1222">
        <v>0</v>
      </c>
      <c r="K1222">
        <v>0</v>
      </c>
      <c r="L1222">
        <v>2.97</v>
      </c>
      <c r="M1222">
        <v>0</v>
      </c>
      <c r="N1222">
        <v>0</v>
      </c>
      <c r="O1222">
        <v>0</v>
      </c>
      <c r="P1222">
        <v>0</v>
      </c>
      <c r="Q1222">
        <v>0</v>
      </c>
      <c r="R1222">
        <v>1.44E-2</v>
      </c>
      <c r="S1222">
        <v>0</v>
      </c>
      <c r="T1222">
        <v>9.7000000000000003E-3</v>
      </c>
      <c r="U1222">
        <v>0</v>
      </c>
      <c r="V1222">
        <v>1</v>
      </c>
      <c r="W1222">
        <v>900</v>
      </c>
      <c r="Y1222">
        <v>0</v>
      </c>
      <c r="Z1222">
        <v>1</v>
      </c>
      <c r="AA1222">
        <v>1</v>
      </c>
      <c r="AB1222">
        <v>0</v>
      </c>
      <c r="AC1222">
        <v>1</v>
      </c>
      <c r="AD1222">
        <v>1000</v>
      </c>
      <c r="AE1222">
        <v>6</v>
      </c>
      <c r="AF1222">
        <v>1</v>
      </c>
      <c r="AG1222">
        <v>0</v>
      </c>
      <c r="AH1222">
        <v>0</v>
      </c>
      <c r="AI1222">
        <v>1</v>
      </c>
      <c r="AJ1222">
        <v>900</v>
      </c>
      <c r="AK1222">
        <v>6</v>
      </c>
      <c r="AL1222">
        <v>1</v>
      </c>
      <c r="AM1222">
        <v>0</v>
      </c>
      <c r="AN1222">
        <v>0</v>
      </c>
      <c r="AO1222">
        <v>13.714</v>
      </c>
      <c r="AP1222">
        <v>9.7000000000000005E-4</v>
      </c>
      <c r="AQ1222">
        <v>854.97809999999993</v>
      </c>
      <c r="AR1222">
        <v>91</v>
      </c>
      <c r="AS1222">
        <v>1200</v>
      </c>
      <c r="AT1222">
        <v>1220</v>
      </c>
      <c r="AU1222">
        <v>14</v>
      </c>
      <c r="AX1222" t="s">
        <v>364</v>
      </c>
    </row>
    <row r="1223" spans="1:50" x14ac:dyDescent="0.45">
      <c r="A1223">
        <v>20018</v>
      </c>
      <c r="B1223">
        <v>0</v>
      </c>
      <c r="C1223">
        <v>89.915599999999998</v>
      </c>
      <c r="D1223">
        <v>0</v>
      </c>
      <c r="E1223">
        <v>0</v>
      </c>
      <c r="F1223">
        <v>0</v>
      </c>
      <c r="G1223">
        <v>6.27</v>
      </c>
      <c r="H1223">
        <v>0</v>
      </c>
      <c r="I1223">
        <v>0</v>
      </c>
      <c r="J1223">
        <v>0</v>
      </c>
      <c r="K1223">
        <v>0</v>
      </c>
      <c r="L1223">
        <v>3.8</v>
      </c>
      <c r="M1223">
        <v>0</v>
      </c>
      <c r="N1223">
        <v>0</v>
      </c>
      <c r="O1223">
        <v>0</v>
      </c>
      <c r="P1223">
        <v>0</v>
      </c>
      <c r="Q1223">
        <v>0</v>
      </c>
      <c r="R1223">
        <v>1.44E-2</v>
      </c>
      <c r="S1223">
        <v>0</v>
      </c>
      <c r="T1223">
        <v>1.44E-2</v>
      </c>
      <c r="U1223">
        <v>0</v>
      </c>
      <c r="V1223">
        <v>1</v>
      </c>
      <c r="W1223">
        <v>900</v>
      </c>
      <c r="Y1223">
        <v>0</v>
      </c>
      <c r="Z1223">
        <v>1</v>
      </c>
      <c r="AA1223">
        <v>1</v>
      </c>
      <c r="AB1223">
        <v>0</v>
      </c>
      <c r="AC1223">
        <v>1</v>
      </c>
      <c r="AD1223">
        <v>1000</v>
      </c>
      <c r="AE1223">
        <v>6</v>
      </c>
      <c r="AF1223">
        <v>1</v>
      </c>
      <c r="AG1223">
        <v>0</v>
      </c>
      <c r="AH1223">
        <v>0</v>
      </c>
      <c r="AI1223">
        <v>1</v>
      </c>
      <c r="AJ1223">
        <v>900</v>
      </c>
      <c r="AK1223">
        <v>6</v>
      </c>
      <c r="AL1223">
        <v>1</v>
      </c>
      <c r="AM1223">
        <v>0</v>
      </c>
      <c r="AN1223">
        <v>0</v>
      </c>
      <c r="AO1223">
        <v>14.459</v>
      </c>
      <c r="AP1223">
        <v>1.4399999999999999E-3</v>
      </c>
      <c r="AQ1223">
        <v>847.6712</v>
      </c>
      <c r="AR1223">
        <v>89</v>
      </c>
      <c r="AS1223">
        <v>1090</v>
      </c>
      <c r="AT1223">
        <v>1105</v>
      </c>
      <c r="AU1223">
        <v>15</v>
      </c>
      <c r="AV1223">
        <v>336</v>
      </c>
      <c r="AX1223" t="s">
        <v>364</v>
      </c>
    </row>
    <row r="1224" spans="1:50" x14ac:dyDescent="0.45">
      <c r="A1224">
        <v>20019</v>
      </c>
      <c r="B1224">
        <v>1</v>
      </c>
      <c r="C1224">
        <v>89.98</v>
      </c>
      <c r="D1224">
        <v>0</v>
      </c>
      <c r="E1224">
        <v>0</v>
      </c>
      <c r="F1224">
        <v>0</v>
      </c>
      <c r="G1224">
        <v>0</v>
      </c>
      <c r="H1224">
        <v>0</v>
      </c>
      <c r="I1224">
        <v>0</v>
      </c>
      <c r="J1224">
        <v>0</v>
      </c>
      <c r="K1224">
        <v>0</v>
      </c>
      <c r="L1224">
        <v>10.02</v>
      </c>
      <c r="M1224">
        <v>0</v>
      </c>
      <c r="N1224">
        <v>0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Y1224">
        <v>1</v>
      </c>
      <c r="Z1224">
        <v>0</v>
      </c>
      <c r="AA1224">
        <v>0</v>
      </c>
      <c r="AB1224">
        <v>0</v>
      </c>
      <c r="AC1224">
        <v>0</v>
      </c>
      <c r="AI1224">
        <v>0</v>
      </c>
      <c r="AO1224">
        <v>10.02</v>
      </c>
      <c r="AP1224">
        <v>0</v>
      </c>
      <c r="AQ1224">
        <v>786.81</v>
      </c>
      <c r="AR1224">
        <v>112.99</v>
      </c>
      <c r="AS1224">
        <v>741</v>
      </c>
      <c r="AT1224">
        <v>663</v>
      </c>
      <c r="AU1224">
        <v>0.71</v>
      </c>
      <c r="AV1224">
        <v>474</v>
      </c>
      <c r="AX1224" t="s">
        <v>365</v>
      </c>
    </row>
    <row r="1225" spans="1:50" x14ac:dyDescent="0.45">
      <c r="A1225">
        <v>20020</v>
      </c>
      <c r="B1225">
        <v>1</v>
      </c>
      <c r="C1225">
        <v>89.17</v>
      </c>
      <c r="D1225">
        <v>0</v>
      </c>
      <c r="E1225">
        <v>0</v>
      </c>
      <c r="F1225">
        <v>0</v>
      </c>
      <c r="G1225">
        <v>0</v>
      </c>
      <c r="H1225">
        <v>0</v>
      </c>
      <c r="I1225">
        <v>0</v>
      </c>
      <c r="J1225">
        <v>0</v>
      </c>
      <c r="K1225">
        <v>0</v>
      </c>
      <c r="L1225">
        <v>10.83</v>
      </c>
      <c r="M1225">
        <v>0</v>
      </c>
      <c r="N1225">
        <v>0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Y1225">
        <v>1</v>
      </c>
      <c r="Z1225">
        <v>0</v>
      </c>
      <c r="AA1225">
        <v>0</v>
      </c>
      <c r="AB1225">
        <v>0</v>
      </c>
      <c r="AC1225">
        <v>0</v>
      </c>
      <c r="AI1225">
        <v>0</v>
      </c>
      <c r="AO1225">
        <v>10.83</v>
      </c>
      <c r="AP1225">
        <v>0</v>
      </c>
      <c r="AQ1225">
        <v>779.11500000000001</v>
      </c>
      <c r="AR1225">
        <v>105.17</v>
      </c>
      <c r="AT1225">
        <v>885</v>
      </c>
      <c r="AU1225">
        <v>0.35</v>
      </c>
      <c r="AV1225">
        <v>441</v>
      </c>
      <c r="AX1225" t="s">
        <v>365</v>
      </c>
    </row>
    <row r="1226" spans="1:50" x14ac:dyDescent="0.45">
      <c r="A1226">
        <v>20021</v>
      </c>
      <c r="B1226">
        <v>1</v>
      </c>
      <c r="C1226">
        <v>88.22</v>
      </c>
      <c r="D1226">
        <v>0</v>
      </c>
      <c r="E1226">
        <v>0</v>
      </c>
      <c r="F1226">
        <v>0</v>
      </c>
      <c r="G1226">
        <v>0</v>
      </c>
      <c r="H1226">
        <v>0</v>
      </c>
      <c r="I1226">
        <v>0</v>
      </c>
      <c r="J1226">
        <v>0</v>
      </c>
      <c r="K1226">
        <v>0</v>
      </c>
      <c r="L1226">
        <v>11.78</v>
      </c>
      <c r="M1226">
        <v>0</v>
      </c>
      <c r="N1226">
        <v>0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  <c r="V1226">
        <v>0</v>
      </c>
      <c r="Y1226">
        <v>1</v>
      </c>
      <c r="Z1226">
        <v>0</v>
      </c>
      <c r="AA1226">
        <v>0</v>
      </c>
      <c r="AB1226">
        <v>0</v>
      </c>
      <c r="AC1226">
        <v>0</v>
      </c>
      <c r="AI1226">
        <v>0</v>
      </c>
      <c r="AO1226">
        <v>11.78</v>
      </c>
      <c r="AP1226">
        <v>0</v>
      </c>
      <c r="AQ1226">
        <v>770.09</v>
      </c>
      <c r="AR1226">
        <v>133.15</v>
      </c>
      <c r="AV1226">
        <v>390</v>
      </c>
      <c r="AX1226" t="s">
        <v>366</v>
      </c>
    </row>
    <row r="1227" spans="1:50" x14ac:dyDescent="0.45">
      <c r="A1227">
        <v>20022</v>
      </c>
      <c r="B1227">
        <v>1</v>
      </c>
      <c r="C1227">
        <v>87.11</v>
      </c>
      <c r="D1227">
        <v>0</v>
      </c>
      <c r="E1227">
        <v>0</v>
      </c>
      <c r="F1227">
        <v>0</v>
      </c>
      <c r="G1227">
        <v>0</v>
      </c>
      <c r="H1227">
        <v>0</v>
      </c>
      <c r="I1227">
        <v>0</v>
      </c>
      <c r="J1227">
        <v>0</v>
      </c>
      <c r="K1227">
        <v>0</v>
      </c>
      <c r="L1227">
        <v>12.89</v>
      </c>
      <c r="M1227">
        <v>0</v>
      </c>
      <c r="N1227">
        <v>0</v>
      </c>
      <c r="O1227">
        <v>0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Y1227">
        <v>1</v>
      </c>
      <c r="Z1227">
        <v>0</v>
      </c>
      <c r="AA1227">
        <v>0</v>
      </c>
      <c r="AB1227">
        <v>0</v>
      </c>
      <c r="AC1227">
        <v>0</v>
      </c>
      <c r="AI1227">
        <v>0</v>
      </c>
      <c r="AO1227">
        <v>12.89</v>
      </c>
      <c r="AP1227">
        <v>0</v>
      </c>
      <c r="AQ1227">
        <v>759.54499999999996</v>
      </c>
      <c r="AR1227">
        <v>104.47</v>
      </c>
      <c r="AT1227">
        <v>643</v>
      </c>
      <c r="AU1227">
        <v>0.09</v>
      </c>
      <c r="AV1227">
        <v>413</v>
      </c>
      <c r="AX1227" t="s">
        <v>365</v>
      </c>
    </row>
    <row r="1228" spans="1:50" x14ac:dyDescent="0.45">
      <c r="A1228">
        <v>20023</v>
      </c>
      <c r="B1228">
        <v>1</v>
      </c>
      <c r="C1228">
        <v>84.95</v>
      </c>
      <c r="D1228">
        <v>0</v>
      </c>
      <c r="E1228">
        <v>0</v>
      </c>
      <c r="F1228">
        <v>0</v>
      </c>
      <c r="G1228">
        <v>0</v>
      </c>
      <c r="H1228">
        <v>0</v>
      </c>
      <c r="I1228">
        <v>0</v>
      </c>
      <c r="J1228">
        <v>0</v>
      </c>
      <c r="K1228">
        <v>0</v>
      </c>
      <c r="L1228">
        <v>15.05</v>
      </c>
      <c r="M1228">
        <v>0</v>
      </c>
      <c r="N1228">
        <v>0</v>
      </c>
      <c r="O1228">
        <v>0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0</v>
      </c>
      <c r="Y1228">
        <v>1</v>
      </c>
      <c r="Z1228">
        <v>0</v>
      </c>
      <c r="AA1228">
        <v>0</v>
      </c>
      <c r="AB1228">
        <v>0</v>
      </c>
      <c r="AC1228">
        <v>0</v>
      </c>
      <c r="AI1228">
        <v>0</v>
      </c>
      <c r="AO1228">
        <v>15.05</v>
      </c>
      <c r="AP1228">
        <v>0</v>
      </c>
      <c r="AQ1228">
        <v>739.02499999999998</v>
      </c>
      <c r="AR1228">
        <v>70.48</v>
      </c>
      <c r="AS1228">
        <v>542</v>
      </c>
      <c r="AT1228">
        <v>593</v>
      </c>
      <c r="AU1228">
        <v>0.14000000000000001</v>
      </c>
      <c r="AV1228">
        <v>350</v>
      </c>
      <c r="AX1228" t="s">
        <v>365</v>
      </c>
    </row>
    <row r="1229" spans="1:50" x14ac:dyDescent="0.45">
      <c r="A1229">
        <v>20024</v>
      </c>
      <c r="B1229">
        <v>1</v>
      </c>
      <c r="C1229">
        <v>96.944599999999994</v>
      </c>
      <c r="D1229">
        <v>0</v>
      </c>
      <c r="E1229">
        <v>0</v>
      </c>
      <c r="F1229">
        <v>0</v>
      </c>
      <c r="G1229">
        <v>0</v>
      </c>
      <c r="H1229">
        <v>0</v>
      </c>
      <c r="I1229">
        <v>0</v>
      </c>
      <c r="J1229">
        <v>0</v>
      </c>
      <c r="K1229">
        <v>0</v>
      </c>
      <c r="L1229">
        <v>3.0554000000000001</v>
      </c>
      <c r="M1229">
        <v>0</v>
      </c>
      <c r="N1229">
        <v>0</v>
      </c>
      <c r="O1229">
        <v>0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0</v>
      </c>
      <c r="Y1229">
        <v>1</v>
      </c>
      <c r="Z1229">
        <v>0</v>
      </c>
      <c r="AA1229">
        <v>0</v>
      </c>
      <c r="AB1229">
        <v>0</v>
      </c>
      <c r="AC1229">
        <v>1</v>
      </c>
      <c r="AD1229">
        <v>900</v>
      </c>
      <c r="AE1229">
        <v>8</v>
      </c>
      <c r="AI1229">
        <v>0</v>
      </c>
      <c r="AO1229">
        <v>3.0554000000000001</v>
      </c>
      <c r="AP1229">
        <v>0</v>
      </c>
      <c r="AQ1229">
        <v>852.97370000000001</v>
      </c>
      <c r="AR1229">
        <v>83.8</v>
      </c>
      <c r="AX1229" t="s">
        <v>367</v>
      </c>
    </row>
    <row r="1230" spans="1:50" x14ac:dyDescent="0.45">
      <c r="A1230">
        <v>20025</v>
      </c>
      <c r="B1230">
        <v>1</v>
      </c>
      <c r="C1230">
        <v>92.5</v>
      </c>
      <c r="D1230">
        <v>0</v>
      </c>
      <c r="E1230">
        <v>0</v>
      </c>
      <c r="F1230">
        <v>0</v>
      </c>
      <c r="G1230">
        <v>0</v>
      </c>
      <c r="H1230">
        <v>0</v>
      </c>
      <c r="I1230">
        <v>0</v>
      </c>
      <c r="J1230">
        <v>0</v>
      </c>
      <c r="K1230">
        <v>0</v>
      </c>
      <c r="L1230">
        <v>7.5</v>
      </c>
      <c r="M1230">
        <v>0</v>
      </c>
      <c r="N1230">
        <v>0</v>
      </c>
      <c r="O1230">
        <v>0</v>
      </c>
      <c r="P1230">
        <v>0</v>
      </c>
      <c r="Q1230">
        <v>0</v>
      </c>
      <c r="R1230">
        <v>0</v>
      </c>
      <c r="S1230">
        <v>0</v>
      </c>
      <c r="T1230">
        <v>0</v>
      </c>
      <c r="U1230">
        <v>0</v>
      </c>
      <c r="V1230">
        <v>0</v>
      </c>
      <c r="Y1230">
        <v>1</v>
      </c>
      <c r="Z1230">
        <v>0</v>
      </c>
      <c r="AA1230">
        <v>0</v>
      </c>
      <c r="AB1230">
        <v>0</v>
      </c>
      <c r="AC1230">
        <v>0</v>
      </c>
      <c r="AI1230">
        <v>0</v>
      </c>
      <c r="AO1230">
        <v>7.5</v>
      </c>
      <c r="AP1230">
        <v>0</v>
      </c>
      <c r="AQ1230">
        <v>810.75</v>
      </c>
      <c r="AR1230">
        <v>70</v>
      </c>
      <c r="AS1230">
        <v>737</v>
      </c>
      <c r="AT1230">
        <v>1019</v>
      </c>
      <c r="AU1230">
        <v>16</v>
      </c>
      <c r="AV1230">
        <v>301</v>
      </c>
      <c r="AX1230" t="s">
        <v>368</v>
      </c>
    </row>
    <row r="1231" spans="1:50" x14ac:dyDescent="0.45">
      <c r="A1231">
        <v>20026</v>
      </c>
      <c r="B1231">
        <v>1</v>
      </c>
      <c r="C1231">
        <v>91.994399999999999</v>
      </c>
      <c r="D1231">
        <v>0</v>
      </c>
      <c r="E1231">
        <v>0</v>
      </c>
      <c r="F1231">
        <v>0</v>
      </c>
      <c r="G1231">
        <v>0</v>
      </c>
      <c r="H1231">
        <v>0</v>
      </c>
      <c r="I1231">
        <v>0</v>
      </c>
      <c r="J1231">
        <v>0</v>
      </c>
      <c r="K1231">
        <v>0</v>
      </c>
      <c r="L1231">
        <v>8.0055999999999994</v>
      </c>
      <c r="M1231">
        <v>0</v>
      </c>
      <c r="N1231">
        <v>0</v>
      </c>
      <c r="O1231">
        <v>0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Y1231">
        <v>1</v>
      </c>
      <c r="Z1231">
        <v>0</v>
      </c>
      <c r="AA1231">
        <v>0</v>
      </c>
      <c r="AB1231">
        <v>0</v>
      </c>
      <c r="AC1231">
        <v>1</v>
      </c>
      <c r="AD1231">
        <v>900</v>
      </c>
      <c r="AE1231">
        <v>8</v>
      </c>
      <c r="AI1231">
        <v>0</v>
      </c>
      <c r="AO1231">
        <v>8.0055999999999994</v>
      </c>
      <c r="AP1231">
        <v>0</v>
      </c>
      <c r="AQ1231">
        <v>805.94680000000005</v>
      </c>
      <c r="AR1231">
        <v>82.98</v>
      </c>
      <c r="AX1231" t="s">
        <v>367</v>
      </c>
    </row>
    <row r="1232" spans="1:50" x14ac:dyDescent="0.45">
      <c r="A1232">
        <v>20027</v>
      </c>
      <c r="B1232">
        <v>1</v>
      </c>
      <c r="C1232">
        <v>92.5</v>
      </c>
      <c r="D1232">
        <v>0</v>
      </c>
      <c r="E1232">
        <v>0</v>
      </c>
      <c r="F1232">
        <v>0</v>
      </c>
      <c r="G1232">
        <v>0</v>
      </c>
      <c r="H1232">
        <v>0</v>
      </c>
      <c r="I1232">
        <v>0</v>
      </c>
      <c r="J1232">
        <v>0</v>
      </c>
      <c r="K1232">
        <v>0</v>
      </c>
      <c r="L1232">
        <v>7.5</v>
      </c>
      <c r="M1232">
        <v>0</v>
      </c>
      <c r="N1232">
        <v>0</v>
      </c>
      <c r="O1232">
        <v>0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Y1232">
        <v>1</v>
      </c>
      <c r="Z1232">
        <v>0</v>
      </c>
      <c r="AA1232">
        <v>0</v>
      </c>
      <c r="AB1232">
        <v>0</v>
      </c>
      <c r="AC1232">
        <v>0</v>
      </c>
      <c r="AI1232">
        <v>0</v>
      </c>
      <c r="AO1232">
        <v>7.5</v>
      </c>
      <c r="AP1232">
        <v>0</v>
      </c>
      <c r="AQ1232">
        <v>810.75</v>
      </c>
      <c r="AR1232">
        <v>70</v>
      </c>
      <c r="AT1232">
        <v>806</v>
      </c>
      <c r="AU1232">
        <v>42</v>
      </c>
      <c r="AX1232" t="s">
        <v>369</v>
      </c>
    </row>
    <row r="1233" spans="1:50" x14ac:dyDescent="0.45">
      <c r="A1233">
        <v>20028</v>
      </c>
      <c r="B1233">
        <v>1</v>
      </c>
      <c r="C1233">
        <v>78.099999999999994</v>
      </c>
      <c r="D1233">
        <v>0</v>
      </c>
      <c r="E1233">
        <v>0</v>
      </c>
      <c r="F1233">
        <v>0</v>
      </c>
      <c r="G1233">
        <v>0</v>
      </c>
      <c r="H1233">
        <v>0</v>
      </c>
      <c r="I1233">
        <v>0</v>
      </c>
      <c r="J1233">
        <v>0</v>
      </c>
      <c r="K1233">
        <v>10.8</v>
      </c>
      <c r="L1233">
        <v>11.1</v>
      </c>
      <c r="M1233">
        <v>0</v>
      </c>
      <c r="N1233">
        <v>0</v>
      </c>
      <c r="O1233">
        <v>0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0</v>
      </c>
      <c r="V1233">
        <v>0</v>
      </c>
      <c r="Y1233">
        <v>1</v>
      </c>
      <c r="Z1233">
        <v>0</v>
      </c>
      <c r="AA1233">
        <v>0</v>
      </c>
      <c r="AB1233">
        <v>0</v>
      </c>
      <c r="AC1233">
        <v>0</v>
      </c>
      <c r="AI1233">
        <v>0</v>
      </c>
      <c r="AO1233">
        <v>14.124000000000001</v>
      </c>
      <c r="AP1233">
        <v>0</v>
      </c>
      <c r="AQ1233">
        <v>776.55</v>
      </c>
      <c r="AR1233">
        <v>56.9</v>
      </c>
      <c r="AV1233">
        <v>312</v>
      </c>
      <c r="AX1233" t="s">
        <v>366</v>
      </c>
    </row>
    <row r="1234" spans="1:50" x14ac:dyDescent="0.45">
      <c r="A1234">
        <v>20029</v>
      </c>
      <c r="B1234">
        <v>1</v>
      </c>
      <c r="C1234">
        <v>78.099999999999994</v>
      </c>
      <c r="D1234">
        <v>0</v>
      </c>
      <c r="E1234">
        <v>0</v>
      </c>
      <c r="F1234">
        <v>0</v>
      </c>
      <c r="G1234">
        <v>0</v>
      </c>
      <c r="H1234">
        <v>0</v>
      </c>
      <c r="I1234">
        <v>0</v>
      </c>
      <c r="J1234">
        <v>0</v>
      </c>
      <c r="K1234">
        <v>10.8</v>
      </c>
      <c r="L1234">
        <v>11.1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0</v>
      </c>
      <c r="Y1234">
        <v>1</v>
      </c>
      <c r="Z1234">
        <v>0</v>
      </c>
      <c r="AA1234">
        <v>0</v>
      </c>
      <c r="AB1234">
        <v>0</v>
      </c>
      <c r="AC1234">
        <v>0</v>
      </c>
      <c r="AI1234">
        <v>0</v>
      </c>
      <c r="AO1234">
        <v>14.124000000000001</v>
      </c>
      <c r="AP1234">
        <v>0</v>
      </c>
      <c r="AQ1234">
        <v>776.55</v>
      </c>
      <c r="AR1234">
        <v>57</v>
      </c>
      <c r="AS1234">
        <v>654</v>
      </c>
      <c r="AT1234">
        <v>875</v>
      </c>
      <c r="AU1234">
        <v>0.61</v>
      </c>
      <c r="AX1234" t="s">
        <v>370</v>
      </c>
    </row>
    <row r="1235" spans="1:50" x14ac:dyDescent="0.45">
      <c r="A1235">
        <v>20030</v>
      </c>
      <c r="B1235">
        <v>1</v>
      </c>
      <c r="C1235">
        <v>80</v>
      </c>
      <c r="D1235">
        <v>0</v>
      </c>
      <c r="E1235">
        <v>0</v>
      </c>
      <c r="F1235">
        <v>0</v>
      </c>
      <c r="G1235">
        <v>0</v>
      </c>
      <c r="H1235">
        <v>0</v>
      </c>
      <c r="I1235">
        <v>0</v>
      </c>
      <c r="J1235">
        <v>0</v>
      </c>
      <c r="K1235">
        <v>8</v>
      </c>
      <c r="L1235">
        <v>12</v>
      </c>
      <c r="M1235">
        <v>0</v>
      </c>
      <c r="N1235">
        <v>0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  <c r="V1235">
        <v>1</v>
      </c>
      <c r="X1235">
        <v>80</v>
      </c>
      <c r="Y1235">
        <v>0</v>
      </c>
      <c r="Z1235">
        <v>0</v>
      </c>
      <c r="AA1235">
        <v>1</v>
      </c>
      <c r="AB1235">
        <v>0</v>
      </c>
      <c r="AC1235">
        <v>1</v>
      </c>
      <c r="AD1235">
        <v>780</v>
      </c>
      <c r="AF1235">
        <v>1</v>
      </c>
      <c r="AG1235">
        <v>0</v>
      </c>
      <c r="AH1235">
        <v>0</v>
      </c>
      <c r="AI1235">
        <v>1</v>
      </c>
      <c r="AJ1235">
        <v>950</v>
      </c>
      <c r="AK1235">
        <v>1</v>
      </c>
      <c r="AO1235">
        <v>14.24</v>
      </c>
      <c r="AP1235">
        <v>0</v>
      </c>
      <c r="AQ1235">
        <v>768</v>
      </c>
      <c r="AR1235">
        <v>91</v>
      </c>
      <c r="AS1235">
        <v>528</v>
      </c>
      <c r="AT1235">
        <v>716</v>
      </c>
      <c r="AU1235">
        <v>33</v>
      </c>
      <c r="AX1235" t="s">
        <v>371</v>
      </c>
    </row>
    <row r="1236" spans="1:50" x14ac:dyDescent="0.45">
      <c r="A1236">
        <v>20031</v>
      </c>
      <c r="B1236">
        <v>0</v>
      </c>
      <c r="C1236">
        <v>93.2</v>
      </c>
      <c r="D1236">
        <v>0</v>
      </c>
      <c r="E1236">
        <v>0.45</v>
      </c>
      <c r="F1236">
        <v>0.02</v>
      </c>
      <c r="G1236">
        <v>0</v>
      </c>
      <c r="H1236">
        <v>0.05</v>
      </c>
      <c r="I1236">
        <v>0.09</v>
      </c>
      <c r="J1236">
        <v>0</v>
      </c>
      <c r="K1236">
        <v>2.79</v>
      </c>
      <c r="L1236">
        <v>3.15</v>
      </c>
      <c r="M1236">
        <v>0</v>
      </c>
      <c r="N1236">
        <v>0</v>
      </c>
      <c r="O1236">
        <v>0</v>
      </c>
      <c r="P1236">
        <v>0</v>
      </c>
      <c r="Q1236">
        <v>0.04</v>
      </c>
      <c r="R1236">
        <v>0</v>
      </c>
      <c r="S1236">
        <v>0</v>
      </c>
      <c r="T1236">
        <v>0</v>
      </c>
      <c r="U1236">
        <v>0</v>
      </c>
      <c r="V1236">
        <v>0</v>
      </c>
      <c r="Y1236">
        <v>1</v>
      </c>
      <c r="Z1236">
        <v>0</v>
      </c>
      <c r="AA1236">
        <v>0</v>
      </c>
      <c r="AB1236">
        <v>0</v>
      </c>
      <c r="AC1236">
        <v>1</v>
      </c>
      <c r="AD1236">
        <v>1100</v>
      </c>
      <c r="AE1236">
        <v>7</v>
      </c>
      <c r="AI1236">
        <v>0</v>
      </c>
      <c r="AO1236">
        <v>4.4096999999999991</v>
      </c>
      <c r="AP1236">
        <v>0</v>
      </c>
      <c r="AQ1236">
        <v>846.68500000000017</v>
      </c>
      <c r="AR1236">
        <v>102.6</v>
      </c>
      <c r="AV1236">
        <v>354</v>
      </c>
      <c r="AX1236" t="s">
        <v>372</v>
      </c>
    </row>
    <row r="1237" spans="1:50" x14ac:dyDescent="0.45">
      <c r="A1237">
        <v>20032</v>
      </c>
      <c r="B1237">
        <v>0</v>
      </c>
      <c r="C1237">
        <v>81.739999999999995</v>
      </c>
      <c r="D1237">
        <v>0</v>
      </c>
      <c r="E1237">
        <v>0</v>
      </c>
      <c r="F1237">
        <v>0.26</v>
      </c>
      <c r="G1237">
        <v>0</v>
      </c>
      <c r="H1237">
        <v>0</v>
      </c>
      <c r="I1237">
        <v>0</v>
      </c>
      <c r="J1237">
        <v>0</v>
      </c>
      <c r="K1237">
        <v>2.8</v>
      </c>
      <c r="L1237">
        <v>15</v>
      </c>
      <c r="M1237">
        <v>0</v>
      </c>
      <c r="N1237">
        <v>0</v>
      </c>
      <c r="O1237">
        <v>0</v>
      </c>
      <c r="P1237">
        <v>0</v>
      </c>
      <c r="Q1237">
        <v>0.2</v>
      </c>
      <c r="R1237">
        <v>0</v>
      </c>
      <c r="S1237">
        <v>0</v>
      </c>
      <c r="T1237">
        <v>0</v>
      </c>
      <c r="U1237">
        <v>0</v>
      </c>
      <c r="V1237">
        <v>0</v>
      </c>
      <c r="Y1237">
        <v>1</v>
      </c>
      <c r="Z1237">
        <v>0</v>
      </c>
      <c r="AA1237">
        <v>0</v>
      </c>
      <c r="AB1237">
        <v>0</v>
      </c>
      <c r="AC1237">
        <v>0</v>
      </c>
      <c r="AI1237">
        <v>0</v>
      </c>
      <c r="AO1237">
        <v>16.2</v>
      </c>
      <c r="AP1237">
        <v>0</v>
      </c>
      <c r="AQ1237">
        <v>741.01400000000001</v>
      </c>
      <c r="AR1237">
        <v>80</v>
      </c>
      <c r="AX1237" t="s">
        <v>373</v>
      </c>
    </row>
    <row r="1238" spans="1:50" x14ac:dyDescent="0.45">
      <c r="A1238">
        <v>20033</v>
      </c>
      <c r="B1238">
        <v>0</v>
      </c>
      <c r="C1238">
        <v>84.8</v>
      </c>
      <c r="D1238">
        <v>0</v>
      </c>
      <c r="E1238">
        <v>0.59</v>
      </c>
      <c r="F1238">
        <v>0.03</v>
      </c>
      <c r="G1238">
        <v>0</v>
      </c>
      <c r="H1238">
        <v>0.05</v>
      </c>
      <c r="I1238">
        <v>0.11</v>
      </c>
      <c r="J1238">
        <v>0</v>
      </c>
      <c r="K1238">
        <v>4.55</v>
      </c>
      <c r="L1238">
        <v>5.75</v>
      </c>
      <c r="M1238">
        <v>3.93</v>
      </c>
      <c r="N1238">
        <v>0</v>
      </c>
      <c r="O1238">
        <v>0</v>
      </c>
      <c r="P1238">
        <v>0</v>
      </c>
      <c r="Q1238">
        <v>0.04</v>
      </c>
      <c r="R1238">
        <v>0</v>
      </c>
      <c r="S1238">
        <v>0</v>
      </c>
      <c r="T1238">
        <v>0</v>
      </c>
      <c r="U1238">
        <v>0</v>
      </c>
      <c r="V1238">
        <v>0</v>
      </c>
      <c r="Y1238">
        <v>1</v>
      </c>
      <c r="Z1238">
        <v>0</v>
      </c>
      <c r="AA1238">
        <v>0</v>
      </c>
      <c r="AB1238">
        <v>0</v>
      </c>
      <c r="AC1238">
        <v>1</v>
      </c>
      <c r="AD1238">
        <v>1100</v>
      </c>
      <c r="AE1238">
        <v>7</v>
      </c>
      <c r="AI1238">
        <v>0</v>
      </c>
      <c r="AO1238">
        <v>7.6122999999999994</v>
      </c>
      <c r="AP1238">
        <v>1.31</v>
      </c>
      <c r="AQ1238">
        <v>836.71799999999996</v>
      </c>
      <c r="AR1238">
        <v>104.6</v>
      </c>
      <c r="AV1238">
        <v>296</v>
      </c>
      <c r="AX1238" t="s">
        <v>374</v>
      </c>
    </row>
    <row r="1239" spans="1:50" x14ac:dyDescent="0.45">
      <c r="A1239">
        <v>20034</v>
      </c>
      <c r="B1239">
        <v>0</v>
      </c>
      <c r="C1239">
        <v>81.5</v>
      </c>
      <c r="D1239">
        <v>0</v>
      </c>
      <c r="E1239">
        <v>0.5</v>
      </c>
      <c r="F1239">
        <v>0.04</v>
      </c>
      <c r="G1239">
        <v>0</v>
      </c>
      <c r="H1239">
        <v>0.04</v>
      </c>
      <c r="I1239">
        <v>0.01</v>
      </c>
      <c r="J1239">
        <v>0</v>
      </c>
      <c r="K1239">
        <v>3.92</v>
      </c>
      <c r="L1239">
        <v>5.0599999999999996</v>
      </c>
      <c r="M1239">
        <v>8.06</v>
      </c>
      <c r="N1239">
        <v>0</v>
      </c>
      <c r="O1239">
        <v>0</v>
      </c>
      <c r="P1239">
        <v>0</v>
      </c>
      <c r="Q1239">
        <v>0.04</v>
      </c>
      <c r="R1239">
        <v>0</v>
      </c>
      <c r="S1239">
        <v>0</v>
      </c>
      <c r="T1239">
        <v>0</v>
      </c>
      <c r="U1239">
        <v>0</v>
      </c>
      <c r="V1239">
        <v>0</v>
      </c>
      <c r="Y1239">
        <v>1</v>
      </c>
      <c r="Z1239">
        <v>0</v>
      </c>
      <c r="AA1239">
        <v>0</v>
      </c>
      <c r="AB1239">
        <v>0</v>
      </c>
      <c r="AC1239">
        <v>1</v>
      </c>
      <c r="AD1239">
        <v>1100</v>
      </c>
      <c r="AE1239">
        <v>7</v>
      </c>
      <c r="AI1239">
        <v>0</v>
      </c>
      <c r="AO1239">
        <v>6.6725999999999992</v>
      </c>
      <c r="AP1239">
        <v>2.686666666666667</v>
      </c>
      <c r="AQ1239">
        <v>861.71400000000006</v>
      </c>
      <c r="AR1239">
        <v>98.2</v>
      </c>
      <c r="AV1239">
        <v>351</v>
      </c>
      <c r="AX1239" t="s">
        <v>374</v>
      </c>
    </row>
    <row r="1240" spans="1:50" x14ac:dyDescent="0.45">
      <c r="A1240">
        <v>20035</v>
      </c>
      <c r="B1240">
        <v>1</v>
      </c>
      <c r="C1240">
        <v>82</v>
      </c>
      <c r="D1240">
        <v>0</v>
      </c>
      <c r="E1240">
        <v>0</v>
      </c>
      <c r="F1240">
        <v>0</v>
      </c>
      <c r="G1240">
        <v>0</v>
      </c>
      <c r="H1240">
        <v>0</v>
      </c>
      <c r="I1240">
        <v>0</v>
      </c>
      <c r="J1240">
        <v>4</v>
      </c>
      <c r="K1240">
        <v>6</v>
      </c>
      <c r="L1240">
        <v>8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0</v>
      </c>
      <c r="V1240">
        <v>1</v>
      </c>
      <c r="W1240">
        <v>820</v>
      </c>
      <c r="X1240">
        <v>80</v>
      </c>
      <c r="Y1240">
        <v>0</v>
      </c>
      <c r="Z1240">
        <v>0</v>
      </c>
      <c r="AA1240">
        <v>1</v>
      </c>
      <c r="AB1240">
        <v>0</v>
      </c>
      <c r="AC1240">
        <v>1</v>
      </c>
      <c r="AD1240">
        <v>950</v>
      </c>
      <c r="AE1240">
        <v>2</v>
      </c>
      <c r="AF1240">
        <v>1</v>
      </c>
      <c r="AG1240">
        <v>0</v>
      </c>
      <c r="AH1240">
        <v>0</v>
      </c>
      <c r="AI1240">
        <v>0</v>
      </c>
      <c r="AO1240">
        <v>9.68</v>
      </c>
      <c r="AP1240">
        <v>0.66666666666666663</v>
      </c>
      <c r="AQ1240">
        <v>778.4</v>
      </c>
      <c r="AR1240">
        <v>72</v>
      </c>
      <c r="AS1240">
        <v>899</v>
      </c>
      <c r="AU1240">
        <v>15</v>
      </c>
      <c r="AX1240" t="s">
        <v>375</v>
      </c>
    </row>
    <row r="1241" spans="1:50" x14ac:dyDescent="0.45">
      <c r="A1241">
        <v>20036</v>
      </c>
      <c r="B1241">
        <v>1</v>
      </c>
      <c r="C1241">
        <v>84</v>
      </c>
      <c r="D1241">
        <v>0</v>
      </c>
      <c r="E1241">
        <v>0</v>
      </c>
      <c r="F1241">
        <v>0</v>
      </c>
      <c r="G1241">
        <v>0</v>
      </c>
      <c r="H1241">
        <v>0</v>
      </c>
      <c r="I1241">
        <v>0</v>
      </c>
      <c r="J1241">
        <v>3</v>
      </c>
      <c r="K1241">
        <v>5</v>
      </c>
      <c r="L1241">
        <v>0</v>
      </c>
      <c r="M1241">
        <v>0</v>
      </c>
      <c r="N1241">
        <v>0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0</v>
      </c>
      <c r="U1241">
        <v>0</v>
      </c>
      <c r="V1241">
        <v>0</v>
      </c>
      <c r="Y1241">
        <v>1</v>
      </c>
      <c r="Z1241">
        <v>0</v>
      </c>
      <c r="AA1241">
        <v>0</v>
      </c>
      <c r="AB1241">
        <v>0</v>
      </c>
      <c r="AC1241">
        <v>1</v>
      </c>
      <c r="AD1241">
        <v>1000</v>
      </c>
      <c r="AE1241">
        <v>24</v>
      </c>
      <c r="AF1241">
        <v>1</v>
      </c>
      <c r="AG1241">
        <v>0</v>
      </c>
      <c r="AH1241">
        <v>0</v>
      </c>
      <c r="AI1241">
        <v>0</v>
      </c>
      <c r="AO1241">
        <v>1.4000000000000001</v>
      </c>
      <c r="AP1241">
        <v>0.5</v>
      </c>
      <c r="AQ1241">
        <v>861.3</v>
      </c>
      <c r="AR1241">
        <v>69</v>
      </c>
      <c r="AS1241">
        <v>947</v>
      </c>
      <c r="AU1241">
        <v>21</v>
      </c>
      <c r="AX1241" t="s">
        <v>375</v>
      </c>
    </row>
    <row r="1242" spans="1:50" x14ac:dyDescent="0.45">
      <c r="A1242">
        <v>20037</v>
      </c>
      <c r="B1242">
        <v>1</v>
      </c>
      <c r="C1242">
        <v>86</v>
      </c>
      <c r="D1242">
        <v>0</v>
      </c>
      <c r="E1242">
        <v>0</v>
      </c>
      <c r="F1242">
        <v>0</v>
      </c>
      <c r="G1242">
        <v>0</v>
      </c>
      <c r="H1242">
        <v>0</v>
      </c>
      <c r="I1242">
        <v>0</v>
      </c>
      <c r="J1242">
        <v>2</v>
      </c>
      <c r="K1242">
        <v>4</v>
      </c>
      <c r="L1242">
        <v>0</v>
      </c>
      <c r="M1242">
        <v>0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  <c r="V1242">
        <v>0</v>
      </c>
      <c r="Y1242">
        <v>1</v>
      </c>
      <c r="Z1242">
        <v>0</v>
      </c>
      <c r="AA1242">
        <v>0</v>
      </c>
      <c r="AB1242">
        <v>0</v>
      </c>
      <c r="AC1242">
        <v>1</v>
      </c>
      <c r="AD1242">
        <v>1000</v>
      </c>
      <c r="AE1242">
        <v>24</v>
      </c>
      <c r="AF1242">
        <v>1</v>
      </c>
      <c r="AG1242">
        <v>0</v>
      </c>
      <c r="AH1242">
        <v>0</v>
      </c>
      <c r="AI1242">
        <v>0</v>
      </c>
      <c r="AO1242">
        <v>1.1200000000000001</v>
      </c>
      <c r="AP1242">
        <v>0.33333333333333331</v>
      </c>
      <c r="AQ1242">
        <v>868.2</v>
      </c>
      <c r="AR1242">
        <v>35.4</v>
      </c>
      <c r="AS1242">
        <v>798</v>
      </c>
      <c r="AU1242">
        <v>15</v>
      </c>
      <c r="AX1242" t="s">
        <v>375</v>
      </c>
    </row>
    <row r="1243" spans="1:50" x14ac:dyDescent="0.45">
      <c r="A1243">
        <v>20038</v>
      </c>
      <c r="B1243">
        <v>1</v>
      </c>
      <c r="C1243">
        <v>83</v>
      </c>
      <c r="D1243">
        <v>0</v>
      </c>
      <c r="E1243">
        <v>0</v>
      </c>
      <c r="F1243">
        <v>0</v>
      </c>
      <c r="G1243">
        <v>0</v>
      </c>
      <c r="H1243">
        <v>0</v>
      </c>
      <c r="I1243">
        <v>0</v>
      </c>
      <c r="J1243">
        <v>0</v>
      </c>
      <c r="K1243">
        <v>0</v>
      </c>
      <c r="L1243">
        <v>12</v>
      </c>
      <c r="M1243">
        <v>0</v>
      </c>
      <c r="N1243">
        <v>0</v>
      </c>
      <c r="O1243">
        <v>5</v>
      </c>
      <c r="P1243">
        <v>0</v>
      </c>
      <c r="Q1243">
        <v>0</v>
      </c>
      <c r="R1243">
        <v>0</v>
      </c>
      <c r="S1243">
        <v>0</v>
      </c>
      <c r="T1243">
        <v>0</v>
      </c>
      <c r="U1243">
        <v>0</v>
      </c>
      <c r="V1243">
        <v>0</v>
      </c>
      <c r="Y1243">
        <v>1</v>
      </c>
      <c r="Z1243">
        <v>0</v>
      </c>
      <c r="AA1243">
        <v>0</v>
      </c>
      <c r="AB1243">
        <v>0</v>
      </c>
      <c r="AC1243">
        <v>1</v>
      </c>
      <c r="AD1243">
        <v>950</v>
      </c>
      <c r="AE1243">
        <v>1</v>
      </c>
      <c r="AF1243">
        <v>1</v>
      </c>
      <c r="AG1243">
        <v>0</v>
      </c>
      <c r="AH1243">
        <v>0</v>
      </c>
      <c r="AI1243">
        <v>0</v>
      </c>
      <c r="AO1243">
        <v>13.1</v>
      </c>
      <c r="AP1243">
        <v>0</v>
      </c>
      <c r="AQ1243">
        <v>768</v>
      </c>
      <c r="AR1243">
        <v>74</v>
      </c>
      <c r="AV1243">
        <v>303</v>
      </c>
      <c r="AX1243" t="s">
        <v>376</v>
      </c>
    </row>
    <row r="1244" spans="1:50" x14ac:dyDescent="0.45">
      <c r="A1244">
        <v>20039</v>
      </c>
      <c r="B1244">
        <v>1</v>
      </c>
      <c r="C1244">
        <v>83</v>
      </c>
      <c r="D1244">
        <v>0</v>
      </c>
      <c r="E1244">
        <v>0</v>
      </c>
      <c r="F1244">
        <v>0</v>
      </c>
      <c r="G1244">
        <v>0</v>
      </c>
      <c r="H1244">
        <v>0</v>
      </c>
      <c r="I1244">
        <v>0</v>
      </c>
      <c r="J1244">
        <v>0</v>
      </c>
      <c r="K1244">
        <v>0</v>
      </c>
      <c r="L1244">
        <v>12</v>
      </c>
      <c r="M1244">
        <v>0</v>
      </c>
      <c r="N1244">
        <v>0</v>
      </c>
      <c r="O1244">
        <v>5</v>
      </c>
      <c r="P1244">
        <v>0</v>
      </c>
      <c r="Q1244">
        <v>0</v>
      </c>
      <c r="R1244">
        <v>0</v>
      </c>
      <c r="S1244">
        <v>0</v>
      </c>
      <c r="T1244">
        <v>0</v>
      </c>
      <c r="U1244">
        <v>0</v>
      </c>
      <c r="V1244">
        <v>0</v>
      </c>
      <c r="Y1244">
        <v>1</v>
      </c>
      <c r="Z1244">
        <v>0</v>
      </c>
      <c r="AA1244">
        <v>0</v>
      </c>
      <c r="AB1244">
        <v>0</v>
      </c>
      <c r="AC1244">
        <v>1</v>
      </c>
      <c r="AD1244">
        <v>950</v>
      </c>
      <c r="AE1244">
        <v>1</v>
      </c>
      <c r="AF1244">
        <v>1</v>
      </c>
      <c r="AG1244">
        <v>0</v>
      </c>
      <c r="AH1244">
        <v>0</v>
      </c>
      <c r="AI1244">
        <v>0</v>
      </c>
      <c r="AO1244">
        <v>13.1</v>
      </c>
      <c r="AP1244">
        <v>0</v>
      </c>
      <c r="AQ1244">
        <v>768</v>
      </c>
      <c r="AR1244">
        <v>74</v>
      </c>
      <c r="AV1244">
        <v>303</v>
      </c>
      <c r="AX1244" t="s">
        <v>377</v>
      </c>
    </row>
    <row r="1245" spans="1:50" x14ac:dyDescent="0.45">
      <c r="A1245">
        <v>20040</v>
      </c>
      <c r="B1245">
        <v>1</v>
      </c>
      <c r="C1245">
        <v>83</v>
      </c>
      <c r="D1245">
        <v>0</v>
      </c>
      <c r="E1245">
        <v>0</v>
      </c>
      <c r="F1245">
        <v>0</v>
      </c>
      <c r="G1245">
        <v>0</v>
      </c>
      <c r="H1245">
        <v>0</v>
      </c>
      <c r="I1245">
        <v>0</v>
      </c>
      <c r="J1245">
        <v>5</v>
      </c>
      <c r="K1245">
        <v>0</v>
      </c>
      <c r="L1245">
        <v>12</v>
      </c>
      <c r="M1245">
        <v>0</v>
      </c>
      <c r="N1245">
        <v>0</v>
      </c>
      <c r="O1245">
        <v>0</v>
      </c>
      <c r="P1245">
        <v>0</v>
      </c>
      <c r="Q1245">
        <v>0</v>
      </c>
      <c r="R1245">
        <v>0</v>
      </c>
      <c r="S1245">
        <v>0</v>
      </c>
      <c r="T1245">
        <v>0</v>
      </c>
      <c r="U1245">
        <v>0</v>
      </c>
      <c r="V1245">
        <v>0</v>
      </c>
      <c r="Y1245">
        <v>1</v>
      </c>
      <c r="Z1245">
        <v>0</v>
      </c>
      <c r="AA1245">
        <v>0</v>
      </c>
      <c r="AB1245">
        <v>0</v>
      </c>
      <c r="AC1245">
        <v>1</v>
      </c>
      <c r="AD1245">
        <v>1000</v>
      </c>
      <c r="AE1245">
        <v>1</v>
      </c>
      <c r="AI1245">
        <v>0</v>
      </c>
      <c r="AO1245">
        <v>12</v>
      </c>
      <c r="AP1245">
        <v>0.83333333333333337</v>
      </c>
      <c r="AQ1245">
        <v>733.5</v>
      </c>
      <c r="AR1245">
        <v>90.9</v>
      </c>
      <c r="AS1245">
        <v>956</v>
      </c>
      <c r="AT1245">
        <v>1028</v>
      </c>
      <c r="AU1245">
        <v>4.0999999999999996</v>
      </c>
      <c r="AV1245">
        <v>396</v>
      </c>
      <c r="AX1245" t="s">
        <v>378</v>
      </c>
    </row>
    <row r="1246" spans="1:50" x14ac:dyDescent="0.45">
      <c r="A1246">
        <v>20041</v>
      </c>
      <c r="B1246">
        <v>1</v>
      </c>
      <c r="C1246">
        <v>83</v>
      </c>
      <c r="D1246">
        <v>0</v>
      </c>
      <c r="E1246">
        <v>0</v>
      </c>
      <c r="F1246">
        <v>0</v>
      </c>
      <c r="G1246">
        <v>0</v>
      </c>
      <c r="H1246">
        <v>0</v>
      </c>
      <c r="I1246">
        <v>0</v>
      </c>
      <c r="J1246">
        <v>5</v>
      </c>
      <c r="K1246">
        <v>0</v>
      </c>
      <c r="L1246">
        <v>12</v>
      </c>
      <c r="M1246">
        <v>0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Y1246">
        <v>1</v>
      </c>
      <c r="Z1246">
        <v>0</v>
      </c>
      <c r="AA1246">
        <v>0</v>
      </c>
      <c r="AB1246">
        <v>0</v>
      </c>
      <c r="AC1246">
        <v>1</v>
      </c>
      <c r="AD1246">
        <v>1000</v>
      </c>
      <c r="AE1246">
        <v>1</v>
      </c>
      <c r="AI1246">
        <v>1</v>
      </c>
      <c r="AJ1246">
        <v>780</v>
      </c>
      <c r="AK1246">
        <v>1</v>
      </c>
      <c r="AO1246">
        <v>12</v>
      </c>
      <c r="AP1246">
        <v>0.83333333333333337</v>
      </c>
      <c r="AQ1246">
        <v>733.5</v>
      </c>
      <c r="AR1246">
        <v>78.599999999999994</v>
      </c>
      <c r="AS1246">
        <v>540</v>
      </c>
      <c r="AT1246">
        <v>695</v>
      </c>
      <c r="AU1246">
        <v>3.9</v>
      </c>
      <c r="AV1246">
        <v>427</v>
      </c>
      <c r="AX1246" t="s">
        <v>378</v>
      </c>
    </row>
    <row r="1247" spans="1:50" x14ac:dyDescent="0.45">
      <c r="A1247">
        <v>20042</v>
      </c>
      <c r="B1247">
        <v>1</v>
      </c>
      <c r="C1247">
        <v>83</v>
      </c>
      <c r="D1247">
        <v>0</v>
      </c>
      <c r="E1247">
        <v>0</v>
      </c>
      <c r="F1247">
        <v>0</v>
      </c>
      <c r="G1247">
        <v>0</v>
      </c>
      <c r="H1247">
        <v>0</v>
      </c>
      <c r="I1247">
        <v>0</v>
      </c>
      <c r="J1247">
        <v>5</v>
      </c>
      <c r="K1247">
        <v>0</v>
      </c>
      <c r="L1247">
        <v>12</v>
      </c>
      <c r="M1247">
        <v>0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0</v>
      </c>
      <c r="V1247">
        <v>0</v>
      </c>
      <c r="Y1247">
        <v>1</v>
      </c>
      <c r="Z1247">
        <v>0</v>
      </c>
      <c r="AA1247">
        <v>0</v>
      </c>
      <c r="AB1247">
        <v>0</v>
      </c>
      <c r="AC1247">
        <v>1</v>
      </c>
      <c r="AD1247">
        <v>1000</v>
      </c>
      <c r="AE1247">
        <v>1</v>
      </c>
      <c r="AI1247">
        <v>1</v>
      </c>
      <c r="AJ1247">
        <v>860</v>
      </c>
      <c r="AK1247">
        <v>1</v>
      </c>
      <c r="AO1247">
        <v>12</v>
      </c>
      <c r="AP1247">
        <v>0.83333333333333337</v>
      </c>
      <c r="AQ1247">
        <v>733.5</v>
      </c>
      <c r="AR1247">
        <v>64.5</v>
      </c>
      <c r="AS1247">
        <v>509</v>
      </c>
      <c r="AT1247">
        <v>628</v>
      </c>
      <c r="AU1247">
        <v>4.7</v>
      </c>
      <c r="AV1247">
        <v>442</v>
      </c>
      <c r="AX1247" t="s">
        <v>378</v>
      </c>
    </row>
    <row r="1248" spans="1:50" x14ac:dyDescent="0.45">
      <c r="A1248">
        <v>20043</v>
      </c>
      <c r="B1248">
        <v>0</v>
      </c>
      <c r="C1248">
        <v>81.873099999999994</v>
      </c>
      <c r="D1248">
        <v>2.93</v>
      </c>
      <c r="E1248">
        <v>0</v>
      </c>
      <c r="F1248">
        <v>0</v>
      </c>
      <c r="G1248">
        <v>0</v>
      </c>
      <c r="H1248">
        <v>4.2999999999999997E-2</v>
      </c>
      <c r="I1248">
        <v>0</v>
      </c>
      <c r="J1248">
        <v>0</v>
      </c>
      <c r="K1248">
        <v>0</v>
      </c>
      <c r="L1248">
        <v>14.97</v>
      </c>
      <c r="M1248">
        <v>0</v>
      </c>
      <c r="N1248">
        <v>0</v>
      </c>
      <c r="O1248">
        <v>0</v>
      </c>
      <c r="P1248">
        <v>0</v>
      </c>
      <c r="Q1248">
        <v>0</v>
      </c>
      <c r="R1248">
        <v>6.0000000000000001E-3</v>
      </c>
      <c r="S1248">
        <v>1.29E-2</v>
      </c>
      <c r="T1248">
        <v>0.16500000000000001</v>
      </c>
      <c r="U1248">
        <v>0</v>
      </c>
      <c r="V1248">
        <v>0</v>
      </c>
      <c r="Y1248">
        <v>1</v>
      </c>
      <c r="Z1248">
        <v>0</v>
      </c>
      <c r="AA1248">
        <v>0</v>
      </c>
      <c r="AB1248">
        <v>0</v>
      </c>
      <c r="AC1248">
        <v>1</v>
      </c>
      <c r="AD1248">
        <v>785</v>
      </c>
      <c r="AE1248">
        <v>1</v>
      </c>
      <c r="AF1248">
        <v>1</v>
      </c>
      <c r="AG1248">
        <v>0</v>
      </c>
      <c r="AH1248">
        <v>0</v>
      </c>
      <c r="AI1248">
        <v>0</v>
      </c>
      <c r="AO1248">
        <v>12.164700000000002</v>
      </c>
      <c r="AP1248">
        <v>2.9477900000000004</v>
      </c>
      <c r="AQ1248">
        <v>765.57079999999996</v>
      </c>
      <c r="AU1248">
        <v>23</v>
      </c>
      <c r="AX1248" t="s">
        <v>379</v>
      </c>
    </row>
    <row r="1249" spans="1:50" x14ac:dyDescent="0.45">
      <c r="A1249">
        <v>20044</v>
      </c>
      <c r="B1249">
        <v>0</v>
      </c>
      <c r="C1249">
        <v>80.257199999999997</v>
      </c>
      <c r="D1249">
        <v>0</v>
      </c>
      <c r="E1249">
        <v>0</v>
      </c>
      <c r="F1249">
        <v>0</v>
      </c>
      <c r="G1249">
        <v>0</v>
      </c>
      <c r="H1249">
        <v>4.5999999999999999E-2</v>
      </c>
      <c r="I1249">
        <v>0</v>
      </c>
      <c r="J1249">
        <v>4.76</v>
      </c>
      <c r="K1249">
        <v>0</v>
      </c>
      <c r="L1249">
        <v>14.74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8.0000000000000002E-3</v>
      </c>
      <c r="S1249">
        <v>5.7999999999999996E-3</v>
      </c>
      <c r="T1249">
        <v>0.183</v>
      </c>
      <c r="U1249">
        <v>0</v>
      </c>
      <c r="V1249">
        <v>0</v>
      </c>
      <c r="Y1249">
        <v>1</v>
      </c>
      <c r="Z1249">
        <v>0</v>
      </c>
      <c r="AA1249">
        <v>0</v>
      </c>
      <c r="AB1249">
        <v>0</v>
      </c>
      <c r="AC1249">
        <v>1</v>
      </c>
      <c r="AD1249">
        <v>730</v>
      </c>
      <c r="AE1249">
        <v>1</v>
      </c>
      <c r="AF1249">
        <v>1</v>
      </c>
      <c r="AG1249">
        <v>0</v>
      </c>
      <c r="AH1249">
        <v>0</v>
      </c>
      <c r="AI1249">
        <v>0</v>
      </c>
      <c r="AO1249">
        <v>14.8734</v>
      </c>
      <c r="AP1249">
        <v>0.81221333333333334</v>
      </c>
      <c r="AQ1249">
        <v>730.92660000000001</v>
      </c>
      <c r="AU1249">
        <v>32</v>
      </c>
      <c r="AX1249" t="s">
        <v>379</v>
      </c>
    </row>
    <row r="1250" spans="1:50" x14ac:dyDescent="0.45">
      <c r="A1250">
        <v>20045</v>
      </c>
      <c r="B1250">
        <v>0</v>
      </c>
      <c r="C1250">
        <v>81.75</v>
      </c>
      <c r="D1250">
        <v>0</v>
      </c>
      <c r="E1250">
        <v>0</v>
      </c>
      <c r="F1250">
        <v>0</v>
      </c>
      <c r="G1250">
        <v>0</v>
      </c>
      <c r="H1250">
        <v>0</v>
      </c>
      <c r="I1250">
        <v>0</v>
      </c>
      <c r="J1250">
        <v>7</v>
      </c>
      <c r="K1250">
        <v>0</v>
      </c>
      <c r="L1250">
        <v>10</v>
      </c>
      <c r="M1250">
        <v>0</v>
      </c>
      <c r="N1250">
        <v>0</v>
      </c>
      <c r="O1250">
        <v>0</v>
      </c>
      <c r="P1250">
        <v>0</v>
      </c>
      <c r="Q1250">
        <v>1.25</v>
      </c>
      <c r="R1250">
        <v>0</v>
      </c>
      <c r="S1250">
        <v>0</v>
      </c>
      <c r="T1250">
        <v>0</v>
      </c>
      <c r="U1250">
        <v>0</v>
      </c>
      <c r="V1250">
        <v>0</v>
      </c>
      <c r="Y1250">
        <v>1</v>
      </c>
      <c r="Z1250">
        <v>0</v>
      </c>
      <c r="AA1250">
        <v>0</v>
      </c>
      <c r="AB1250">
        <v>0</v>
      </c>
      <c r="AC1250">
        <v>0</v>
      </c>
      <c r="AI1250">
        <v>0</v>
      </c>
      <c r="AO1250">
        <v>10</v>
      </c>
      <c r="AP1250">
        <v>1.1666666666666667</v>
      </c>
      <c r="AQ1250">
        <v>767.82500000000005</v>
      </c>
      <c r="AR1250">
        <v>29.533999999999999</v>
      </c>
      <c r="AX1250" t="s">
        <v>380</v>
      </c>
    </row>
    <row r="1251" spans="1:50" x14ac:dyDescent="0.45">
      <c r="A1251">
        <v>20046</v>
      </c>
      <c r="B1251">
        <v>1</v>
      </c>
      <c r="C1251">
        <v>80</v>
      </c>
      <c r="D1251">
        <v>0</v>
      </c>
      <c r="E1251">
        <v>0</v>
      </c>
      <c r="F1251">
        <v>0</v>
      </c>
      <c r="G1251">
        <v>0</v>
      </c>
      <c r="H1251">
        <v>2</v>
      </c>
      <c r="I1251">
        <v>0</v>
      </c>
      <c r="J1251">
        <v>6</v>
      </c>
      <c r="K1251">
        <v>0</v>
      </c>
      <c r="L1251">
        <v>12</v>
      </c>
      <c r="M1251">
        <v>0</v>
      </c>
      <c r="N1251">
        <v>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0</v>
      </c>
      <c r="Y1251">
        <v>1</v>
      </c>
      <c r="Z1251">
        <v>0</v>
      </c>
      <c r="AA1251">
        <v>0</v>
      </c>
      <c r="AB1251">
        <v>0</v>
      </c>
      <c r="AC1251">
        <v>0</v>
      </c>
      <c r="AI1251">
        <v>0</v>
      </c>
      <c r="AO1251">
        <v>17.8</v>
      </c>
      <c r="AP1251">
        <v>1</v>
      </c>
      <c r="AQ1251">
        <v>695.80000000000007</v>
      </c>
      <c r="AR1251">
        <v>107.1</v>
      </c>
      <c r="AS1251">
        <v>1291</v>
      </c>
      <c r="AU1251">
        <v>1.3</v>
      </c>
      <c r="AV1251">
        <v>488</v>
      </c>
      <c r="AX1251" t="s">
        <v>381</v>
      </c>
    </row>
    <row r="1252" spans="1:50" x14ac:dyDescent="0.45">
      <c r="A1252">
        <v>20047</v>
      </c>
      <c r="B1252">
        <v>1</v>
      </c>
      <c r="C1252">
        <v>80</v>
      </c>
      <c r="D1252">
        <v>0</v>
      </c>
      <c r="E1252">
        <v>0</v>
      </c>
      <c r="F1252">
        <v>0</v>
      </c>
      <c r="G1252">
        <v>0</v>
      </c>
      <c r="H1252">
        <v>2</v>
      </c>
      <c r="I1252">
        <v>0</v>
      </c>
      <c r="J1252">
        <v>6</v>
      </c>
      <c r="K1252">
        <v>0</v>
      </c>
      <c r="L1252">
        <v>12</v>
      </c>
      <c r="M1252">
        <v>0</v>
      </c>
      <c r="N1252">
        <v>0</v>
      </c>
      <c r="O1252">
        <v>0</v>
      </c>
      <c r="P1252">
        <v>0</v>
      </c>
      <c r="Q1252">
        <v>0</v>
      </c>
      <c r="R1252">
        <v>0</v>
      </c>
      <c r="S1252">
        <v>0</v>
      </c>
      <c r="T1252">
        <v>0</v>
      </c>
      <c r="U1252">
        <v>0</v>
      </c>
      <c r="V1252">
        <v>0</v>
      </c>
      <c r="Y1252">
        <v>1</v>
      </c>
      <c r="Z1252">
        <v>0</v>
      </c>
      <c r="AA1252">
        <v>0</v>
      </c>
      <c r="AB1252">
        <v>0</v>
      </c>
      <c r="AC1252">
        <v>0</v>
      </c>
      <c r="AI1252">
        <v>0</v>
      </c>
      <c r="AO1252">
        <v>17.8</v>
      </c>
      <c r="AP1252">
        <v>1</v>
      </c>
      <c r="AQ1252">
        <v>695.80000000000007</v>
      </c>
      <c r="AR1252">
        <v>85.7</v>
      </c>
      <c r="AS1252">
        <v>1026</v>
      </c>
      <c r="AT1252">
        <v>1026</v>
      </c>
      <c r="AU1252">
        <v>12.7</v>
      </c>
      <c r="AV1252">
        <v>343</v>
      </c>
      <c r="AX1252" t="s">
        <v>381</v>
      </c>
    </row>
    <row r="1253" spans="1:50" x14ac:dyDescent="0.45">
      <c r="A1253">
        <v>20048</v>
      </c>
      <c r="B1253">
        <v>1</v>
      </c>
      <c r="C1253">
        <v>80</v>
      </c>
      <c r="D1253">
        <v>0</v>
      </c>
      <c r="E1253">
        <v>0</v>
      </c>
      <c r="F1253">
        <v>0</v>
      </c>
      <c r="G1253">
        <v>0</v>
      </c>
      <c r="H1253">
        <v>2</v>
      </c>
      <c r="I1253">
        <v>0</v>
      </c>
      <c r="J1253">
        <v>6</v>
      </c>
      <c r="K1253">
        <v>0</v>
      </c>
      <c r="L1253">
        <v>12</v>
      </c>
      <c r="M1253">
        <v>0</v>
      </c>
      <c r="N1253">
        <v>0</v>
      </c>
      <c r="O1253">
        <v>0</v>
      </c>
      <c r="P1253">
        <v>0</v>
      </c>
      <c r="Q1253">
        <v>0</v>
      </c>
      <c r="R1253">
        <v>0</v>
      </c>
      <c r="S1253">
        <v>0</v>
      </c>
      <c r="T1253">
        <v>0</v>
      </c>
      <c r="U1253">
        <v>0</v>
      </c>
      <c r="V1253">
        <v>0</v>
      </c>
      <c r="Y1253">
        <v>1</v>
      </c>
      <c r="Z1253">
        <v>0</v>
      </c>
      <c r="AA1253">
        <v>0</v>
      </c>
      <c r="AB1253">
        <v>0</v>
      </c>
      <c r="AC1253">
        <v>1</v>
      </c>
      <c r="AD1253">
        <v>1000</v>
      </c>
      <c r="AE1253">
        <v>1</v>
      </c>
      <c r="AI1253">
        <v>0</v>
      </c>
      <c r="AO1253">
        <v>17.8</v>
      </c>
      <c r="AP1253">
        <v>1</v>
      </c>
      <c r="AQ1253">
        <v>695.80000000000007</v>
      </c>
      <c r="AR1253">
        <v>70.900000000000006</v>
      </c>
      <c r="AS1253">
        <v>988</v>
      </c>
      <c r="AT1253">
        <v>943</v>
      </c>
      <c r="AU1253">
        <v>12</v>
      </c>
      <c r="AV1253">
        <v>326</v>
      </c>
      <c r="AX1253" t="s">
        <v>381</v>
      </c>
    </row>
    <row r="1254" spans="1:50" x14ac:dyDescent="0.45">
      <c r="A1254">
        <v>20049</v>
      </c>
      <c r="B1254">
        <v>1</v>
      </c>
      <c r="C1254">
        <v>83</v>
      </c>
      <c r="D1254">
        <v>0</v>
      </c>
      <c r="E1254">
        <v>0</v>
      </c>
      <c r="F1254">
        <v>0</v>
      </c>
      <c r="G1254">
        <v>0</v>
      </c>
      <c r="H1254">
        <v>0</v>
      </c>
      <c r="I1254">
        <v>0</v>
      </c>
      <c r="J1254">
        <v>2</v>
      </c>
      <c r="K1254">
        <v>4</v>
      </c>
      <c r="L1254">
        <v>0</v>
      </c>
      <c r="M1254">
        <v>0</v>
      </c>
      <c r="N1254">
        <v>0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0</v>
      </c>
      <c r="U1254">
        <v>0</v>
      </c>
      <c r="V1254">
        <v>0</v>
      </c>
      <c r="Y1254">
        <v>1</v>
      </c>
      <c r="Z1254">
        <v>0</v>
      </c>
      <c r="AA1254">
        <v>0</v>
      </c>
      <c r="AB1254">
        <v>0</v>
      </c>
      <c r="AC1254">
        <v>0</v>
      </c>
      <c r="AI1254">
        <v>0</v>
      </c>
      <c r="AO1254">
        <v>1.1200000000000001</v>
      </c>
      <c r="AP1254">
        <v>0.33333333333333331</v>
      </c>
      <c r="AQ1254">
        <v>868.2</v>
      </c>
      <c r="AR1254">
        <v>52</v>
      </c>
      <c r="AS1254">
        <v>483</v>
      </c>
      <c r="AU1254">
        <v>26</v>
      </c>
      <c r="AX1254" t="s">
        <v>375</v>
      </c>
    </row>
    <row r="1255" spans="1:50" x14ac:dyDescent="0.45">
      <c r="A1255">
        <v>20050</v>
      </c>
      <c r="B1255">
        <v>0</v>
      </c>
      <c r="C1255">
        <v>84.75</v>
      </c>
      <c r="D1255">
        <v>0</v>
      </c>
      <c r="E1255">
        <v>0</v>
      </c>
      <c r="F1255">
        <v>0</v>
      </c>
      <c r="G1255">
        <v>0</v>
      </c>
      <c r="H1255">
        <v>0</v>
      </c>
      <c r="I1255">
        <v>0</v>
      </c>
      <c r="J1255">
        <v>4</v>
      </c>
      <c r="K1255">
        <v>0</v>
      </c>
      <c r="L1255">
        <v>10</v>
      </c>
      <c r="M1255">
        <v>0</v>
      </c>
      <c r="N1255">
        <v>0</v>
      </c>
      <c r="O1255">
        <v>0</v>
      </c>
      <c r="P1255">
        <v>0</v>
      </c>
      <c r="Q1255">
        <v>1.25</v>
      </c>
      <c r="R1255">
        <v>0</v>
      </c>
      <c r="S1255">
        <v>0</v>
      </c>
      <c r="T1255">
        <v>0</v>
      </c>
      <c r="U1255">
        <v>0</v>
      </c>
      <c r="V1255">
        <v>0</v>
      </c>
      <c r="Y1255">
        <v>1</v>
      </c>
      <c r="Z1255">
        <v>0</v>
      </c>
      <c r="AA1255">
        <v>0</v>
      </c>
      <c r="AB1255">
        <v>0</v>
      </c>
      <c r="AC1255">
        <v>0</v>
      </c>
      <c r="AI1255">
        <v>0</v>
      </c>
      <c r="AO1255">
        <v>10</v>
      </c>
      <c r="AP1255">
        <v>0.66666666666666663</v>
      </c>
      <c r="AQ1255">
        <v>788.52499999999998</v>
      </c>
      <c r="AR1255">
        <v>23.085999999999999</v>
      </c>
      <c r="AS1255">
        <v>825</v>
      </c>
      <c r="AX1255" t="s">
        <v>380</v>
      </c>
    </row>
    <row r="1256" spans="1:50" x14ac:dyDescent="0.45">
      <c r="A1256">
        <v>20051</v>
      </c>
      <c r="B1256">
        <v>0</v>
      </c>
      <c r="C1256">
        <v>78.75</v>
      </c>
      <c r="D1256">
        <v>0</v>
      </c>
      <c r="E1256">
        <v>0</v>
      </c>
      <c r="F1256">
        <v>0</v>
      </c>
      <c r="G1256">
        <v>0</v>
      </c>
      <c r="H1256">
        <v>0</v>
      </c>
      <c r="I1256">
        <v>0</v>
      </c>
      <c r="J1256">
        <v>10</v>
      </c>
      <c r="K1256">
        <v>0</v>
      </c>
      <c r="L1256">
        <v>10</v>
      </c>
      <c r="M1256">
        <v>0</v>
      </c>
      <c r="N1256">
        <v>0</v>
      </c>
      <c r="O1256">
        <v>0</v>
      </c>
      <c r="P1256">
        <v>0</v>
      </c>
      <c r="Q1256">
        <v>1.25</v>
      </c>
      <c r="R1256">
        <v>0</v>
      </c>
      <c r="S1256">
        <v>0</v>
      </c>
      <c r="T1256">
        <v>0</v>
      </c>
      <c r="U1256">
        <v>0</v>
      </c>
      <c r="V1256">
        <v>0</v>
      </c>
      <c r="Y1256">
        <v>1</v>
      </c>
      <c r="Z1256">
        <v>0</v>
      </c>
      <c r="AA1256">
        <v>0</v>
      </c>
      <c r="AB1256">
        <v>0</v>
      </c>
      <c r="AC1256">
        <v>0</v>
      </c>
      <c r="AI1256">
        <v>0</v>
      </c>
      <c r="AO1256">
        <v>10</v>
      </c>
      <c r="AP1256">
        <v>1.6666666666666667</v>
      </c>
      <c r="AQ1256">
        <v>747.125</v>
      </c>
      <c r="AR1256">
        <v>28.370999999999999</v>
      </c>
      <c r="AX1256" t="s">
        <v>380</v>
      </c>
    </row>
    <row r="1257" spans="1:50" x14ac:dyDescent="0.45">
      <c r="A1257">
        <v>20052</v>
      </c>
      <c r="B1257">
        <v>1</v>
      </c>
      <c r="C1257">
        <v>77.77</v>
      </c>
      <c r="D1257">
        <v>0</v>
      </c>
      <c r="E1257">
        <v>0</v>
      </c>
      <c r="F1257">
        <v>0</v>
      </c>
      <c r="G1257">
        <v>0</v>
      </c>
      <c r="H1257">
        <v>0</v>
      </c>
      <c r="I1257">
        <v>0</v>
      </c>
      <c r="J1257">
        <v>6</v>
      </c>
      <c r="K1257">
        <v>0</v>
      </c>
      <c r="L1257">
        <v>11.5</v>
      </c>
      <c r="M1257">
        <v>4.5</v>
      </c>
      <c r="N1257">
        <v>0</v>
      </c>
      <c r="O1257">
        <v>0</v>
      </c>
      <c r="P1257">
        <v>0</v>
      </c>
      <c r="Q1257">
        <v>0</v>
      </c>
      <c r="R1257">
        <v>0</v>
      </c>
      <c r="S1257">
        <v>0.05</v>
      </c>
      <c r="T1257">
        <v>0.18</v>
      </c>
      <c r="U1257">
        <v>0</v>
      </c>
      <c r="V1257">
        <v>1</v>
      </c>
      <c r="X1257">
        <v>43.333333333333336</v>
      </c>
      <c r="Y1257">
        <v>0</v>
      </c>
      <c r="Z1257">
        <v>1</v>
      </c>
      <c r="AA1257">
        <v>0</v>
      </c>
      <c r="AB1257">
        <v>0</v>
      </c>
      <c r="AC1257">
        <v>1</v>
      </c>
      <c r="AD1257">
        <v>730</v>
      </c>
      <c r="AE1257">
        <v>0.25</v>
      </c>
      <c r="AI1257">
        <v>0</v>
      </c>
      <c r="AO1257">
        <v>11.5</v>
      </c>
      <c r="AP1257">
        <v>2.5230000000000001</v>
      </c>
      <c r="AQ1257">
        <v>772.39</v>
      </c>
      <c r="AR1257">
        <v>79</v>
      </c>
      <c r="AX1257" t="s">
        <v>382</v>
      </c>
    </row>
    <row r="1258" spans="1:50" x14ac:dyDescent="0.45">
      <c r="A1258">
        <v>20053</v>
      </c>
      <c r="B1258">
        <v>1</v>
      </c>
      <c r="C1258">
        <v>77.77</v>
      </c>
      <c r="D1258">
        <v>0</v>
      </c>
      <c r="E1258">
        <v>0</v>
      </c>
      <c r="F1258">
        <v>0</v>
      </c>
      <c r="G1258">
        <v>0</v>
      </c>
      <c r="H1258">
        <v>0</v>
      </c>
      <c r="I1258">
        <v>0</v>
      </c>
      <c r="J1258">
        <v>6</v>
      </c>
      <c r="K1258">
        <v>0</v>
      </c>
      <c r="L1258">
        <v>11.5</v>
      </c>
      <c r="M1258">
        <v>4.5</v>
      </c>
      <c r="N1258">
        <v>0</v>
      </c>
      <c r="O1258">
        <v>0</v>
      </c>
      <c r="P1258">
        <v>0</v>
      </c>
      <c r="Q1258">
        <v>0</v>
      </c>
      <c r="R1258">
        <v>0</v>
      </c>
      <c r="S1258">
        <v>0.05</v>
      </c>
      <c r="T1258">
        <v>0.18</v>
      </c>
      <c r="U1258">
        <v>0</v>
      </c>
      <c r="V1258">
        <v>1</v>
      </c>
      <c r="X1258">
        <v>43.333333333333336</v>
      </c>
      <c r="Y1258">
        <v>0</v>
      </c>
      <c r="Z1258">
        <v>1</v>
      </c>
      <c r="AA1258">
        <v>0</v>
      </c>
      <c r="AB1258">
        <v>0</v>
      </c>
      <c r="AC1258">
        <v>1</v>
      </c>
      <c r="AD1258">
        <v>730</v>
      </c>
      <c r="AE1258">
        <v>0.25</v>
      </c>
      <c r="AI1258">
        <v>1</v>
      </c>
      <c r="AJ1258">
        <v>510</v>
      </c>
      <c r="AK1258">
        <v>8</v>
      </c>
      <c r="AO1258">
        <v>11.5</v>
      </c>
      <c r="AP1258">
        <v>2.5230000000000001</v>
      </c>
      <c r="AQ1258">
        <v>772.39</v>
      </c>
      <c r="AR1258">
        <v>108</v>
      </c>
      <c r="AX1258" t="s">
        <v>382</v>
      </c>
    </row>
    <row r="1259" spans="1:50" x14ac:dyDescent="0.45">
      <c r="A1259">
        <v>20054</v>
      </c>
      <c r="B1259">
        <v>1</v>
      </c>
      <c r="C1259">
        <v>78</v>
      </c>
      <c r="D1259">
        <v>0</v>
      </c>
      <c r="E1259">
        <v>0</v>
      </c>
      <c r="F1259">
        <v>0</v>
      </c>
      <c r="G1259">
        <v>0</v>
      </c>
      <c r="H1259">
        <v>0</v>
      </c>
      <c r="I1259">
        <v>0</v>
      </c>
      <c r="J1259">
        <v>0</v>
      </c>
      <c r="K1259">
        <v>22</v>
      </c>
      <c r="L1259">
        <v>0</v>
      </c>
      <c r="M1259">
        <v>0</v>
      </c>
      <c r="N1259">
        <v>0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0</v>
      </c>
      <c r="U1259">
        <v>0</v>
      </c>
      <c r="V1259">
        <v>1</v>
      </c>
      <c r="X1259">
        <v>85</v>
      </c>
      <c r="Y1259">
        <v>0</v>
      </c>
      <c r="Z1259">
        <v>1</v>
      </c>
      <c r="AA1259">
        <v>0</v>
      </c>
      <c r="AB1259">
        <v>0</v>
      </c>
      <c r="AC1259">
        <v>1</v>
      </c>
      <c r="AD1259">
        <v>1000</v>
      </c>
      <c r="AE1259">
        <v>10</v>
      </c>
      <c r="AI1259">
        <v>1</v>
      </c>
      <c r="AJ1259">
        <v>950</v>
      </c>
      <c r="AK1259">
        <v>1</v>
      </c>
      <c r="AL1259">
        <v>1</v>
      </c>
      <c r="AM1259">
        <v>0</v>
      </c>
      <c r="AN1259">
        <v>0</v>
      </c>
      <c r="AO1259">
        <v>6.16</v>
      </c>
      <c r="AP1259">
        <v>0</v>
      </c>
      <c r="AQ1259">
        <v>882</v>
      </c>
      <c r="AR1259">
        <v>72</v>
      </c>
      <c r="AS1259">
        <v>400</v>
      </c>
      <c r="AT1259">
        <v>600</v>
      </c>
      <c r="AU1259">
        <v>31.5</v>
      </c>
      <c r="AX1259" t="s">
        <v>383</v>
      </c>
    </row>
    <row r="1260" spans="1:50" x14ac:dyDescent="0.45">
      <c r="A1260">
        <v>20055</v>
      </c>
      <c r="B1260">
        <v>1</v>
      </c>
      <c r="C1260">
        <v>61</v>
      </c>
      <c r="D1260">
        <v>0</v>
      </c>
      <c r="E1260">
        <v>0</v>
      </c>
      <c r="F1260">
        <v>0</v>
      </c>
      <c r="G1260">
        <v>0</v>
      </c>
      <c r="H1260">
        <v>0</v>
      </c>
      <c r="I1260">
        <v>0</v>
      </c>
      <c r="J1260">
        <v>0</v>
      </c>
      <c r="K1260">
        <v>39</v>
      </c>
      <c r="L1260">
        <v>0</v>
      </c>
      <c r="M1260">
        <v>0</v>
      </c>
      <c r="N1260">
        <v>0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0</v>
      </c>
      <c r="U1260">
        <v>0</v>
      </c>
      <c r="V1260">
        <v>1</v>
      </c>
      <c r="X1260">
        <v>89</v>
      </c>
      <c r="Y1260">
        <v>0</v>
      </c>
      <c r="Z1260">
        <v>1</v>
      </c>
      <c r="AA1260">
        <v>0</v>
      </c>
      <c r="AB1260">
        <v>0</v>
      </c>
      <c r="AC1260">
        <v>1</v>
      </c>
      <c r="AD1260">
        <v>950</v>
      </c>
      <c r="AE1260">
        <v>5</v>
      </c>
      <c r="AI1260">
        <v>1</v>
      </c>
      <c r="AJ1260">
        <v>800</v>
      </c>
      <c r="AK1260">
        <v>1</v>
      </c>
      <c r="AL1260">
        <v>1</v>
      </c>
      <c r="AM1260">
        <v>0</v>
      </c>
      <c r="AN1260">
        <v>0</v>
      </c>
      <c r="AO1260">
        <v>10.920000000000002</v>
      </c>
      <c r="AP1260">
        <v>0</v>
      </c>
      <c r="AQ1260">
        <v>882</v>
      </c>
      <c r="AR1260">
        <v>45</v>
      </c>
      <c r="AS1260">
        <v>156</v>
      </c>
      <c r="AT1260">
        <v>500</v>
      </c>
      <c r="AX1260" t="s">
        <v>384</v>
      </c>
    </row>
    <row r="1261" spans="1:50" x14ac:dyDescent="0.45">
      <c r="A1261">
        <v>20056</v>
      </c>
      <c r="B1261">
        <v>1</v>
      </c>
      <c r="C1261">
        <v>61</v>
      </c>
      <c r="D1261">
        <v>0</v>
      </c>
      <c r="E1261">
        <v>0</v>
      </c>
      <c r="F1261">
        <v>0</v>
      </c>
      <c r="G1261">
        <v>0</v>
      </c>
      <c r="H1261">
        <v>0</v>
      </c>
      <c r="I1261">
        <v>0</v>
      </c>
      <c r="J1261">
        <v>0</v>
      </c>
      <c r="K1261">
        <v>39</v>
      </c>
      <c r="L1261">
        <v>0</v>
      </c>
      <c r="M1261">
        <v>0</v>
      </c>
      <c r="N1261">
        <v>0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0</v>
      </c>
      <c r="U1261">
        <v>0</v>
      </c>
      <c r="V1261">
        <v>1</v>
      </c>
      <c r="X1261">
        <v>89</v>
      </c>
      <c r="Y1261">
        <v>0</v>
      </c>
      <c r="Z1261">
        <v>1</v>
      </c>
      <c r="AA1261">
        <v>0</v>
      </c>
      <c r="AB1261">
        <v>0</v>
      </c>
      <c r="AC1261">
        <v>1</v>
      </c>
      <c r="AD1261">
        <v>950</v>
      </c>
      <c r="AE1261">
        <v>5</v>
      </c>
      <c r="AI1261">
        <v>1</v>
      </c>
      <c r="AJ1261">
        <v>250</v>
      </c>
      <c r="AK1261">
        <v>0.5</v>
      </c>
      <c r="AL1261">
        <v>1</v>
      </c>
      <c r="AM1261">
        <v>0</v>
      </c>
      <c r="AN1261">
        <v>0</v>
      </c>
      <c r="AO1261">
        <v>10.920000000000002</v>
      </c>
      <c r="AP1261">
        <v>0</v>
      </c>
      <c r="AQ1261">
        <v>882</v>
      </c>
      <c r="AR1261">
        <v>39</v>
      </c>
      <c r="AS1261">
        <v>410</v>
      </c>
      <c r="AT1261">
        <v>745</v>
      </c>
      <c r="AX1261" t="s">
        <v>385</v>
      </c>
    </row>
    <row r="1262" spans="1:50" x14ac:dyDescent="0.45">
      <c r="A1262">
        <v>20057</v>
      </c>
      <c r="B1262">
        <v>1</v>
      </c>
      <c r="C1262">
        <v>55</v>
      </c>
      <c r="D1262">
        <v>0</v>
      </c>
      <c r="E1262">
        <v>0</v>
      </c>
      <c r="F1262">
        <v>0</v>
      </c>
      <c r="G1262">
        <v>0</v>
      </c>
      <c r="H1262">
        <v>0</v>
      </c>
      <c r="I1262">
        <v>0</v>
      </c>
      <c r="J1262">
        <v>0</v>
      </c>
      <c r="K1262">
        <v>45</v>
      </c>
      <c r="L1262">
        <v>0</v>
      </c>
      <c r="M1262">
        <v>0</v>
      </c>
      <c r="N1262">
        <v>0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1</v>
      </c>
      <c r="Y1262">
        <v>0</v>
      </c>
      <c r="Z1262">
        <v>0</v>
      </c>
      <c r="AA1262">
        <v>0</v>
      </c>
      <c r="AB1262">
        <v>1</v>
      </c>
      <c r="AC1262">
        <v>0</v>
      </c>
      <c r="AI1262">
        <v>0</v>
      </c>
      <c r="AO1262">
        <v>12.600000000000001</v>
      </c>
      <c r="AP1262">
        <v>0</v>
      </c>
      <c r="AQ1262">
        <v>882</v>
      </c>
      <c r="AR1262">
        <v>65</v>
      </c>
      <c r="AX1262" t="s">
        <v>386</v>
      </c>
    </row>
    <row r="1263" spans="1:50" x14ac:dyDescent="0.45">
      <c r="A1263">
        <v>20058</v>
      </c>
      <c r="B1263">
        <v>1</v>
      </c>
      <c r="C1263">
        <v>88.5</v>
      </c>
      <c r="D1263">
        <v>0</v>
      </c>
      <c r="E1263">
        <v>0</v>
      </c>
      <c r="F1263">
        <v>0</v>
      </c>
      <c r="G1263">
        <v>0</v>
      </c>
      <c r="H1263">
        <v>0.5</v>
      </c>
      <c r="I1263">
        <v>0</v>
      </c>
      <c r="J1263">
        <v>0</v>
      </c>
      <c r="K1263">
        <v>11</v>
      </c>
      <c r="L1263">
        <v>0</v>
      </c>
      <c r="M1263">
        <v>0</v>
      </c>
      <c r="N1263">
        <v>0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0</v>
      </c>
      <c r="Y1263">
        <v>1</v>
      </c>
      <c r="Z1263">
        <v>0</v>
      </c>
      <c r="AA1263">
        <v>0</v>
      </c>
      <c r="AB1263">
        <v>0</v>
      </c>
      <c r="AC1263">
        <v>0</v>
      </c>
      <c r="AI1263">
        <v>0</v>
      </c>
      <c r="AO1263">
        <v>4.53</v>
      </c>
      <c r="AP1263">
        <v>0</v>
      </c>
      <c r="AQ1263">
        <v>874.3</v>
      </c>
      <c r="AR1263">
        <v>109</v>
      </c>
      <c r="AS1263">
        <v>796</v>
      </c>
      <c r="AU1263">
        <v>18</v>
      </c>
      <c r="AV1263">
        <v>278</v>
      </c>
      <c r="AX1263" t="s">
        <v>387</v>
      </c>
    </row>
    <row r="1264" spans="1:50" x14ac:dyDescent="0.45">
      <c r="A1264">
        <v>20059</v>
      </c>
      <c r="B1264">
        <v>1</v>
      </c>
      <c r="C1264">
        <v>85.5</v>
      </c>
      <c r="D1264">
        <v>0</v>
      </c>
      <c r="E1264">
        <v>0</v>
      </c>
      <c r="F1264">
        <v>0</v>
      </c>
      <c r="G1264">
        <v>0</v>
      </c>
      <c r="H1264">
        <v>3.5</v>
      </c>
      <c r="I1264">
        <v>0</v>
      </c>
      <c r="J1264">
        <v>0</v>
      </c>
      <c r="K1264">
        <v>11</v>
      </c>
      <c r="L1264">
        <v>0</v>
      </c>
      <c r="M1264">
        <v>0</v>
      </c>
      <c r="N1264">
        <v>0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0</v>
      </c>
      <c r="Y1264">
        <v>1</v>
      </c>
      <c r="Z1264">
        <v>0</v>
      </c>
      <c r="AA1264">
        <v>0</v>
      </c>
      <c r="AB1264">
        <v>0</v>
      </c>
      <c r="AC1264">
        <v>1</v>
      </c>
      <c r="AD1264">
        <v>750</v>
      </c>
      <c r="AE1264">
        <v>0.16666666666666666</v>
      </c>
      <c r="AF1264">
        <v>1</v>
      </c>
      <c r="AG1264">
        <v>0</v>
      </c>
      <c r="AH1264">
        <v>0</v>
      </c>
      <c r="AI1264">
        <v>0</v>
      </c>
      <c r="AO1264">
        <v>13.23</v>
      </c>
      <c r="AP1264">
        <v>0</v>
      </c>
      <c r="AQ1264">
        <v>828.1</v>
      </c>
      <c r="AR1264">
        <v>101</v>
      </c>
      <c r="AS1264">
        <v>932</v>
      </c>
      <c r="AU1264">
        <v>29</v>
      </c>
      <c r="AV1264">
        <v>303</v>
      </c>
      <c r="AX1264" t="s">
        <v>387</v>
      </c>
    </row>
    <row r="1265" spans="1:50" x14ac:dyDescent="0.45">
      <c r="A1265">
        <v>20060</v>
      </c>
      <c r="B1265">
        <v>1</v>
      </c>
      <c r="C1265">
        <v>83</v>
      </c>
      <c r="D1265">
        <v>0</v>
      </c>
      <c r="E1265">
        <v>0</v>
      </c>
      <c r="F1265">
        <v>0</v>
      </c>
      <c r="G1265">
        <v>0</v>
      </c>
      <c r="H1265">
        <v>6</v>
      </c>
      <c r="I1265">
        <v>0</v>
      </c>
      <c r="J1265">
        <v>0</v>
      </c>
      <c r="K1265">
        <v>11</v>
      </c>
      <c r="L1265">
        <v>0</v>
      </c>
      <c r="M1265">
        <v>0</v>
      </c>
      <c r="N1265">
        <v>0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Y1265">
        <v>1</v>
      </c>
      <c r="Z1265">
        <v>0</v>
      </c>
      <c r="AA1265">
        <v>0</v>
      </c>
      <c r="AB1265">
        <v>0</v>
      </c>
      <c r="AC1265">
        <v>0</v>
      </c>
      <c r="AI1265">
        <v>0</v>
      </c>
      <c r="AO1265">
        <v>20.479999999999997</v>
      </c>
      <c r="AP1265">
        <v>0</v>
      </c>
      <c r="AQ1265">
        <v>789.6</v>
      </c>
      <c r="AR1265">
        <v>89</v>
      </c>
      <c r="AS1265">
        <v>1137</v>
      </c>
      <c r="AU1265">
        <v>36</v>
      </c>
      <c r="AV1265">
        <v>357</v>
      </c>
      <c r="AX1265" t="s">
        <v>387</v>
      </c>
    </row>
    <row r="1266" spans="1:50" x14ac:dyDescent="0.45">
      <c r="A1266">
        <v>20061</v>
      </c>
      <c r="B1266">
        <v>1</v>
      </c>
      <c r="C1266">
        <v>80</v>
      </c>
      <c r="D1266">
        <v>0</v>
      </c>
      <c r="E1266">
        <v>0</v>
      </c>
      <c r="F1266">
        <v>0</v>
      </c>
      <c r="G1266">
        <v>0</v>
      </c>
      <c r="H1266">
        <v>9</v>
      </c>
      <c r="I1266">
        <v>0</v>
      </c>
      <c r="J1266">
        <v>0</v>
      </c>
      <c r="K1266">
        <v>11</v>
      </c>
      <c r="L1266">
        <v>0</v>
      </c>
      <c r="M1266">
        <v>0</v>
      </c>
      <c r="N1266">
        <v>0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Y1266">
        <v>1</v>
      </c>
      <c r="Z1266">
        <v>0</v>
      </c>
      <c r="AA1266">
        <v>0</v>
      </c>
      <c r="AB1266">
        <v>0</v>
      </c>
      <c r="AC1266">
        <v>0</v>
      </c>
      <c r="AI1266">
        <v>0</v>
      </c>
      <c r="AO1266">
        <v>29.18</v>
      </c>
      <c r="AP1266">
        <v>0</v>
      </c>
      <c r="AQ1266">
        <v>743.4</v>
      </c>
      <c r="AR1266">
        <v>82</v>
      </c>
      <c r="AS1266">
        <v>1078</v>
      </c>
      <c r="AU1266">
        <v>38</v>
      </c>
      <c r="AV1266">
        <v>334</v>
      </c>
      <c r="AX1266" t="s">
        <v>387</v>
      </c>
    </row>
    <row r="1267" spans="1:50" x14ac:dyDescent="0.45">
      <c r="A1267">
        <v>20062</v>
      </c>
      <c r="B1267">
        <v>1</v>
      </c>
      <c r="C1267">
        <v>82</v>
      </c>
      <c r="D1267">
        <v>0</v>
      </c>
      <c r="E1267">
        <v>0</v>
      </c>
      <c r="F1267">
        <v>0</v>
      </c>
      <c r="G1267">
        <v>0</v>
      </c>
      <c r="H1267">
        <v>7</v>
      </c>
      <c r="I1267">
        <v>0</v>
      </c>
      <c r="J1267">
        <v>0</v>
      </c>
      <c r="K1267">
        <v>11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Y1267">
        <v>1</v>
      </c>
      <c r="Z1267">
        <v>0</v>
      </c>
      <c r="AA1267">
        <v>0</v>
      </c>
      <c r="AB1267">
        <v>0</v>
      </c>
      <c r="AC1267">
        <v>0</v>
      </c>
      <c r="AI1267">
        <v>0</v>
      </c>
      <c r="AO1267">
        <v>23.380000000000003</v>
      </c>
      <c r="AP1267">
        <v>0</v>
      </c>
      <c r="AQ1267">
        <v>774.2</v>
      </c>
      <c r="AR1267">
        <v>86</v>
      </c>
      <c r="AS1267">
        <v>985</v>
      </c>
      <c r="AT1267">
        <v>2006</v>
      </c>
      <c r="AU1267">
        <v>41.5</v>
      </c>
      <c r="AX1267" t="s">
        <v>359</v>
      </c>
    </row>
    <row r="1268" spans="1:50" x14ac:dyDescent="0.45">
      <c r="A1268">
        <v>20063</v>
      </c>
      <c r="B1268">
        <v>1</v>
      </c>
      <c r="C1268">
        <v>82</v>
      </c>
      <c r="D1268">
        <v>0</v>
      </c>
      <c r="E1268">
        <v>0</v>
      </c>
      <c r="F1268">
        <v>0</v>
      </c>
      <c r="G1268">
        <v>0</v>
      </c>
      <c r="H1268">
        <v>3</v>
      </c>
      <c r="I1268">
        <v>0</v>
      </c>
      <c r="J1268">
        <v>0</v>
      </c>
      <c r="K1268">
        <v>15</v>
      </c>
      <c r="L1268">
        <v>0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0</v>
      </c>
      <c r="U1268">
        <v>0</v>
      </c>
      <c r="V1268">
        <v>0</v>
      </c>
      <c r="Y1268">
        <v>1</v>
      </c>
      <c r="Z1268">
        <v>0</v>
      </c>
      <c r="AA1268">
        <v>0</v>
      </c>
      <c r="AB1268">
        <v>0</v>
      </c>
      <c r="AC1268">
        <v>1</v>
      </c>
      <c r="AD1268">
        <v>750</v>
      </c>
      <c r="AE1268">
        <v>0.16666666666666666</v>
      </c>
      <c r="AF1268">
        <v>1</v>
      </c>
      <c r="AG1268">
        <v>0</v>
      </c>
      <c r="AH1268">
        <v>0</v>
      </c>
      <c r="AI1268">
        <v>0</v>
      </c>
      <c r="AO1268">
        <v>12.899999999999999</v>
      </c>
      <c r="AP1268">
        <v>0</v>
      </c>
      <c r="AQ1268">
        <v>835.8</v>
      </c>
      <c r="AR1268">
        <v>94</v>
      </c>
      <c r="AS1268">
        <v>695</v>
      </c>
      <c r="AX1268" t="s">
        <v>388</v>
      </c>
    </row>
    <row r="1269" spans="1:50" x14ac:dyDescent="0.45">
      <c r="A1269">
        <v>20064</v>
      </c>
      <c r="B1269">
        <v>1</v>
      </c>
      <c r="C1269">
        <v>78.5</v>
      </c>
      <c r="D1269">
        <v>0</v>
      </c>
      <c r="E1269">
        <v>0</v>
      </c>
      <c r="F1269">
        <v>0</v>
      </c>
      <c r="G1269">
        <v>0</v>
      </c>
      <c r="H1269">
        <v>2.5</v>
      </c>
      <c r="I1269">
        <v>0</v>
      </c>
      <c r="J1269">
        <v>0</v>
      </c>
      <c r="K1269">
        <v>19</v>
      </c>
      <c r="L1269">
        <v>0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0</v>
      </c>
      <c r="U1269">
        <v>0</v>
      </c>
      <c r="V1269">
        <v>0</v>
      </c>
      <c r="Y1269">
        <v>1</v>
      </c>
      <c r="Z1269">
        <v>0</v>
      </c>
      <c r="AA1269">
        <v>0</v>
      </c>
      <c r="AB1269">
        <v>0</v>
      </c>
      <c r="AC1269">
        <v>1</v>
      </c>
      <c r="AD1269">
        <v>750</v>
      </c>
      <c r="AE1269">
        <v>0.16666666666666666</v>
      </c>
      <c r="AF1269">
        <v>1</v>
      </c>
      <c r="AG1269">
        <v>0</v>
      </c>
      <c r="AH1269">
        <v>0</v>
      </c>
      <c r="AI1269">
        <v>0</v>
      </c>
      <c r="AO1269">
        <v>12.57</v>
      </c>
      <c r="AP1269">
        <v>0</v>
      </c>
      <c r="AQ1269">
        <v>843.5</v>
      </c>
      <c r="AR1269">
        <v>90</v>
      </c>
      <c r="AS1269">
        <v>672</v>
      </c>
      <c r="AX1269" t="s">
        <v>388</v>
      </c>
    </row>
    <row r="1270" spans="1:50" x14ac:dyDescent="0.45">
      <c r="A1270">
        <v>20065</v>
      </c>
      <c r="B1270">
        <v>1</v>
      </c>
      <c r="C1270">
        <v>75</v>
      </c>
      <c r="D1270">
        <v>0</v>
      </c>
      <c r="E1270">
        <v>0</v>
      </c>
      <c r="F1270">
        <v>0</v>
      </c>
      <c r="G1270">
        <v>0</v>
      </c>
      <c r="H1270">
        <v>2</v>
      </c>
      <c r="I1270">
        <v>0</v>
      </c>
      <c r="J1270">
        <v>0</v>
      </c>
      <c r="K1270">
        <v>23</v>
      </c>
      <c r="L1270">
        <v>0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  <c r="V1270">
        <v>0</v>
      </c>
      <c r="Y1270">
        <v>1</v>
      </c>
      <c r="Z1270">
        <v>0</v>
      </c>
      <c r="AA1270">
        <v>0</v>
      </c>
      <c r="AB1270">
        <v>0</v>
      </c>
      <c r="AC1270">
        <v>1</v>
      </c>
      <c r="AD1270">
        <v>750</v>
      </c>
      <c r="AE1270">
        <v>0.16666666666666666</v>
      </c>
      <c r="AF1270">
        <v>1</v>
      </c>
      <c r="AG1270">
        <v>0</v>
      </c>
      <c r="AH1270">
        <v>0</v>
      </c>
      <c r="AI1270">
        <v>0</v>
      </c>
      <c r="AO1270">
        <v>12.24</v>
      </c>
      <c r="AP1270">
        <v>0</v>
      </c>
      <c r="AQ1270">
        <v>851.2</v>
      </c>
      <c r="AR1270">
        <v>95</v>
      </c>
      <c r="AS1270">
        <v>604</v>
      </c>
      <c r="AX1270" t="s">
        <v>388</v>
      </c>
    </row>
    <row r="1271" spans="1:50" x14ac:dyDescent="0.45">
      <c r="A1271">
        <v>20066</v>
      </c>
      <c r="B1271">
        <v>1</v>
      </c>
      <c r="C1271">
        <v>70.7</v>
      </c>
      <c r="D1271">
        <v>0</v>
      </c>
      <c r="E1271">
        <v>0</v>
      </c>
      <c r="F1271">
        <v>0</v>
      </c>
      <c r="G1271">
        <v>0</v>
      </c>
      <c r="H1271">
        <v>2.12</v>
      </c>
      <c r="I1271">
        <v>0</v>
      </c>
      <c r="J1271">
        <v>0</v>
      </c>
      <c r="K1271">
        <v>27.18</v>
      </c>
      <c r="L1271">
        <v>0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0</v>
      </c>
      <c r="U1271">
        <v>0</v>
      </c>
      <c r="V1271">
        <v>1</v>
      </c>
      <c r="X1271">
        <v>84</v>
      </c>
      <c r="Y1271">
        <v>0</v>
      </c>
      <c r="Z1271">
        <v>1</v>
      </c>
      <c r="AA1271">
        <v>0</v>
      </c>
      <c r="AB1271">
        <v>0</v>
      </c>
      <c r="AC1271">
        <v>1</v>
      </c>
      <c r="AD1271">
        <v>1000</v>
      </c>
      <c r="AE1271">
        <v>1</v>
      </c>
      <c r="AI1271">
        <v>0</v>
      </c>
      <c r="AO1271">
        <v>13.7584</v>
      </c>
      <c r="AP1271">
        <v>0</v>
      </c>
      <c r="AQ1271">
        <v>849.35199999999998</v>
      </c>
      <c r="AR1271">
        <v>83</v>
      </c>
      <c r="AX1271" t="s">
        <v>389</v>
      </c>
    </row>
    <row r="1272" spans="1:50" x14ac:dyDescent="0.45">
      <c r="A1272">
        <v>20067</v>
      </c>
      <c r="B1272">
        <v>1</v>
      </c>
      <c r="C1272">
        <v>71.5</v>
      </c>
      <c r="D1272">
        <v>0</v>
      </c>
      <c r="E1272">
        <v>0</v>
      </c>
      <c r="F1272">
        <v>0</v>
      </c>
      <c r="G1272">
        <v>0</v>
      </c>
      <c r="H1272">
        <v>1.5</v>
      </c>
      <c r="I1272">
        <v>0</v>
      </c>
      <c r="J1272">
        <v>0</v>
      </c>
      <c r="K1272">
        <v>27</v>
      </c>
      <c r="L1272">
        <v>0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0</v>
      </c>
      <c r="U1272">
        <v>0</v>
      </c>
      <c r="V1272">
        <v>0</v>
      </c>
      <c r="Y1272">
        <v>1</v>
      </c>
      <c r="Z1272">
        <v>0</v>
      </c>
      <c r="AA1272">
        <v>0</v>
      </c>
      <c r="AB1272">
        <v>0</v>
      </c>
      <c r="AC1272">
        <v>1</v>
      </c>
      <c r="AD1272">
        <v>750</v>
      </c>
      <c r="AE1272">
        <v>0.16666666666666666</v>
      </c>
      <c r="AF1272">
        <v>1</v>
      </c>
      <c r="AG1272">
        <v>0</v>
      </c>
      <c r="AH1272">
        <v>0</v>
      </c>
      <c r="AI1272">
        <v>0</v>
      </c>
      <c r="AO1272">
        <v>11.91</v>
      </c>
      <c r="AP1272">
        <v>0</v>
      </c>
      <c r="AQ1272">
        <v>858.9</v>
      </c>
      <c r="AR1272">
        <v>81</v>
      </c>
      <c r="AS1272">
        <v>496</v>
      </c>
      <c r="AX1272" t="s">
        <v>388</v>
      </c>
    </row>
    <row r="1273" spans="1:50" x14ac:dyDescent="0.45">
      <c r="A1273">
        <v>20068</v>
      </c>
      <c r="B1273">
        <v>1</v>
      </c>
      <c r="C1273">
        <v>68</v>
      </c>
      <c r="D1273">
        <v>0</v>
      </c>
      <c r="E1273">
        <v>0</v>
      </c>
      <c r="F1273">
        <v>0</v>
      </c>
      <c r="G1273">
        <v>0</v>
      </c>
      <c r="H1273">
        <v>1</v>
      </c>
      <c r="I1273">
        <v>0</v>
      </c>
      <c r="J1273">
        <v>0</v>
      </c>
      <c r="K1273">
        <v>31</v>
      </c>
      <c r="L1273">
        <v>0</v>
      </c>
      <c r="M1273">
        <v>0</v>
      </c>
      <c r="N1273">
        <v>0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0</v>
      </c>
      <c r="U1273">
        <v>0</v>
      </c>
      <c r="V1273">
        <v>0</v>
      </c>
      <c r="Y1273">
        <v>1</v>
      </c>
      <c r="Z1273">
        <v>0</v>
      </c>
      <c r="AA1273">
        <v>0</v>
      </c>
      <c r="AB1273">
        <v>0</v>
      </c>
      <c r="AC1273">
        <v>1</v>
      </c>
      <c r="AD1273">
        <v>750</v>
      </c>
      <c r="AE1273">
        <v>0.16666666666666666</v>
      </c>
      <c r="AF1273">
        <v>1</v>
      </c>
      <c r="AG1273">
        <v>0</v>
      </c>
      <c r="AH1273">
        <v>0</v>
      </c>
      <c r="AI1273">
        <v>0</v>
      </c>
      <c r="AO1273">
        <v>11.580000000000002</v>
      </c>
      <c r="AP1273">
        <v>0</v>
      </c>
      <c r="AQ1273">
        <v>866.6</v>
      </c>
      <c r="AR1273">
        <v>81</v>
      </c>
      <c r="AS1273">
        <v>477</v>
      </c>
      <c r="AX1273" t="s">
        <v>388</v>
      </c>
    </row>
    <row r="1274" spans="1:50" x14ac:dyDescent="0.45">
      <c r="A1274">
        <v>20069</v>
      </c>
      <c r="B1274">
        <v>1</v>
      </c>
      <c r="C1274">
        <v>84</v>
      </c>
      <c r="D1274">
        <v>0</v>
      </c>
      <c r="E1274">
        <v>0</v>
      </c>
      <c r="F1274">
        <v>0</v>
      </c>
      <c r="G1274">
        <v>0</v>
      </c>
      <c r="H1274">
        <v>7</v>
      </c>
      <c r="I1274">
        <v>0</v>
      </c>
      <c r="J1274">
        <v>0</v>
      </c>
      <c r="K1274">
        <v>9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Y1274">
        <v>1</v>
      </c>
      <c r="Z1274">
        <v>0</v>
      </c>
      <c r="AA1274">
        <v>0</v>
      </c>
      <c r="AB1274">
        <v>0</v>
      </c>
      <c r="AC1274">
        <v>0</v>
      </c>
      <c r="AI1274">
        <v>0</v>
      </c>
      <c r="AO1274">
        <v>22.82</v>
      </c>
      <c r="AP1274">
        <v>0</v>
      </c>
      <c r="AQ1274">
        <v>774.2</v>
      </c>
      <c r="AR1274">
        <v>89</v>
      </c>
      <c r="AS1274">
        <v>1010</v>
      </c>
      <c r="AT1274">
        <v>2007</v>
      </c>
      <c r="AU1274">
        <v>40.5</v>
      </c>
      <c r="AX1274" t="s">
        <v>387</v>
      </c>
    </row>
    <row r="1275" spans="1:50" x14ac:dyDescent="0.45">
      <c r="A1275">
        <v>20070</v>
      </c>
      <c r="B1275">
        <v>1</v>
      </c>
      <c r="C1275">
        <v>70.3</v>
      </c>
      <c r="D1275">
        <v>0</v>
      </c>
      <c r="E1275">
        <v>0</v>
      </c>
      <c r="F1275">
        <v>0</v>
      </c>
      <c r="G1275">
        <v>0</v>
      </c>
      <c r="H1275">
        <v>0</v>
      </c>
      <c r="I1275">
        <v>0</v>
      </c>
      <c r="J1275">
        <v>0</v>
      </c>
      <c r="K1275">
        <v>19.5</v>
      </c>
      <c r="L1275">
        <v>10.199999999999999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0</v>
      </c>
      <c r="V1275">
        <v>0</v>
      </c>
      <c r="Y1275">
        <v>1</v>
      </c>
      <c r="Z1275">
        <v>0</v>
      </c>
      <c r="AA1275">
        <v>0</v>
      </c>
      <c r="AB1275">
        <v>0</v>
      </c>
      <c r="AC1275">
        <v>0</v>
      </c>
      <c r="AI1275">
        <v>0</v>
      </c>
      <c r="AO1275">
        <v>15.66</v>
      </c>
      <c r="AP1275">
        <v>0</v>
      </c>
      <c r="AQ1275">
        <v>785.1</v>
      </c>
      <c r="AR1275">
        <v>62</v>
      </c>
      <c r="AS1275">
        <v>873</v>
      </c>
      <c r="AT1275">
        <v>685</v>
      </c>
      <c r="AU1275">
        <v>0.44</v>
      </c>
      <c r="AX1275" t="s">
        <v>370</v>
      </c>
    </row>
    <row r="1276" spans="1:50" x14ac:dyDescent="0.45">
      <c r="A1276">
        <v>20071</v>
      </c>
      <c r="B1276">
        <v>1</v>
      </c>
      <c r="C1276">
        <v>64.099999999999994</v>
      </c>
      <c r="D1276">
        <v>0</v>
      </c>
      <c r="E1276">
        <v>0</v>
      </c>
      <c r="F1276">
        <v>0</v>
      </c>
      <c r="G1276">
        <v>0</v>
      </c>
      <c r="H1276">
        <v>0</v>
      </c>
      <c r="I1276">
        <v>0</v>
      </c>
      <c r="J1276">
        <v>0</v>
      </c>
      <c r="K1276">
        <v>26.7</v>
      </c>
      <c r="L1276">
        <v>9.1999999999999993</v>
      </c>
      <c r="M1276">
        <v>0</v>
      </c>
      <c r="N1276">
        <v>0</v>
      </c>
      <c r="O1276">
        <v>0</v>
      </c>
      <c r="P1276">
        <v>0</v>
      </c>
      <c r="Q1276">
        <v>0</v>
      </c>
      <c r="R1276">
        <v>0</v>
      </c>
      <c r="S1276">
        <v>0</v>
      </c>
      <c r="T1276">
        <v>0</v>
      </c>
      <c r="U1276">
        <v>0</v>
      </c>
      <c r="V1276">
        <v>0</v>
      </c>
      <c r="Y1276">
        <v>1</v>
      </c>
      <c r="Z1276">
        <v>0</v>
      </c>
      <c r="AA1276">
        <v>0</v>
      </c>
      <c r="AB1276">
        <v>0</v>
      </c>
      <c r="AC1276">
        <v>0</v>
      </c>
      <c r="AI1276">
        <v>0</v>
      </c>
      <c r="AO1276">
        <v>16.676000000000002</v>
      </c>
      <c r="AP1276">
        <v>0</v>
      </c>
      <c r="AQ1276">
        <v>794.6</v>
      </c>
      <c r="AR1276">
        <v>71</v>
      </c>
      <c r="AS1276">
        <v>844</v>
      </c>
      <c r="AT1276">
        <v>875</v>
      </c>
      <c r="AU1276">
        <v>3.1</v>
      </c>
      <c r="AX1276" t="s">
        <v>370</v>
      </c>
    </row>
    <row r="1277" spans="1:50" x14ac:dyDescent="0.45">
      <c r="A1277">
        <v>20072</v>
      </c>
      <c r="B1277">
        <v>1</v>
      </c>
      <c r="C1277">
        <v>49.8</v>
      </c>
      <c r="D1277">
        <v>0</v>
      </c>
      <c r="E1277">
        <v>0</v>
      </c>
      <c r="F1277">
        <v>0</v>
      </c>
      <c r="G1277">
        <v>0</v>
      </c>
      <c r="H1277">
        <v>0</v>
      </c>
      <c r="I1277">
        <v>0</v>
      </c>
      <c r="J1277">
        <v>0</v>
      </c>
      <c r="K1277">
        <v>38.1</v>
      </c>
      <c r="L1277">
        <v>12.1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  <c r="V1277">
        <v>0</v>
      </c>
      <c r="Y1277">
        <v>1</v>
      </c>
      <c r="Z1277">
        <v>0</v>
      </c>
      <c r="AA1277">
        <v>0</v>
      </c>
      <c r="AB1277">
        <v>0</v>
      </c>
      <c r="AC1277">
        <v>0</v>
      </c>
      <c r="AI1277">
        <v>0</v>
      </c>
      <c r="AO1277">
        <v>22.768000000000001</v>
      </c>
      <c r="AP1277">
        <v>0</v>
      </c>
      <c r="AQ1277">
        <v>767.05</v>
      </c>
      <c r="AR1277">
        <v>54.5</v>
      </c>
      <c r="AS1277">
        <v>581</v>
      </c>
      <c r="AT1277">
        <v>663</v>
      </c>
      <c r="AV1277">
        <v>242</v>
      </c>
      <c r="AX1277" t="s">
        <v>390</v>
      </c>
    </row>
    <row r="1278" spans="1:50" x14ac:dyDescent="0.45">
      <c r="A1278">
        <v>20073</v>
      </c>
      <c r="B1278">
        <v>1</v>
      </c>
      <c r="C1278">
        <v>54.400000000000006</v>
      </c>
      <c r="D1278">
        <v>0</v>
      </c>
      <c r="E1278">
        <v>0</v>
      </c>
      <c r="F1278">
        <v>0</v>
      </c>
      <c r="G1278">
        <v>0</v>
      </c>
      <c r="H1278">
        <v>0</v>
      </c>
      <c r="I1278">
        <v>0</v>
      </c>
      <c r="J1278">
        <v>0</v>
      </c>
      <c r="K1278">
        <v>39.299999999999997</v>
      </c>
      <c r="L1278">
        <v>6.3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Y1278">
        <v>1</v>
      </c>
      <c r="Z1278">
        <v>0</v>
      </c>
      <c r="AA1278">
        <v>0</v>
      </c>
      <c r="AB1278">
        <v>0</v>
      </c>
      <c r="AC1278">
        <v>0</v>
      </c>
      <c r="AI1278">
        <v>0</v>
      </c>
      <c r="AO1278">
        <v>17.303999999999998</v>
      </c>
      <c r="AP1278">
        <v>0</v>
      </c>
      <c r="AQ1278">
        <v>822.15</v>
      </c>
      <c r="AR1278">
        <v>63.6</v>
      </c>
      <c r="AS1278">
        <v>554</v>
      </c>
      <c r="AT1278">
        <v>621</v>
      </c>
      <c r="AV1278">
        <v>211</v>
      </c>
      <c r="AX1278" t="s">
        <v>390</v>
      </c>
    </row>
    <row r="1279" spans="1:50" x14ac:dyDescent="0.45">
      <c r="A1279">
        <v>20074</v>
      </c>
      <c r="B1279">
        <v>1</v>
      </c>
      <c r="C1279">
        <v>52.099999999999994</v>
      </c>
      <c r="D1279">
        <v>0</v>
      </c>
      <c r="E1279">
        <v>0</v>
      </c>
      <c r="F1279">
        <v>0</v>
      </c>
      <c r="G1279">
        <v>0</v>
      </c>
      <c r="H1279">
        <v>0</v>
      </c>
      <c r="I1279">
        <v>0</v>
      </c>
      <c r="J1279">
        <v>0</v>
      </c>
      <c r="K1279">
        <v>38.700000000000003</v>
      </c>
      <c r="L1279">
        <v>9.1999999999999993</v>
      </c>
      <c r="M1279">
        <v>0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Y1279">
        <v>1</v>
      </c>
      <c r="Z1279">
        <v>0</v>
      </c>
      <c r="AA1279">
        <v>0</v>
      </c>
      <c r="AB1279">
        <v>0</v>
      </c>
      <c r="AC1279">
        <v>0</v>
      </c>
      <c r="AI1279">
        <v>0</v>
      </c>
      <c r="AO1279">
        <v>20.036000000000001</v>
      </c>
      <c r="AP1279">
        <v>0</v>
      </c>
      <c r="AQ1279">
        <v>794.6</v>
      </c>
      <c r="AR1279">
        <v>55.7</v>
      </c>
      <c r="AS1279">
        <v>578</v>
      </c>
      <c r="AT1279">
        <v>634</v>
      </c>
      <c r="AV1279">
        <v>218</v>
      </c>
      <c r="AX1279" t="s">
        <v>390</v>
      </c>
    </row>
    <row r="1280" spans="1:50" x14ac:dyDescent="0.45">
      <c r="A1280">
        <v>20075</v>
      </c>
      <c r="B1280">
        <v>1</v>
      </c>
      <c r="C1280">
        <v>56.9</v>
      </c>
      <c r="D1280">
        <v>0</v>
      </c>
      <c r="E1280">
        <v>0</v>
      </c>
      <c r="F1280">
        <v>0</v>
      </c>
      <c r="G1280">
        <v>0</v>
      </c>
      <c r="H1280">
        <v>0</v>
      </c>
      <c r="I1280">
        <v>0</v>
      </c>
      <c r="J1280">
        <v>0</v>
      </c>
      <c r="K1280">
        <v>39.9</v>
      </c>
      <c r="L1280">
        <v>3.2</v>
      </c>
      <c r="M1280">
        <v>0</v>
      </c>
      <c r="N1280">
        <v>0</v>
      </c>
      <c r="O1280">
        <v>0</v>
      </c>
      <c r="P1280">
        <v>0</v>
      </c>
      <c r="Q1280">
        <v>0</v>
      </c>
      <c r="R1280">
        <v>0</v>
      </c>
      <c r="S1280">
        <v>0</v>
      </c>
      <c r="T1280">
        <v>0</v>
      </c>
      <c r="U1280">
        <v>0</v>
      </c>
      <c r="V1280">
        <v>0</v>
      </c>
      <c r="Y1280">
        <v>1</v>
      </c>
      <c r="Z1280">
        <v>0</v>
      </c>
      <c r="AA1280">
        <v>0</v>
      </c>
      <c r="AB1280">
        <v>0</v>
      </c>
      <c r="AC1280">
        <v>0</v>
      </c>
      <c r="AI1280">
        <v>0</v>
      </c>
      <c r="AO1280">
        <v>14.372</v>
      </c>
      <c r="AP1280">
        <v>0</v>
      </c>
      <c r="AQ1280">
        <v>851.6</v>
      </c>
      <c r="AR1280">
        <v>67</v>
      </c>
      <c r="AS1280">
        <v>481</v>
      </c>
      <c r="AT1280">
        <v>535</v>
      </c>
      <c r="AV1280">
        <v>189</v>
      </c>
      <c r="AX1280" t="s">
        <v>390</v>
      </c>
    </row>
    <row r="1281" spans="1:50" x14ac:dyDescent="0.45">
      <c r="A1281">
        <v>20076</v>
      </c>
      <c r="B1281">
        <v>1</v>
      </c>
      <c r="C1281">
        <v>49.81</v>
      </c>
      <c r="D1281">
        <v>0</v>
      </c>
      <c r="E1281">
        <v>0</v>
      </c>
      <c r="F1281">
        <v>0</v>
      </c>
      <c r="G1281">
        <v>0</v>
      </c>
      <c r="H1281">
        <v>0</v>
      </c>
      <c r="I1281">
        <v>0</v>
      </c>
      <c r="J1281">
        <v>0</v>
      </c>
      <c r="K1281">
        <v>12.1</v>
      </c>
      <c r="L1281">
        <v>38.08</v>
      </c>
      <c r="M1281">
        <v>0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  <c r="U1281">
        <v>0</v>
      </c>
      <c r="V1281">
        <v>0</v>
      </c>
      <c r="Y1281">
        <v>1</v>
      </c>
      <c r="Z1281">
        <v>0</v>
      </c>
      <c r="AA1281">
        <v>0</v>
      </c>
      <c r="AB1281">
        <v>0</v>
      </c>
      <c r="AC1281">
        <v>0</v>
      </c>
      <c r="AI1281">
        <v>0</v>
      </c>
      <c r="AO1281">
        <v>41.467999999999996</v>
      </c>
      <c r="AP1281">
        <v>0</v>
      </c>
      <c r="AQ1281">
        <v>520.24</v>
      </c>
      <c r="AR1281">
        <v>54.5</v>
      </c>
      <c r="AT1281">
        <v>663</v>
      </c>
      <c r="AV1281">
        <v>242</v>
      </c>
      <c r="AX1281" t="s">
        <v>390</v>
      </c>
    </row>
    <row r="1282" spans="1:50" x14ac:dyDescent="0.45">
      <c r="A1282">
        <v>20077</v>
      </c>
      <c r="B1282">
        <v>1</v>
      </c>
      <c r="C1282">
        <v>77</v>
      </c>
      <c r="D1282">
        <v>0</v>
      </c>
      <c r="E1282">
        <v>0</v>
      </c>
      <c r="F1282">
        <v>0</v>
      </c>
      <c r="G1282">
        <v>0</v>
      </c>
      <c r="H1282">
        <v>0</v>
      </c>
      <c r="I1282">
        <v>0</v>
      </c>
      <c r="J1282">
        <v>3</v>
      </c>
      <c r="K1282">
        <v>15</v>
      </c>
      <c r="L1282">
        <v>3</v>
      </c>
      <c r="M1282">
        <v>2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0</v>
      </c>
      <c r="U1282">
        <v>0</v>
      </c>
      <c r="V1282">
        <v>1</v>
      </c>
      <c r="X1282">
        <v>80</v>
      </c>
      <c r="Y1282">
        <v>0</v>
      </c>
      <c r="Z1282">
        <v>1</v>
      </c>
      <c r="AA1282">
        <v>0</v>
      </c>
      <c r="AB1282">
        <v>0</v>
      </c>
      <c r="AC1282">
        <v>1</v>
      </c>
      <c r="AD1282">
        <v>610</v>
      </c>
      <c r="AE1282">
        <v>0.5</v>
      </c>
      <c r="AI1282">
        <v>0</v>
      </c>
      <c r="AO1282">
        <v>7.2</v>
      </c>
      <c r="AP1282">
        <v>1.1666666666666665</v>
      </c>
      <c r="AQ1282">
        <v>841.19999999999993</v>
      </c>
      <c r="AR1282">
        <v>38</v>
      </c>
      <c r="AX1282" t="s">
        <v>391</v>
      </c>
    </row>
    <row r="1283" spans="1:50" x14ac:dyDescent="0.45">
      <c r="A1283">
        <v>20078</v>
      </c>
      <c r="B1283">
        <v>1</v>
      </c>
      <c r="C1283">
        <v>61.87</v>
      </c>
      <c r="D1283">
        <v>0</v>
      </c>
      <c r="E1283">
        <v>0</v>
      </c>
      <c r="F1283">
        <v>0</v>
      </c>
      <c r="G1283">
        <v>0</v>
      </c>
      <c r="H1283">
        <v>0</v>
      </c>
      <c r="I1283">
        <v>0</v>
      </c>
      <c r="J1283">
        <v>0</v>
      </c>
      <c r="K1283">
        <v>38</v>
      </c>
      <c r="L1283">
        <v>0</v>
      </c>
      <c r="M1283">
        <v>0</v>
      </c>
      <c r="N1283">
        <v>0</v>
      </c>
      <c r="O1283">
        <v>0</v>
      </c>
      <c r="P1283">
        <v>0</v>
      </c>
      <c r="Q1283">
        <v>0</v>
      </c>
      <c r="R1283">
        <v>0</v>
      </c>
      <c r="S1283">
        <v>0</v>
      </c>
      <c r="T1283">
        <v>0.13</v>
      </c>
      <c r="U1283">
        <v>0</v>
      </c>
      <c r="V1283">
        <v>1</v>
      </c>
      <c r="X1283">
        <v>80</v>
      </c>
      <c r="Y1283">
        <v>0</v>
      </c>
      <c r="Z1283">
        <v>1</v>
      </c>
      <c r="AA1283">
        <v>0</v>
      </c>
      <c r="AB1283">
        <v>0</v>
      </c>
      <c r="AC1283">
        <v>0</v>
      </c>
      <c r="AI1283">
        <v>0</v>
      </c>
      <c r="AO1283">
        <v>10.64</v>
      </c>
      <c r="AP1283">
        <v>1.3000000000000001E-2</v>
      </c>
      <c r="AQ1283">
        <v>897.99</v>
      </c>
      <c r="AR1283">
        <v>57</v>
      </c>
      <c r="AT1283">
        <v>490</v>
      </c>
      <c r="AU1283">
        <v>35.200000000000003</v>
      </c>
      <c r="AX1283" t="s">
        <v>391</v>
      </c>
    </row>
    <row r="1284" spans="1:50" x14ac:dyDescent="0.45">
      <c r="A1284">
        <v>20079</v>
      </c>
      <c r="B1284">
        <v>1</v>
      </c>
      <c r="C1284">
        <v>61.76</v>
      </c>
      <c r="D1284">
        <v>0</v>
      </c>
      <c r="E1284">
        <v>0</v>
      </c>
      <c r="F1284">
        <v>0</v>
      </c>
      <c r="G1284">
        <v>0</v>
      </c>
      <c r="H1284">
        <v>0</v>
      </c>
      <c r="I1284">
        <v>0</v>
      </c>
      <c r="J1284">
        <v>0</v>
      </c>
      <c r="K1284">
        <v>38</v>
      </c>
      <c r="L1284">
        <v>0</v>
      </c>
      <c r="M1284">
        <v>0</v>
      </c>
      <c r="N1284">
        <v>0</v>
      </c>
      <c r="O1284">
        <v>0</v>
      </c>
      <c r="P1284">
        <v>0</v>
      </c>
      <c r="Q1284">
        <v>0</v>
      </c>
      <c r="R1284">
        <v>0</v>
      </c>
      <c r="S1284">
        <v>0</v>
      </c>
      <c r="T1284">
        <v>0.24</v>
      </c>
      <c r="U1284">
        <v>0</v>
      </c>
      <c r="V1284">
        <v>1</v>
      </c>
      <c r="X1284">
        <v>80</v>
      </c>
      <c r="Y1284">
        <v>0</v>
      </c>
      <c r="Z1284">
        <v>1</v>
      </c>
      <c r="AA1284">
        <v>0</v>
      </c>
      <c r="AB1284">
        <v>0</v>
      </c>
      <c r="AC1284">
        <v>0</v>
      </c>
      <c r="AI1284">
        <v>0</v>
      </c>
      <c r="AO1284">
        <v>10.64</v>
      </c>
      <c r="AP1284">
        <v>2.4E-2</v>
      </c>
      <c r="AQ1284">
        <v>911.52</v>
      </c>
      <c r="AR1284">
        <v>59</v>
      </c>
      <c r="AT1284">
        <v>590</v>
      </c>
      <c r="AU1284">
        <v>35.5</v>
      </c>
      <c r="AX1284" t="s">
        <v>391</v>
      </c>
    </row>
    <row r="1285" spans="1:50" x14ac:dyDescent="0.45">
      <c r="A1285">
        <v>20080</v>
      </c>
      <c r="B1285">
        <v>1</v>
      </c>
      <c r="C1285">
        <v>61.54</v>
      </c>
      <c r="D1285">
        <v>0</v>
      </c>
      <c r="E1285">
        <v>0</v>
      </c>
      <c r="F1285">
        <v>0</v>
      </c>
      <c r="G1285">
        <v>0</v>
      </c>
      <c r="H1285">
        <v>0</v>
      </c>
      <c r="I1285">
        <v>0</v>
      </c>
      <c r="J1285">
        <v>0</v>
      </c>
      <c r="K1285">
        <v>38</v>
      </c>
      <c r="L1285">
        <v>0</v>
      </c>
      <c r="M1285">
        <v>0</v>
      </c>
      <c r="N1285">
        <v>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0.46</v>
      </c>
      <c r="U1285">
        <v>0</v>
      </c>
      <c r="V1285">
        <v>1</v>
      </c>
      <c r="X1285">
        <v>80</v>
      </c>
      <c r="Y1285">
        <v>0</v>
      </c>
      <c r="Z1285">
        <v>1</v>
      </c>
      <c r="AA1285">
        <v>0</v>
      </c>
      <c r="AB1285">
        <v>0</v>
      </c>
      <c r="AC1285">
        <v>0</v>
      </c>
      <c r="AI1285">
        <v>0</v>
      </c>
      <c r="AO1285">
        <v>10.64</v>
      </c>
      <c r="AP1285">
        <v>4.5999999999999999E-2</v>
      </c>
      <c r="AQ1285">
        <v>938.58</v>
      </c>
      <c r="AR1285">
        <v>62</v>
      </c>
      <c r="AT1285">
        <v>780</v>
      </c>
      <c r="AU1285">
        <v>25</v>
      </c>
      <c r="AX1285" t="s">
        <v>391</v>
      </c>
    </row>
    <row r="1286" spans="1:50" x14ac:dyDescent="0.45">
      <c r="A1286">
        <v>20081</v>
      </c>
      <c r="B1286">
        <v>1</v>
      </c>
      <c r="C1286">
        <v>90</v>
      </c>
      <c r="D1286">
        <v>0</v>
      </c>
      <c r="E1286">
        <v>0</v>
      </c>
      <c r="F1286">
        <v>0</v>
      </c>
      <c r="G1286">
        <v>0</v>
      </c>
      <c r="H1286">
        <v>0</v>
      </c>
      <c r="I1286">
        <v>0</v>
      </c>
      <c r="J1286">
        <v>0</v>
      </c>
      <c r="K1286">
        <v>10</v>
      </c>
      <c r="L1286">
        <v>0</v>
      </c>
      <c r="M1286">
        <v>0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0</v>
      </c>
      <c r="Y1286">
        <v>1</v>
      </c>
      <c r="Z1286">
        <v>0</v>
      </c>
      <c r="AA1286">
        <v>0</v>
      </c>
      <c r="AB1286">
        <v>0</v>
      </c>
      <c r="AC1286">
        <v>0</v>
      </c>
      <c r="AI1286">
        <v>0</v>
      </c>
      <c r="AO1286">
        <v>2.8000000000000003</v>
      </c>
      <c r="AP1286">
        <v>0</v>
      </c>
      <c r="AQ1286">
        <v>882</v>
      </c>
      <c r="AR1286">
        <v>76</v>
      </c>
      <c r="AX1286" t="s">
        <v>392</v>
      </c>
    </row>
    <row r="1287" spans="1:50" x14ac:dyDescent="0.45">
      <c r="A1287">
        <v>20082</v>
      </c>
      <c r="B1287">
        <v>1</v>
      </c>
      <c r="C1287">
        <v>87</v>
      </c>
      <c r="D1287">
        <v>0</v>
      </c>
      <c r="E1287">
        <v>0</v>
      </c>
      <c r="F1287">
        <v>0</v>
      </c>
      <c r="G1287">
        <v>0</v>
      </c>
      <c r="H1287">
        <v>0</v>
      </c>
      <c r="I1287">
        <v>0</v>
      </c>
      <c r="J1287">
        <v>0</v>
      </c>
      <c r="K1287">
        <v>10</v>
      </c>
      <c r="L1287">
        <v>0</v>
      </c>
      <c r="M1287">
        <v>3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Y1287">
        <v>1</v>
      </c>
      <c r="Z1287">
        <v>0</v>
      </c>
      <c r="AA1287">
        <v>0</v>
      </c>
      <c r="AB1287">
        <v>0</v>
      </c>
      <c r="AC1287">
        <v>0</v>
      </c>
      <c r="AI1287">
        <v>0</v>
      </c>
      <c r="AO1287">
        <v>2.8000000000000003</v>
      </c>
      <c r="AP1287">
        <v>1</v>
      </c>
      <c r="AQ1287">
        <v>894.6</v>
      </c>
      <c r="AR1287">
        <v>74</v>
      </c>
      <c r="AX1287" t="s">
        <v>392</v>
      </c>
    </row>
    <row r="1288" spans="1:50" x14ac:dyDescent="0.45">
      <c r="A1288">
        <v>20083</v>
      </c>
      <c r="B1288">
        <v>1</v>
      </c>
      <c r="C1288">
        <v>85</v>
      </c>
      <c r="D1288">
        <v>0</v>
      </c>
      <c r="E1288">
        <v>0</v>
      </c>
      <c r="F1288">
        <v>0</v>
      </c>
      <c r="G1288">
        <v>0</v>
      </c>
      <c r="H1288">
        <v>0</v>
      </c>
      <c r="I1288">
        <v>0</v>
      </c>
      <c r="J1288">
        <v>0</v>
      </c>
      <c r="K1288">
        <v>10</v>
      </c>
      <c r="L1288">
        <v>0</v>
      </c>
      <c r="M1288">
        <v>5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Y1288">
        <v>1</v>
      </c>
      <c r="Z1288">
        <v>0</v>
      </c>
      <c r="AA1288">
        <v>0</v>
      </c>
      <c r="AB1288">
        <v>0</v>
      </c>
      <c r="AC1288">
        <v>0</v>
      </c>
      <c r="AI1288">
        <v>0</v>
      </c>
      <c r="AO1288">
        <v>2.8000000000000003</v>
      </c>
      <c r="AP1288">
        <v>1.6666666666666667</v>
      </c>
      <c r="AQ1288">
        <v>903</v>
      </c>
      <c r="AR1288">
        <v>73.5</v>
      </c>
      <c r="AX1288" t="s">
        <v>392</v>
      </c>
    </row>
    <row r="1289" spans="1:50" x14ac:dyDescent="0.45">
      <c r="A1289">
        <v>20084</v>
      </c>
      <c r="B1289">
        <v>1</v>
      </c>
      <c r="C1289">
        <v>82</v>
      </c>
      <c r="D1289">
        <v>0</v>
      </c>
      <c r="E1289">
        <v>0</v>
      </c>
      <c r="F1289">
        <v>0</v>
      </c>
      <c r="G1289">
        <v>0</v>
      </c>
      <c r="H1289">
        <v>0</v>
      </c>
      <c r="I1289">
        <v>0</v>
      </c>
      <c r="J1289">
        <v>0</v>
      </c>
      <c r="K1289">
        <v>10</v>
      </c>
      <c r="L1289">
        <v>0</v>
      </c>
      <c r="M1289">
        <v>8</v>
      </c>
      <c r="N1289">
        <v>0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0</v>
      </c>
      <c r="U1289">
        <v>0</v>
      </c>
      <c r="V1289">
        <v>0</v>
      </c>
      <c r="Y1289">
        <v>1</v>
      </c>
      <c r="Z1289">
        <v>0</v>
      </c>
      <c r="AA1289">
        <v>0</v>
      </c>
      <c r="AB1289">
        <v>0</v>
      </c>
      <c r="AC1289">
        <v>0</v>
      </c>
      <c r="AI1289">
        <v>0</v>
      </c>
      <c r="AO1289">
        <v>2.8000000000000003</v>
      </c>
      <c r="AP1289">
        <v>2.6666666666666665</v>
      </c>
      <c r="AQ1289">
        <v>915.6</v>
      </c>
      <c r="AR1289">
        <v>73</v>
      </c>
      <c r="AX1289" t="s">
        <v>392</v>
      </c>
    </row>
    <row r="1290" spans="1:50" x14ac:dyDescent="0.45">
      <c r="A1290">
        <v>20085</v>
      </c>
      <c r="B1290">
        <v>1</v>
      </c>
      <c r="C1290">
        <v>72.760000000000005</v>
      </c>
      <c r="D1290">
        <v>0</v>
      </c>
      <c r="E1290">
        <v>0</v>
      </c>
      <c r="F1290">
        <v>0</v>
      </c>
      <c r="G1290">
        <v>0</v>
      </c>
      <c r="H1290">
        <v>0</v>
      </c>
      <c r="I1290">
        <v>0</v>
      </c>
      <c r="J1290">
        <v>0</v>
      </c>
      <c r="K1290">
        <v>16.62</v>
      </c>
      <c r="L1290">
        <v>0</v>
      </c>
      <c r="M1290">
        <v>10.62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0</v>
      </c>
      <c r="Y1290">
        <v>1</v>
      </c>
      <c r="Z1290">
        <v>0</v>
      </c>
      <c r="AA1290">
        <v>0</v>
      </c>
      <c r="AB1290">
        <v>0</v>
      </c>
      <c r="AC1290">
        <v>0</v>
      </c>
      <c r="AI1290">
        <v>0</v>
      </c>
      <c r="AO1290">
        <v>4.6536000000000008</v>
      </c>
      <c r="AP1290">
        <v>3.5399999999999996</v>
      </c>
      <c r="AQ1290">
        <v>926.60400000000004</v>
      </c>
      <c r="AR1290">
        <v>80</v>
      </c>
      <c r="AS1290">
        <v>787</v>
      </c>
      <c r="AU1290">
        <v>6.84</v>
      </c>
      <c r="AX1290" t="s">
        <v>383</v>
      </c>
    </row>
    <row r="1291" spans="1:50" x14ac:dyDescent="0.45">
      <c r="A1291">
        <v>20086</v>
      </c>
      <c r="B1291">
        <v>1</v>
      </c>
      <c r="C1291">
        <v>68.64</v>
      </c>
      <c r="D1291">
        <v>0</v>
      </c>
      <c r="E1291">
        <v>0</v>
      </c>
      <c r="F1291">
        <v>0</v>
      </c>
      <c r="G1291">
        <v>0</v>
      </c>
      <c r="H1291">
        <v>0</v>
      </c>
      <c r="I1291">
        <v>0</v>
      </c>
      <c r="J1291">
        <v>0</v>
      </c>
      <c r="K1291">
        <v>21.02</v>
      </c>
      <c r="L1291">
        <v>0</v>
      </c>
      <c r="M1291">
        <v>11.08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0</v>
      </c>
      <c r="U1291">
        <v>0</v>
      </c>
      <c r="V1291">
        <v>0</v>
      </c>
      <c r="Y1291">
        <v>1</v>
      </c>
      <c r="Z1291">
        <v>0</v>
      </c>
      <c r="AA1291">
        <v>0</v>
      </c>
      <c r="AB1291">
        <v>0</v>
      </c>
      <c r="AC1291">
        <v>0</v>
      </c>
      <c r="AI1291">
        <v>0</v>
      </c>
      <c r="AO1291">
        <v>5.8856000000000002</v>
      </c>
      <c r="AP1291">
        <v>3.6933333333333334</v>
      </c>
      <c r="AQ1291">
        <v>928.53600000000006</v>
      </c>
      <c r="AR1291">
        <v>75</v>
      </c>
      <c r="AS1291">
        <v>772</v>
      </c>
      <c r="AU1291">
        <v>9.4600000000000009</v>
      </c>
      <c r="AX1291" t="s">
        <v>383</v>
      </c>
    </row>
    <row r="1292" spans="1:50" x14ac:dyDescent="0.45">
      <c r="A1292">
        <v>20087</v>
      </c>
      <c r="B1292">
        <v>1</v>
      </c>
      <c r="C1292">
        <v>72.8</v>
      </c>
      <c r="D1292">
        <v>0</v>
      </c>
      <c r="E1292">
        <v>0</v>
      </c>
      <c r="F1292">
        <v>0</v>
      </c>
      <c r="G1292">
        <v>0</v>
      </c>
      <c r="H1292">
        <v>0</v>
      </c>
      <c r="I1292">
        <v>0</v>
      </c>
      <c r="J1292">
        <v>0</v>
      </c>
      <c r="K1292">
        <v>16.600000000000001</v>
      </c>
      <c r="L1292">
        <v>0</v>
      </c>
      <c r="M1292">
        <v>10.6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0</v>
      </c>
      <c r="Y1292">
        <v>1</v>
      </c>
      <c r="Z1292">
        <v>0</v>
      </c>
      <c r="AA1292">
        <v>0</v>
      </c>
      <c r="AB1292">
        <v>0</v>
      </c>
      <c r="AC1292">
        <v>0</v>
      </c>
      <c r="AI1292">
        <v>0</v>
      </c>
      <c r="AO1292">
        <v>4.6480000000000006</v>
      </c>
      <c r="AP1292">
        <v>3.5333333333333332</v>
      </c>
      <c r="AQ1292">
        <v>926.52</v>
      </c>
      <c r="AR1292">
        <v>80</v>
      </c>
      <c r="AS1292">
        <v>787</v>
      </c>
      <c r="AU1292">
        <v>6.84</v>
      </c>
      <c r="AV1292">
        <v>230</v>
      </c>
      <c r="AX1292" t="s">
        <v>383</v>
      </c>
    </row>
    <row r="1293" spans="1:50" x14ac:dyDescent="0.45">
      <c r="A1293">
        <v>20088</v>
      </c>
      <c r="B1293">
        <v>1</v>
      </c>
      <c r="C1293">
        <v>68.400000000000006</v>
      </c>
      <c r="D1293">
        <v>0</v>
      </c>
      <c r="E1293">
        <v>0</v>
      </c>
      <c r="F1293">
        <v>0</v>
      </c>
      <c r="G1293">
        <v>0</v>
      </c>
      <c r="H1293">
        <v>0</v>
      </c>
      <c r="I1293">
        <v>0</v>
      </c>
      <c r="J1293">
        <v>0</v>
      </c>
      <c r="K1293">
        <v>21.2</v>
      </c>
      <c r="L1293">
        <v>0</v>
      </c>
      <c r="M1293">
        <v>10.4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Y1293">
        <v>1</v>
      </c>
      <c r="Z1293">
        <v>0</v>
      </c>
      <c r="AA1293">
        <v>0</v>
      </c>
      <c r="AB1293">
        <v>0</v>
      </c>
      <c r="AC1293">
        <v>0</v>
      </c>
      <c r="AI1293">
        <v>0</v>
      </c>
      <c r="AO1293">
        <v>5.9359999999999999</v>
      </c>
      <c r="AP1293">
        <v>3.4666666666666668</v>
      </c>
      <c r="AQ1293">
        <v>925.68000000000006</v>
      </c>
      <c r="AR1293">
        <v>75</v>
      </c>
      <c r="AS1293">
        <v>435</v>
      </c>
      <c r="AU1293">
        <v>3.71</v>
      </c>
      <c r="AV1293">
        <v>218</v>
      </c>
      <c r="AX1293" t="s">
        <v>383</v>
      </c>
    </row>
    <row r="1294" spans="1:50" x14ac:dyDescent="0.45">
      <c r="A1294">
        <v>20089</v>
      </c>
      <c r="B1294">
        <v>1</v>
      </c>
      <c r="C1294">
        <v>64.5</v>
      </c>
      <c r="D1294">
        <v>0</v>
      </c>
      <c r="E1294">
        <v>0</v>
      </c>
      <c r="F1294">
        <v>0</v>
      </c>
      <c r="G1294">
        <v>0</v>
      </c>
      <c r="H1294">
        <v>0</v>
      </c>
      <c r="I1294">
        <v>0</v>
      </c>
      <c r="J1294">
        <v>0</v>
      </c>
      <c r="K1294">
        <v>25.4</v>
      </c>
      <c r="L1294">
        <v>0</v>
      </c>
      <c r="M1294">
        <v>10.1</v>
      </c>
      <c r="N1294">
        <v>0</v>
      </c>
      <c r="O1294">
        <v>0</v>
      </c>
      <c r="P1294">
        <v>0</v>
      </c>
      <c r="Q1294">
        <v>0</v>
      </c>
      <c r="R1294">
        <v>0</v>
      </c>
      <c r="S1294">
        <v>0</v>
      </c>
      <c r="T1294">
        <v>0</v>
      </c>
      <c r="U1294">
        <v>0</v>
      </c>
      <c r="V1294">
        <v>0</v>
      </c>
      <c r="Y1294">
        <v>1</v>
      </c>
      <c r="Z1294">
        <v>0</v>
      </c>
      <c r="AA1294">
        <v>0</v>
      </c>
      <c r="AB1294">
        <v>0</v>
      </c>
      <c r="AC1294">
        <v>0</v>
      </c>
      <c r="AI1294">
        <v>0</v>
      </c>
      <c r="AO1294">
        <v>7.1120000000000001</v>
      </c>
      <c r="AP1294">
        <v>3.3666666666666667</v>
      </c>
      <c r="AQ1294">
        <v>924.42</v>
      </c>
      <c r="AR1294">
        <v>62</v>
      </c>
      <c r="AS1294">
        <v>611</v>
      </c>
      <c r="AU1294">
        <v>5.3</v>
      </c>
      <c r="AV1294">
        <v>220</v>
      </c>
      <c r="AX1294" t="s">
        <v>383</v>
      </c>
    </row>
    <row r="1295" spans="1:50" x14ac:dyDescent="0.45">
      <c r="A1295">
        <v>20090</v>
      </c>
      <c r="B1295">
        <v>1</v>
      </c>
      <c r="C1295">
        <v>59.4</v>
      </c>
      <c r="D1295">
        <v>0</v>
      </c>
      <c r="E1295">
        <v>0</v>
      </c>
      <c r="F1295">
        <v>0</v>
      </c>
      <c r="G1295">
        <v>0</v>
      </c>
      <c r="H1295">
        <v>0</v>
      </c>
      <c r="I1295">
        <v>0</v>
      </c>
      <c r="J1295">
        <v>0</v>
      </c>
      <c r="K1295">
        <v>30.8</v>
      </c>
      <c r="L1295">
        <v>0</v>
      </c>
      <c r="M1295">
        <v>9.8000000000000007</v>
      </c>
      <c r="N1295">
        <v>0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0</v>
      </c>
      <c r="U1295">
        <v>0</v>
      </c>
      <c r="V1295">
        <v>0</v>
      </c>
      <c r="Y1295">
        <v>1</v>
      </c>
      <c r="Z1295">
        <v>0</v>
      </c>
      <c r="AA1295">
        <v>0</v>
      </c>
      <c r="AB1295">
        <v>0</v>
      </c>
      <c r="AC1295">
        <v>0</v>
      </c>
      <c r="AI1295">
        <v>0</v>
      </c>
      <c r="AO1295">
        <v>8.6240000000000006</v>
      </c>
      <c r="AP1295">
        <v>3.2666666666666671</v>
      </c>
      <c r="AQ1295">
        <v>923.16</v>
      </c>
      <c r="AR1295">
        <v>61</v>
      </c>
      <c r="AS1295">
        <v>772</v>
      </c>
      <c r="AU1295">
        <v>9.4600000000000009</v>
      </c>
      <c r="AV1295">
        <v>226</v>
      </c>
      <c r="AX1295" t="s">
        <v>393</v>
      </c>
    </row>
    <row r="1296" spans="1:50" x14ac:dyDescent="0.45">
      <c r="A1296">
        <v>20091</v>
      </c>
      <c r="B1296">
        <v>1</v>
      </c>
      <c r="C1296">
        <v>63</v>
      </c>
      <c r="D1296">
        <v>0</v>
      </c>
      <c r="E1296">
        <v>0</v>
      </c>
      <c r="F1296">
        <v>0</v>
      </c>
      <c r="G1296">
        <v>0</v>
      </c>
      <c r="H1296">
        <v>0</v>
      </c>
      <c r="I1296">
        <v>0</v>
      </c>
      <c r="J1296">
        <v>0</v>
      </c>
      <c r="K1296">
        <v>33</v>
      </c>
      <c r="L1296">
        <v>0</v>
      </c>
      <c r="M1296">
        <v>4</v>
      </c>
      <c r="N1296">
        <v>0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0</v>
      </c>
      <c r="U1296">
        <v>0</v>
      </c>
      <c r="V1296">
        <v>1</v>
      </c>
      <c r="X1296">
        <v>87</v>
      </c>
      <c r="Y1296">
        <v>0</v>
      </c>
      <c r="Z1296">
        <v>1</v>
      </c>
      <c r="AA1296">
        <v>0</v>
      </c>
      <c r="AB1296">
        <v>0</v>
      </c>
      <c r="AC1296">
        <v>1</v>
      </c>
      <c r="AD1296">
        <v>800</v>
      </c>
      <c r="AE1296">
        <v>1</v>
      </c>
      <c r="AF1296">
        <v>1</v>
      </c>
      <c r="AG1296">
        <v>0</v>
      </c>
      <c r="AH1296">
        <v>0</v>
      </c>
      <c r="AI1296">
        <v>1</v>
      </c>
      <c r="AJ1296">
        <v>400</v>
      </c>
      <c r="AK1296">
        <v>0.33333333333333331</v>
      </c>
      <c r="AL1296">
        <v>1</v>
      </c>
      <c r="AM1296">
        <v>0</v>
      </c>
      <c r="AN1296">
        <v>0</v>
      </c>
      <c r="AO1296">
        <v>9.24</v>
      </c>
      <c r="AP1296">
        <v>1.3333333333333333</v>
      </c>
      <c r="AQ1296">
        <v>898.8</v>
      </c>
      <c r="AR1296">
        <v>36</v>
      </c>
      <c r="AS1296">
        <v>763</v>
      </c>
      <c r="AT1296">
        <v>853</v>
      </c>
      <c r="AX1296" t="s">
        <v>394</v>
      </c>
    </row>
    <row r="1297" spans="1:50" x14ac:dyDescent="0.45">
      <c r="A1297">
        <v>20092</v>
      </c>
      <c r="B1297">
        <v>1</v>
      </c>
      <c r="C1297">
        <v>61</v>
      </c>
      <c r="D1297">
        <v>0</v>
      </c>
      <c r="E1297">
        <v>0</v>
      </c>
      <c r="F1297">
        <v>0</v>
      </c>
      <c r="G1297">
        <v>0</v>
      </c>
      <c r="H1297">
        <v>0</v>
      </c>
      <c r="I1297">
        <v>0</v>
      </c>
      <c r="J1297">
        <v>0</v>
      </c>
      <c r="K1297">
        <v>35</v>
      </c>
      <c r="L1297">
        <v>0</v>
      </c>
      <c r="M1297">
        <v>4</v>
      </c>
      <c r="N1297">
        <v>0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0</v>
      </c>
      <c r="U1297">
        <v>0</v>
      </c>
      <c r="V1297">
        <v>0</v>
      </c>
      <c r="Y1297">
        <v>1</v>
      </c>
      <c r="Z1297">
        <v>0</v>
      </c>
      <c r="AA1297">
        <v>0</v>
      </c>
      <c r="AB1297">
        <v>0</v>
      </c>
      <c r="AC1297">
        <v>0</v>
      </c>
      <c r="AI1297">
        <v>0</v>
      </c>
      <c r="AO1297">
        <v>9.8000000000000007</v>
      </c>
      <c r="AP1297">
        <v>1.3333333333333333</v>
      </c>
      <c r="AQ1297">
        <v>898.8</v>
      </c>
      <c r="AR1297">
        <v>44</v>
      </c>
      <c r="AX1297" t="s">
        <v>395</v>
      </c>
    </row>
    <row r="1298" spans="1:50" x14ac:dyDescent="0.45">
      <c r="A1298">
        <v>20093</v>
      </c>
      <c r="B1298">
        <v>1</v>
      </c>
      <c r="C1298">
        <v>57.1</v>
      </c>
      <c r="D1298">
        <v>0</v>
      </c>
      <c r="E1298">
        <v>0</v>
      </c>
      <c r="F1298">
        <v>0</v>
      </c>
      <c r="G1298">
        <v>0</v>
      </c>
      <c r="H1298">
        <v>7.9</v>
      </c>
      <c r="I1298">
        <v>0</v>
      </c>
      <c r="J1298">
        <v>0</v>
      </c>
      <c r="K1298">
        <v>35</v>
      </c>
      <c r="L1298">
        <v>0</v>
      </c>
      <c r="M1298">
        <v>0</v>
      </c>
      <c r="N1298">
        <v>0</v>
      </c>
      <c r="O1298">
        <v>0</v>
      </c>
      <c r="P1298">
        <v>0</v>
      </c>
      <c r="Q1298">
        <v>0</v>
      </c>
      <c r="R1298">
        <v>0</v>
      </c>
      <c r="S1298">
        <v>0</v>
      </c>
      <c r="T1298">
        <v>0</v>
      </c>
      <c r="U1298">
        <v>0</v>
      </c>
      <c r="V1298">
        <v>0</v>
      </c>
      <c r="Y1298">
        <v>1</v>
      </c>
      <c r="Z1298">
        <v>0</v>
      </c>
      <c r="AA1298">
        <v>0</v>
      </c>
      <c r="AB1298">
        <v>0</v>
      </c>
      <c r="AC1298">
        <v>1</v>
      </c>
      <c r="AD1298">
        <v>1150</v>
      </c>
      <c r="AE1298">
        <v>24</v>
      </c>
      <c r="AI1298">
        <v>1</v>
      </c>
      <c r="AJ1298">
        <v>950</v>
      </c>
      <c r="AK1298">
        <v>2</v>
      </c>
      <c r="AL1298">
        <v>1</v>
      </c>
      <c r="AM1298">
        <v>0</v>
      </c>
      <c r="AN1298">
        <v>0</v>
      </c>
      <c r="AO1298">
        <v>32.71</v>
      </c>
      <c r="AP1298">
        <v>0</v>
      </c>
      <c r="AQ1298">
        <v>760.34</v>
      </c>
      <c r="AR1298">
        <v>43</v>
      </c>
      <c r="AX1298" t="s">
        <v>394</v>
      </c>
    </row>
    <row r="1299" spans="1:50" x14ac:dyDescent="0.45">
      <c r="A1299">
        <v>20094</v>
      </c>
      <c r="B1299">
        <v>1</v>
      </c>
      <c r="C1299">
        <v>61</v>
      </c>
      <c r="D1299">
        <v>0</v>
      </c>
      <c r="E1299">
        <v>0</v>
      </c>
      <c r="F1299">
        <v>0</v>
      </c>
      <c r="G1299">
        <v>0</v>
      </c>
      <c r="H1299">
        <v>4</v>
      </c>
      <c r="I1299">
        <v>0</v>
      </c>
      <c r="J1299">
        <v>0</v>
      </c>
      <c r="K1299">
        <v>35</v>
      </c>
      <c r="L1299">
        <v>0</v>
      </c>
      <c r="M1299">
        <v>0</v>
      </c>
      <c r="N1299">
        <v>0</v>
      </c>
      <c r="O1299">
        <v>0</v>
      </c>
      <c r="P1299">
        <v>0</v>
      </c>
      <c r="Q1299">
        <v>0</v>
      </c>
      <c r="R1299">
        <v>0</v>
      </c>
      <c r="S1299">
        <v>0</v>
      </c>
      <c r="T1299">
        <v>0</v>
      </c>
      <c r="U1299">
        <v>0</v>
      </c>
      <c r="V1299">
        <v>0</v>
      </c>
      <c r="Y1299">
        <v>1</v>
      </c>
      <c r="Z1299">
        <v>0</v>
      </c>
      <c r="AA1299">
        <v>0</v>
      </c>
      <c r="AB1299">
        <v>0</v>
      </c>
      <c r="AC1299">
        <v>1</v>
      </c>
      <c r="AD1299">
        <v>1150</v>
      </c>
      <c r="AE1299">
        <v>24</v>
      </c>
      <c r="AI1299">
        <v>1</v>
      </c>
      <c r="AJ1299">
        <v>950</v>
      </c>
      <c r="AK1299">
        <v>2</v>
      </c>
      <c r="AL1299">
        <v>1</v>
      </c>
      <c r="AM1299">
        <v>0</v>
      </c>
      <c r="AN1299">
        <v>0</v>
      </c>
      <c r="AO1299">
        <v>21.4</v>
      </c>
      <c r="AP1299">
        <v>0</v>
      </c>
      <c r="AQ1299">
        <v>820.4</v>
      </c>
      <c r="AR1299">
        <v>36</v>
      </c>
      <c r="AX1299" t="s">
        <v>396</v>
      </c>
    </row>
    <row r="1300" spans="1:50" x14ac:dyDescent="0.45">
      <c r="A1300">
        <v>20095</v>
      </c>
      <c r="B1300">
        <v>1</v>
      </c>
      <c r="C1300">
        <v>64.02</v>
      </c>
      <c r="D1300">
        <v>0</v>
      </c>
      <c r="E1300">
        <v>0</v>
      </c>
      <c r="F1300">
        <v>0</v>
      </c>
      <c r="G1300">
        <v>0</v>
      </c>
      <c r="H1300">
        <v>0</v>
      </c>
      <c r="I1300">
        <v>0</v>
      </c>
      <c r="J1300">
        <v>0</v>
      </c>
      <c r="K1300">
        <v>25.16</v>
      </c>
      <c r="L1300">
        <v>0</v>
      </c>
      <c r="M1300">
        <v>10.82</v>
      </c>
      <c r="N1300">
        <v>0</v>
      </c>
      <c r="O1300">
        <v>0</v>
      </c>
      <c r="P1300">
        <v>0</v>
      </c>
      <c r="Q1300">
        <v>0</v>
      </c>
      <c r="R1300">
        <v>0</v>
      </c>
      <c r="S1300">
        <v>0</v>
      </c>
      <c r="T1300">
        <v>0</v>
      </c>
      <c r="U1300">
        <v>0</v>
      </c>
      <c r="V1300">
        <v>0</v>
      </c>
      <c r="Y1300">
        <v>1</v>
      </c>
      <c r="Z1300">
        <v>0</v>
      </c>
      <c r="AA1300">
        <v>0</v>
      </c>
      <c r="AB1300">
        <v>0</v>
      </c>
      <c r="AC1300">
        <v>0</v>
      </c>
      <c r="AI1300">
        <v>0</v>
      </c>
      <c r="AO1300">
        <v>7.0448000000000004</v>
      </c>
      <c r="AP1300">
        <v>3.6066666666666669</v>
      </c>
      <c r="AQ1300">
        <v>927.44399999999996</v>
      </c>
      <c r="AR1300">
        <v>62</v>
      </c>
      <c r="AS1300">
        <v>611</v>
      </c>
      <c r="AU1300">
        <v>5.3</v>
      </c>
      <c r="AX1300" t="s">
        <v>393</v>
      </c>
    </row>
    <row r="1301" spans="1:50" x14ac:dyDescent="0.45">
      <c r="A1301">
        <v>20096</v>
      </c>
      <c r="B1301">
        <v>1</v>
      </c>
      <c r="C1301">
        <v>58.98</v>
      </c>
      <c r="D1301">
        <v>0</v>
      </c>
      <c r="E1301">
        <v>0</v>
      </c>
      <c r="F1301">
        <v>0</v>
      </c>
      <c r="G1301">
        <v>0</v>
      </c>
      <c r="H1301">
        <v>0</v>
      </c>
      <c r="I1301">
        <v>0</v>
      </c>
      <c r="J1301">
        <v>0</v>
      </c>
      <c r="K1301">
        <v>30.51</v>
      </c>
      <c r="L1301">
        <v>0</v>
      </c>
      <c r="M1301">
        <v>10.51</v>
      </c>
      <c r="N1301">
        <v>0</v>
      </c>
      <c r="O1301">
        <v>0</v>
      </c>
      <c r="P1301">
        <v>0</v>
      </c>
      <c r="Q1301">
        <v>0</v>
      </c>
      <c r="R1301">
        <v>0</v>
      </c>
      <c r="S1301">
        <v>0</v>
      </c>
      <c r="T1301">
        <v>0</v>
      </c>
      <c r="U1301">
        <v>0</v>
      </c>
      <c r="V1301">
        <v>0</v>
      </c>
      <c r="Y1301">
        <v>1</v>
      </c>
      <c r="Z1301">
        <v>0</v>
      </c>
      <c r="AA1301">
        <v>0</v>
      </c>
      <c r="AB1301">
        <v>0</v>
      </c>
      <c r="AC1301">
        <v>0</v>
      </c>
      <c r="AI1301">
        <v>0</v>
      </c>
      <c r="AO1301">
        <v>8.5428000000000015</v>
      </c>
      <c r="AP1301">
        <v>3.5033333333333334</v>
      </c>
      <c r="AQ1301">
        <v>926.14200000000005</v>
      </c>
      <c r="AR1301">
        <v>61</v>
      </c>
      <c r="AS1301">
        <v>435</v>
      </c>
      <c r="AU1301">
        <v>3.71</v>
      </c>
      <c r="AX1301" t="s">
        <v>393</v>
      </c>
    </row>
    <row r="1302" spans="1:50" x14ac:dyDescent="0.45">
      <c r="A1302">
        <v>20097</v>
      </c>
      <c r="B1302">
        <v>1</v>
      </c>
      <c r="C1302">
        <v>69.19</v>
      </c>
      <c r="D1302">
        <v>0</v>
      </c>
      <c r="E1302">
        <v>0</v>
      </c>
      <c r="F1302">
        <v>0</v>
      </c>
      <c r="G1302">
        <v>0</v>
      </c>
      <c r="H1302">
        <v>2.16</v>
      </c>
      <c r="I1302">
        <v>0</v>
      </c>
      <c r="J1302">
        <v>0</v>
      </c>
      <c r="K1302">
        <v>26.75</v>
      </c>
      <c r="L1302">
        <v>0</v>
      </c>
      <c r="M1302">
        <v>1.9</v>
      </c>
      <c r="N1302">
        <v>0</v>
      </c>
      <c r="O1302">
        <v>0</v>
      </c>
      <c r="P1302">
        <v>0</v>
      </c>
      <c r="Q1302">
        <v>0</v>
      </c>
      <c r="R1302">
        <v>0</v>
      </c>
      <c r="S1302">
        <v>0</v>
      </c>
      <c r="T1302">
        <v>0</v>
      </c>
      <c r="U1302">
        <v>0</v>
      </c>
      <c r="V1302">
        <v>1</v>
      </c>
      <c r="X1302">
        <v>84</v>
      </c>
      <c r="Y1302">
        <v>0</v>
      </c>
      <c r="Z1302">
        <v>1</v>
      </c>
      <c r="AA1302">
        <v>0</v>
      </c>
      <c r="AB1302">
        <v>0</v>
      </c>
      <c r="AC1302">
        <v>1</v>
      </c>
      <c r="AD1302">
        <v>1000</v>
      </c>
      <c r="AE1302">
        <v>1</v>
      </c>
      <c r="AF1302">
        <v>1</v>
      </c>
      <c r="AG1302">
        <v>0</v>
      </c>
      <c r="AH1302">
        <v>0</v>
      </c>
      <c r="AI1302">
        <v>0</v>
      </c>
      <c r="AO1302">
        <v>13.754000000000001</v>
      </c>
      <c r="AP1302">
        <v>0.6333333333333333</v>
      </c>
      <c r="AQ1302">
        <v>856.71600000000001</v>
      </c>
      <c r="AR1302">
        <v>64</v>
      </c>
      <c r="AX1302" t="s">
        <v>389</v>
      </c>
    </row>
    <row r="1303" spans="1:50" x14ac:dyDescent="0.45">
      <c r="A1303">
        <v>20098</v>
      </c>
      <c r="B1303">
        <v>1</v>
      </c>
      <c r="C1303">
        <v>66.22999999999999</v>
      </c>
      <c r="D1303">
        <v>0</v>
      </c>
      <c r="E1303">
        <v>0</v>
      </c>
      <c r="F1303">
        <v>0</v>
      </c>
      <c r="G1303">
        <v>0</v>
      </c>
      <c r="H1303">
        <v>1.68</v>
      </c>
      <c r="I1303">
        <v>0</v>
      </c>
      <c r="J1303">
        <v>0</v>
      </c>
      <c r="K1303">
        <v>27.61</v>
      </c>
      <c r="L1303">
        <v>0</v>
      </c>
      <c r="M1303">
        <v>4.4800000000000004</v>
      </c>
      <c r="N1303">
        <v>0</v>
      </c>
      <c r="O1303">
        <v>0</v>
      </c>
      <c r="P1303">
        <v>0</v>
      </c>
      <c r="Q1303">
        <v>0</v>
      </c>
      <c r="R1303">
        <v>0</v>
      </c>
      <c r="S1303">
        <v>0</v>
      </c>
      <c r="T1303">
        <v>0</v>
      </c>
      <c r="U1303">
        <v>0</v>
      </c>
      <c r="V1303">
        <v>1</v>
      </c>
      <c r="X1303">
        <v>84</v>
      </c>
      <c r="Y1303">
        <v>0</v>
      </c>
      <c r="Z1303">
        <v>1</v>
      </c>
      <c r="AA1303">
        <v>0</v>
      </c>
      <c r="AB1303">
        <v>0</v>
      </c>
      <c r="AC1303">
        <v>1</v>
      </c>
      <c r="AD1303">
        <v>1000</v>
      </c>
      <c r="AE1303">
        <v>1</v>
      </c>
      <c r="AF1303">
        <v>1</v>
      </c>
      <c r="AG1303">
        <v>0</v>
      </c>
      <c r="AH1303">
        <v>0</v>
      </c>
      <c r="AI1303">
        <v>0</v>
      </c>
      <c r="AO1303">
        <v>12.6028</v>
      </c>
      <c r="AP1303">
        <v>1.4933333333333334</v>
      </c>
      <c r="AQ1303">
        <v>874.94400000000007</v>
      </c>
      <c r="AR1303">
        <v>58</v>
      </c>
      <c r="AX1303" t="s">
        <v>389</v>
      </c>
    </row>
    <row r="1304" spans="1:50" x14ac:dyDescent="0.45">
      <c r="A1304">
        <v>20099</v>
      </c>
      <c r="B1304">
        <v>1</v>
      </c>
      <c r="C1304">
        <v>65.62</v>
      </c>
      <c r="D1304">
        <v>0</v>
      </c>
      <c r="E1304">
        <v>0</v>
      </c>
      <c r="F1304">
        <v>0</v>
      </c>
      <c r="G1304">
        <v>0</v>
      </c>
      <c r="H1304">
        <v>2.09</v>
      </c>
      <c r="I1304">
        <v>0</v>
      </c>
      <c r="J1304">
        <v>0</v>
      </c>
      <c r="K1304">
        <v>26.41</v>
      </c>
      <c r="L1304">
        <v>0</v>
      </c>
      <c r="M1304">
        <v>5.88</v>
      </c>
      <c r="N1304">
        <v>0</v>
      </c>
      <c r="O1304">
        <v>0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1</v>
      </c>
      <c r="X1304">
        <v>84</v>
      </c>
      <c r="Y1304">
        <v>0</v>
      </c>
      <c r="Z1304">
        <v>1</v>
      </c>
      <c r="AA1304">
        <v>0</v>
      </c>
      <c r="AB1304">
        <v>0</v>
      </c>
      <c r="AC1304">
        <v>1</v>
      </c>
      <c r="AD1304">
        <v>1000</v>
      </c>
      <c r="AE1304">
        <v>1</v>
      </c>
      <c r="AF1304">
        <v>1</v>
      </c>
      <c r="AG1304">
        <v>0</v>
      </c>
      <c r="AH1304">
        <v>0</v>
      </c>
      <c r="AI1304">
        <v>0</v>
      </c>
      <c r="AO1304">
        <v>13.4558</v>
      </c>
      <c r="AP1304">
        <v>1.96</v>
      </c>
      <c r="AQ1304">
        <v>874.51</v>
      </c>
      <c r="AR1304">
        <v>60</v>
      </c>
      <c r="AX1304" t="s">
        <v>389</v>
      </c>
    </row>
    <row r="1305" spans="1:50" x14ac:dyDescent="0.45">
      <c r="A1305">
        <v>20100</v>
      </c>
      <c r="B1305">
        <v>1</v>
      </c>
      <c r="C1305">
        <v>63.82</v>
      </c>
      <c r="D1305">
        <v>0</v>
      </c>
      <c r="E1305">
        <v>0</v>
      </c>
      <c r="F1305">
        <v>0</v>
      </c>
      <c r="G1305">
        <v>0</v>
      </c>
      <c r="H1305">
        <v>2.17</v>
      </c>
      <c r="I1305">
        <v>0</v>
      </c>
      <c r="J1305">
        <v>0</v>
      </c>
      <c r="K1305">
        <v>25.72</v>
      </c>
      <c r="L1305">
        <v>0</v>
      </c>
      <c r="M1305">
        <v>8.2899999999999991</v>
      </c>
      <c r="N1305">
        <v>0</v>
      </c>
      <c r="O1305">
        <v>0</v>
      </c>
      <c r="P1305">
        <v>0</v>
      </c>
      <c r="Q1305">
        <v>0</v>
      </c>
      <c r="R1305">
        <v>0</v>
      </c>
      <c r="S1305">
        <v>0</v>
      </c>
      <c r="T1305">
        <v>0</v>
      </c>
      <c r="U1305">
        <v>0</v>
      </c>
      <c r="V1305">
        <v>1</v>
      </c>
      <c r="X1305">
        <v>84</v>
      </c>
      <c r="Y1305">
        <v>0</v>
      </c>
      <c r="Z1305">
        <v>1</v>
      </c>
      <c r="AA1305">
        <v>0</v>
      </c>
      <c r="AB1305">
        <v>0</v>
      </c>
      <c r="AC1305">
        <v>1</v>
      </c>
      <c r="AD1305">
        <v>1000</v>
      </c>
      <c r="AE1305">
        <v>1</v>
      </c>
      <c r="AF1305">
        <v>1</v>
      </c>
      <c r="AG1305">
        <v>0</v>
      </c>
      <c r="AH1305">
        <v>0</v>
      </c>
      <c r="AI1305">
        <v>0</v>
      </c>
      <c r="AO1305">
        <v>13.494599999999998</v>
      </c>
      <c r="AP1305">
        <v>2.7633333333333332</v>
      </c>
      <c r="AQ1305">
        <v>883.4</v>
      </c>
      <c r="AR1305">
        <v>63</v>
      </c>
      <c r="AX1305" t="s">
        <v>389</v>
      </c>
    </row>
    <row r="1306" spans="1:50" x14ac:dyDescent="0.45">
      <c r="A1306">
        <v>20101</v>
      </c>
      <c r="B1306">
        <v>1</v>
      </c>
      <c r="C1306">
        <v>69</v>
      </c>
      <c r="D1306">
        <v>0</v>
      </c>
      <c r="E1306">
        <v>0</v>
      </c>
      <c r="F1306">
        <v>0</v>
      </c>
      <c r="G1306">
        <v>0</v>
      </c>
      <c r="H1306">
        <v>0</v>
      </c>
      <c r="I1306">
        <v>0</v>
      </c>
      <c r="J1306">
        <v>0</v>
      </c>
      <c r="K1306">
        <v>25</v>
      </c>
      <c r="L1306">
        <v>2</v>
      </c>
      <c r="M1306">
        <v>4</v>
      </c>
      <c r="N1306">
        <v>0</v>
      </c>
      <c r="O1306">
        <v>0</v>
      </c>
      <c r="P1306">
        <v>0</v>
      </c>
      <c r="Q1306">
        <v>0</v>
      </c>
      <c r="R1306">
        <v>0</v>
      </c>
      <c r="S1306">
        <v>0</v>
      </c>
      <c r="T1306">
        <v>0</v>
      </c>
      <c r="U1306">
        <v>0</v>
      </c>
      <c r="V1306">
        <v>0</v>
      </c>
      <c r="Y1306">
        <v>1</v>
      </c>
      <c r="Z1306">
        <v>0</v>
      </c>
      <c r="AA1306">
        <v>0</v>
      </c>
      <c r="AB1306">
        <v>0</v>
      </c>
      <c r="AC1306">
        <v>0</v>
      </c>
      <c r="AI1306">
        <v>0</v>
      </c>
      <c r="AO1306">
        <v>9</v>
      </c>
      <c r="AP1306">
        <v>1.3333333333333333</v>
      </c>
      <c r="AQ1306">
        <v>879.8</v>
      </c>
      <c r="AR1306">
        <v>65</v>
      </c>
      <c r="AX1306" t="s">
        <v>397</v>
      </c>
    </row>
    <row r="1307" spans="1:50" x14ac:dyDescent="0.45">
      <c r="A1307">
        <v>20102</v>
      </c>
      <c r="B1307">
        <v>1</v>
      </c>
      <c r="C1307">
        <v>73.8</v>
      </c>
      <c r="D1307">
        <v>0</v>
      </c>
      <c r="E1307">
        <v>0</v>
      </c>
      <c r="F1307">
        <v>0</v>
      </c>
      <c r="G1307">
        <v>0</v>
      </c>
      <c r="H1307">
        <v>0</v>
      </c>
      <c r="I1307">
        <v>0</v>
      </c>
      <c r="J1307">
        <v>4.9000000000000004</v>
      </c>
      <c r="K1307">
        <v>9.9</v>
      </c>
      <c r="L1307">
        <v>5.0999999999999996</v>
      </c>
      <c r="M1307">
        <v>6.3</v>
      </c>
      <c r="N1307">
        <v>0</v>
      </c>
      <c r="O1307">
        <v>0</v>
      </c>
      <c r="P1307">
        <v>0</v>
      </c>
      <c r="Q1307">
        <v>0</v>
      </c>
      <c r="R1307">
        <v>0</v>
      </c>
      <c r="S1307">
        <v>0</v>
      </c>
      <c r="T1307">
        <v>0</v>
      </c>
      <c r="U1307">
        <v>0</v>
      </c>
      <c r="V1307">
        <v>0</v>
      </c>
      <c r="Y1307">
        <v>1</v>
      </c>
      <c r="Z1307">
        <v>0</v>
      </c>
      <c r="AA1307">
        <v>0</v>
      </c>
      <c r="AB1307">
        <v>0</v>
      </c>
      <c r="AC1307">
        <v>0</v>
      </c>
      <c r="AI1307">
        <v>0</v>
      </c>
      <c r="AO1307">
        <v>7.8719999999999999</v>
      </c>
      <c r="AP1307">
        <v>2.916666666666667</v>
      </c>
      <c r="AQ1307">
        <v>826.2</v>
      </c>
      <c r="AR1307">
        <v>59</v>
      </c>
      <c r="AS1307">
        <v>275</v>
      </c>
      <c r="AT1307">
        <v>762</v>
      </c>
      <c r="AU1307">
        <v>13.8</v>
      </c>
      <c r="AX1307" t="s">
        <v>398</v>
      </c>
    </row>
    <row r="1308" spans="1:50" x14ac:dyDescent="0.45">
      <c r="A1308">
        <v>20103</v>
      </c>
      <c r="B1308">
        <v>1</v>
      </c>
      <c r="C1308">
        <v>68.8</v>
      </c>
      <c r="D1308">
        <v>0</v>
      </c>
      <c r="E1308">
        <v>0</v>
      </c>
      <c r="F1308">
        <v>0</v>
      </c>
      <c r="G1308">
        <v>0</v>
      </c>
      <c r="H1308">
        <v>0</v>
      </c>
      <c r="I1308">
        <v>0</v>
      </c>
      <c r="J1308">
        <v>4.9000000000000004</v>
      </c>
      <c r="K1308">
        <v>9.9</v>
      </c>
      <c r="L1308">
        <v>5.0999999999999996</v>
      </c>
      <c r="M1308">
        <v>6.3</v>
      </c>
      <c r="N1308">
        <v>0</v>
      </c>
      <c r="O1308">
        <v>0</v>
      </c>
      <c r="P1308">
        <v>0</v>
      </c>
      <c r="Q1308">
        <v>0</v>
      </c>
      <c r="R1308">
        <v>0</v>
      </c>
      <c r="S1308">
        <v>0</v>
      </c>
      <c r="T1308">
        <v>0</v>
      </c>
      <c r="U1308">
        <v>0</v>
      </c>
      <c r="V1308">
        <v>0</v>
      </c>
      <c r="Y1308">
        <v>1</v>
      </c>
      <c r="Z1308">
        <v>0</v>
      </c>
      <c r="AA1308">
        <v>0</v>
      </c>
      <c r="AB1308">
        <v>0</v>
      </c>
      <c r="AC1308">
        <v>0</v>
      </c>
      <c r="AI1308">
        <v>0</v>
      </c>
      <c r="AO1308">
        <v>7.8719999999999999</v>
      </c>
      <c r="AP1308">
        <v>2.916666666666667</v>
      </c>
      <c r="AQ1308">
        <v>826.2</v>
      </c>
      <c r="AR1308">
        <v>59</v>
      </c>
      <c r="AX1308" t="s">
        <v>395</v>
      </c>
    </row>
    <row r="1309" spans="1:50" x14ac:dyDescent="0.45">
      <c r="A1309">
        <v>20104</v>
      </c>
      <c r="B1309">
        <v>1</v>
      </c>
      <c r="C1309">
        <v>68</v>
      </c>
      <c r="D1309">
        <v>0</v>
      </c>
      <c r="E1309">
        <v>0</v>
      </c>
      <c r="F1309">
        <v>0</v>
      </c>
      <c r="G1309">
        <v>0</v>
      </c>
      <c r="H1309">
        <v>0</v>
      </c>
      <c r="I1309">
        <v>0</v>
      </c>
      <c r="J1309">
        <v>5</v>
      </c>
      <c r="K1309">
        <v>15.2</v>
      </c>
      <c r="L1309">
        <v>5.3</v>
      </c>
      <c r="M1309">
        <v>6.5</v>
      </c>
      <c r="N1309">
        <v>0</v>
      </c>
      <c r="O1309">
        <v>0</v>
      </c>
      <c r="P1309">
        <v>0</v>
      </c>
      <c r="Q1309">
        <v>0</v>
      </c>
      <c r="R1309">
        <v>0</v>
      </c>
      <c r="S1309">
        <v>0</v>
      </c>
      <c r="T1309">
        <v>0</v>
      </c>
      <c r="U1309">
        <v>0</v>
      </c>
      <c r="V1309">
        <v>0</v>
      </c>
      <c r="Y1309">
        <v>1</v>
      </c>
      <c r="Z1309">
        <v>0</v>
      </c>
      <c r="AA1309">
        <v>0</v>
      </c>
      <c r="AB1309">
        <v>0</v>
      </c>
      <c r="AC1309">
        <v>0</v>
      </c>
      <c r="AI1309">
        <v>0</v>
      </c>
      <c r="AO1309">
        <v>9.5560000000000009</v>
      </c>
      <c r="AP1309">
        <v>3</v>
      </c>
      <c r="AQ1309">
        <v>824.44999999999993</v>
      </c>
      <c r="AR1309">
        <v>55</v>
      </c>
      <c r="AS1309">
        <v>533</v>
      </c>
      <c r="AT1309">
        <v>692</v>
      </c>
      <c r="AU1309">
        <v>14.2</v>
      </c>
      <c r="AX1309" t="s">
        <v>399</v>
      </c>
    </row>
    <row r="1310" spans="1:50" x14ac:dyDescent="0.45">
      <c r="A1310">
        <v>20105</v>
      </c>
      <c r="B1310">
        <v>1</v>
      </c>
      <c r="C1310">
        <v>68</v>
      </c>
      <c r="D1310">
        <v>0</v>
      </c>
      <c r="E1310">
        <v>0</v>
      </c>
      <c r="F1310">
        <v>0</v>
      </c>
      <c r="G1310">
        <v>0</v>
      </c>
      <c r="H1310">
        <v>0</v>
      </c>
      <c r="I1310">
        <v>0</v>
      </c>
      <c r="J1310">
        <v>5</v>
      </c>
      <c r="K1310">
        <v>15.2</v>
      </c>
      <c r="L1310">
        <v>5.3</v>
      </c>
      <c r="M1310">
        <v>6.5</v>
      </c>
      <c r="N1310">
        <v>0</v>
      </c>
      <c r="O1310">
        <v>0</v>
      </c>
      <c r="P1310">
        <v>0</v>
      </c>
      <c r="Q1310">
        <v>0</v>
      </c>
      <c r="R1310">
        <v>0</v>
      </c>
      <c r="S1310">
        <v>0</v>
      </c>
      <c r="T1310">
        <v>0</v>
      </c>
      <c r="U1310">
        <v>0</v>
      </c>
      <c r="V1310">
        <v>0</v>
      </c>
      <c r="Y1310">
        <v>1</v>
      </c>
      <c r="Z1310">
        <v>0</v>
      </c>
      <c r="AA1310">
        <v>0</v>
      </c>
      <c r="AB1310">
        <v>0</v>
      </c>
      <c r="AC1310">
        <v>0</v>
      </c>
      <c r="AI1310">
        <v>0</v>
      </c>
      <c r="AO1310">
        <v>9.5560000000000009</v>
      </c>
      <c r="AP1310">
        <v>3</v>
      </c>
      <c r="AQ1310">
        <v>824.44999999999993</v>
      </c>
      <c r="AR1310">
        <v>55</v>
      </c>
      <c r="AX1310" t="s">
        <v>395</v>
      </c>
    </row>
    <row r="1311" spans="1:50" x14ac:dyDescent="0.45">
      <c r="A1311">
        <v>20106</v>
      </c>
      <c r="B1311">
        <v>1</v>
      </c>
      <c r="C1311">
        <v>62.25</v>
      </c>
      <c r="D1311">
        <v>0</v>
      </c>
      <c r="E1311">
        <v>0</v>
      </c>
      <c r="F1311">
        <v>0</v>
      </c>
      <c r="G1311">
        <v>0</v>
      </c>
      <c r="H1311">
        <v>0</v>
      </c>
      <c r="I1311">
        <v>0</v>
      </c>
      <c r="J1311">
        <v>0.45</v>
      </c>
      <c r="K1311">
        <v>21.19</v>
      </c>
      <c r="L1311">
        <v>0</v>
      </c>
      <c r="M1311">
        <v>9.4700000000000006</v>
      </c>
      <c r="N1311">
        <v>0</v>
      </c>
      <c r="O1311">
        <v>6.64</v>
      </c>
      <c r="P1311">
        <v>0</v>
      </c>
      <c r="Q1311">
        <v>0</v>
      </c>
      <c r="R1311">
        <v>0</v>
      </c>
      <c r="S1311">
        <v>0</v>
      </c>
      <c r="T1311">
        <v>0</v>
      </c>
      <c r="U1311">
        <v>0</v>
      </c>
      <c r="V1311">
        <v>0</v>
      </c>
      <c r="Y1311">
        <v>1</v>
      </c>
      <c r="Z1311">
        <v>0</v>
      </c>
      <c r="AA1311">
        <v>0</v>
      </c>
      <c r="AB1311">
        <v>0</v>
      </c>
      <c r="AC1311">
        <v>1</v>
      </c>
      <c r="AD1311">
        <v>1200</v>
      </c>
      <c r="AE1311">
        <v>30</v>
      </c>
      <c r="AF1311">
        <v>1</v>
      </c>
      <c r="AG1311">
        <v>0</v>
      </c>
      <c r="AH1311">
        <v>0</v>
      </c>
      <c r="AI1311">
        <v>0</v>
      </c>
      <c r="AO1311">
        <v>7.394000000000001</v>
      </c>
      <c r="AP1311">
        <v>3.2316666666666669</v>
      </c>
      <c r="AQ1311">
        <v>918.66899999999998</v>
      </c>
      <c r="AR1311">
        <v>80.58</v>
      </c>
      <c r="AX1311" t="s">
        <v>400</v>
      </c>
    </row>
    <row r="1312" spans="1:50" x14ac:dyDescent="0.45">
      <c r="A1312">
        <v>20107</v>
      </c>
      <c r="B1312">
        <v>1</v>
      </c>
      <c r="C1312">
        <v>65</v>
      </c>
      <c r="D1312">
        <v>0</v>
      </c>
      <c r="E1312">
        <v>0</v>
      </c>
      <c r="F1312">
        <v>0</v>
      </c>
      <c r="G1312">
        <v>0</v>
      </c>
      <c r="H1312">
        <v>0</v>
      </c>
      <c r="I1312">
        <v>0</v>
      </c>
      <c r="J1312">
        <v>11.4</v>
      </c>
      <c r="K1312">
        <v>11.6</v>
      </c>
      <c r="L1312">
        <v>0</v>
      </c>
      <c r="M1312">
        <v>12</v>
      </c>
      <c r="N1312">
        <v>0</v>
      </c>
      <c r="O1312">
        <v>0</v>
      </c>
      <c r="P1312">
        <v>0</v>
      </c>
      <c r="Q1312">
        <v>0</v>
      </c>
      <c r="R1312">
        <v>0</v>
      </c>
      <c r="S1312">
        <v>0</v>
      </c>
      <c r="T1312">
        <v>0</v>
      </c>
      <c r="U1312">
        <v>0</v>
      </c>
      <c r="V1312">
        <v>0</v>
      </c>
      <c r="Y1312">
        <v>1</v>
      </c>
      <c r="Z1312">
        <v>0</v>
      </c>
      <c r="AA1312">
        <v>0</v>
      </c>
      <c r="AB1312">
        <v>0</v>
      </c>
      <c r="AC1312">
        <v>1</v>
      </c>
      <c r="AD1312">
        <v>1200</v>
      </c>
      <c r="AE1312">
        <v>24</v>
      </c>
      <c r="AF1312">
        <v>1</v>
      </c>
      <c r="AG1312">
        <v>0</v>
      </c>
      <c r="AH1312">
        <v>0</v>
      </c>
      <c r="AI1312">
        <v>1</v>
      </c>
      <c r="AJ1312">
        <v>900</v>
      </c>
      <c r="AK1312">
        <v>0.16666666666666666</v>
      </c>
      <c r="AL1312">
        <v>1</v>
      </c>
      <c r="AM1312">
        <v>0</v>
      </c>
      <c r="AN1312">
        <v>0</v>
      </c>
      <c r="AO1312">
        <v>3.2480000000000002</v>
      </c>
      <c r="AP1312">
        <v>5.9</v>
      </c>
      <c r="AQ1312">
        <v>853.74</v>
      </c>
      <c r="AR1312">
        <v>42.4</v>
      </c>
      <c r="AX1312" t="s">
        <v>401</v>
      </c>
    </row>
    <row r="1313" spans="1:50" x14ac:dyDescent="0.45">
      <c r="A1313">
        <v>20108</v>
      </c>
      <c r="B1313">
        <v>1</v>
      </c>
      <c r="C1313">
        <v>62.5</v>
      </c>
      <c r="D1313">
        <v>0</v>
      </c>
      <c r="E1313">
        <v>0</v>
      </c>
      <c r="F1313">
        <v>0</v>
      </c>
      <c r="G1313">
        <v>0</v>
      </c>
      <c r="H1313">
        <v>0</v>
      </c>
      <c r="I1313">
        <v>0</v>
      </c>
      <c r="J1313">
        <v>11.8</v>
      </c>
      <c r="K1313">
        <v>13.4</v>
      </c>
      <c r="L1313">
        <v>0</v>
      </c>
      <c r="M1313">
        <v>12.03</v>
      </c>
      <c r="N1313">
        <v>0</v>
      </c>
      <c r="O1313">
        <v>0</v>
      </c>
      <c r="P1313">
        <v>0</v>
      </c>
      <c r="Q1313">
        <v>0</v>
      </c>
      <c r="R1313">
        <v>0</v>
      </c>
      <c r="S1313">
        <v>0</v>
      </c>
      <c r="T1313">
        <v>0</v>
      </c>
      <c r="U1313">
        <v>0</v>
      </c>
      <c r="V1313">
        <v>0</v>
      </c>
      <c r="Y1313">
        <v>1</v>
      </c>
      <c r="Z1313">
        <v>0</v>
      </c>
      <c r="AA1313">
        <v>0</v>
      </c>
      <c r="AB1313">
        <v>0</v>
      </c>
      <c r="AC1313">
        <v>1</v>
      </c>
      <c r="AD1313">
        <v>1200</v>
      </c>
      <c r="AE1313">
        <v>24</v>
      </c>
      <c r="AF1313">
        <v>1</v>
      </c>
      <c r="AG1313">
        <v>0</v>
      </c>
      <c r="AH1313">
        <v>0</v>
      </c>
      <c r="AI1313">
        <v>1</v>
      </c>
      <c r="AJ1313">
        <v>900</v>
      </c>
      <c r="AK1313">
        <v>0.16666666666666666</v>
      </c>
      <c r="AL1313">
        <v>1</v>
      </c>
      <c r="AM1313">
        <v>0</v>
      </c>
      <c r="AN1313">
        <v>0</v>
      </c>
      <c r="AO1313">
        <v>3.7520000000000007</v>
      </c>
      <c r="AP1313">
        <v>5.9766666666666666</v>
      </c>
      <c r="AQ1313">
        <v>851.10599999999999</v>
      </c>
      <c r="AR1313">
        <v>51.6</v>
      </c>
      <c r="AX1313" t="s">
        <v>401</v>
      </c>
    </row>
    <row r="1314" spans="1:50" x14ac:dyDescent="0.45">
      <c r="A1314">
        <v>20109</v>
      </c>
      <c r="B1314">
        <v>1</v>
      </c>
      <c r="C1314">
        <v>61</v>
      </c>
      <c r="D1314">
        <v>0</v>
      </c>
      <c r="E1314">
        <v>0</v>
      </c>
      <c r="F1314">
        <v>0</v>
      </c>
      <c r="G1314">
        <v>0</v>
      </c>
      <c r="H1314">
        <v>0</v>
      </c>
      <c r="I1314">
        <v>0</v>
      </c>
      <c r="J1314">
        <v>11.9</v>
      </c>
      <c r="K1314">
        <v>15.5</v>
      </c>
      <c r="L1314">
        <v>0</v>
      </c>
      <c r="M1314">
        <v>11.6</v>
      </c>
      <c r="N1314">
        <v>0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0</v>
      </c>
      <c r="U1314">
        <v>0</v>
      </c>
      <c r="V1314">
        <v>0</v>
      </c>
      <c r="Y1314">
        <v>1</v>
      </c>
      <c r="Z1314">
        <v>0</v>
      </c>
      <c r="AA1314">
        <v>0</v>
      </c>
      <c r="AB1314">
        <v>0</v>
      </c>
      <c r="AC1314">
        <v>1</v>
      </c>
      <c r="AD1314">
        <v>1200</v>
      </c>
      <c r="AE1314">
        <v>24</v>
      </c>
      <c r="AF1314">
        <v>1</v>
      </c>
      <c r="AG1314">
        <v>0</v>
      </c>
      <c r="AH1314">
        <v>0</v>
      </c>
      <c r="AI1314">
        <v>1</v>
      </c>
      <c r="AJ1314">
        <v>900</v>
      </c>
      <c r="AK1314">
        <v>0.16666666666666666</v>
      </c>
      <c r="AL1314">
        <v>1</v>
      </c>
      <c r="AM1314">
        <v>0</v>
      </c>
      <c r="AN1314">
        <v>0</v>
      </c>
      <c r="AO1314">
        <v>4.3400000000000007</v>
      </c>
      <c r="AP1314">
        <v>5.85</v>
      </c>
      <c r="AQ1314">
        <v>848.61</v>
      </c>
      <c r="AR1314">
        <v>71.3</v>
      </c>
      <c r="AX1314" t="s">
        <v>401</v>
      </c>
    </row>
    <row r="1315" spans="1:50" x14ac:dyDescent="0.45">
      <c r="A1315">
        <v>20110</v>
      </c>
      <c r="B1315">
        <v>1</v>
      </c>
      <c r="C1315">
        <v>62.9</v>
      </c>
      <c r="D1315">
        <v>0</v>
      </c>
      <c r="E1315">
        <v>0</v>
      </c>
      <c r="F1315">
        <v>0</v>
      </c>
      <c r="G1315">
        <v>0</v>
      </c>
      <c r="H1315">
        <v>0</v>
      </c>
      <c r="I1315">
        <v>0</v>
      </c>
      <c r="J1315">
        <v>4.8</v>
      </c>
      <c r="K1315">
        <v>17.7</v>
      </c>
      <c r="L1315">
        <v>0</v>
      </c>
      <c r="M1315">
        <v>14.6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1</v>
      </c>
      <c r="W1315">
        <v>1000</v>
      </c>
      <c r="Y1315">
        <v>0</v>
      </c>
      <c r="Z1315">
        <v>1</v>
      </c>
      <c r="AA1315">
        <v>0</v>
      </c>
      <c r="AB1315">
        <v>0</v>
      </c>
      <c r="AC1315">
        <v>1</v>
      </c>
      <c r="AD1315">
        <v>1200</v>
      </c>
      <c r="AE1315">
        <v>24</v>
      </c>
      <c r="AF1315">
        <v>1</v>
      </c>
      <c r="AG1315">
        <v>0</v>
      </c>
      <c r="AH1315">
        <v>0</v>
      </c>
      <c r="AI1315">
        <v>1</v>
      </c>
      <c r="AJ1315">
        <v>900</v>
      </c>
      <c r="AK1315">
        <v>0.16666666666666666</v>
      </c>
      <c r="AL1315">
        <v>1</v>
      </c>
      <c r="AM1315">
        <v>0</v>
      </c>
      <c r="AN1315">
        <v>0</v>
      </c>
      <c r="AO1315">
        <v>4.9560000000000004</v>
      </c>
      <c r="AP1315">
        <v>5.6666666666666661</v>
      </c>
      <c r="AQ1315">
        <v>910.2</v>
      </c>
      <c r="AR1315">
        <v>52.5</v>
      </c>
      <c r="AX1315" t="s">
        <v>402</v>
      </c>
    </row>
    <row r="1316" spans="1:50" x14ac:dyDescent="0.45">
      <c r="A1316">
        <v>20111</v>
      </c>
      <c r="B1316">
        <v>1</v>
      </c>
      <c r="C1316">
        <v>64.099999999999994</v>
      </c>
      <c r="D1316">
        <v>0</v>
      </c>
      <c r="E1316">
        <v>0</v>
      </c>
      <c r="F1316">
        <v>0</v>
      </c>
      <c r="G1316">
        <v>0</v>
      </c>
      <c r="H1316">
        <v>0</v>
      </c>
      <c r="I1316">
        <v>0</v>
      </c>
      <c r="J1316">
        <v>4</v>
      </c>
      <c r="K1316">
        <v>24</v>
      </c>
      <c r="L1316">
        <v>0</v>
      </c>
      <c r="M1316">
        <v>7.9</v>
      </c>
      <c r="N1316">
        <v>0</v>
      </c>
      <c r="O1316">
        <v>0</v>
      </c>
      <c r="P1316">
        <v>0</v>
      </c>
      <c r="Q1316">
        <v>0</v>
      </c>
      <c r="R1316">
        <v>0</v>
      </c>
      <c r="S1316">
        <v>0</v>
      </c>
      <c r="T1316">
        <v>0</v>
      </c>
      <c r="U1316">
        <v>0</v>
      </c>
      <c r="V1316">
        <v>0</v>
      </c>
      <c r="Y1316">
        <v>1</v>
      </c>
      <c r="Z1316">
        <v>0</v>
      </c>
      <c r="AA1316">
        <v>0</v>
      </c>
      <c r="AB1316">
        <v>0</v>
      </c>
      <c r="AC1316">
        <v>0</v>
      </c>
      <c r="AI1316">
        <v>0</v>
      </c>
      <c r="AO1316">
        <v>6.7200000000000006</v>
      </c>
      <c r="AP1316">
        <v>3.3</v>
      </c>
      <c r="AQ1316">
        <v>887.57999999999993</v>
      </c>
      <c r="AR1316">
        <v>33</v>
      </c>
      <c r="AX1316" t="s">
        <v>395</v>
      </c>
    </row>
    <row r="1317" spans="1:50" x14ac:dyDescent="0.45">
      <c r="A1317">
        <v>20112</v>
      </c>
      <c r="B1317">
        <v>1</v>
      </c>
      <c r="C1317">
        <v>64.012</v>
      </c>
      <c r="D1317">
        <v>0</v>
      </c>
      <c r="E1317">
        <v>0</v>
      </c>
      <c r="F1317">
        <v>0</v>
      </c>
      <c r="G1317">
        <v>0</v>
      </c>
      <c r="H1317">
        <v>0</v>
      </c>
      <c r="I1317">
        <v>0</v>
      </c>
      <c r="J1317">
        <v>3.92</v>
      </c>
      <c r="K1317">
        <v>24.1</v>
      </c>
      <c r="L1317">
        <v>0</v>
      </c>
      <c r="M1317">
        <v>7.85</v>
      </c>
      <c r="N1317">
        <v>0</v>
      </c>
      <c r="O1317">
        <v>0</v>
      </c>
      <c r="P1317">
        <v>0</v>
      </c>
      <c r="Q1317">
        <v>0</v>
      </c>
      <c r="R1317">
        <v>0</v>
      </c>
      <c r="S1317">
        <v>8.0000000000000002E-3</v>
      </c>
      <c r="T1317">
        <v>0.11</v>
      </c>
      <c r="U1317">
        <v>0</v>
      </c>
      <c r="V1317">
        <v>1</v>
      </c>
      <c r="W1317">
        <v>800</v>
      </c>
      <c r="X1317">
        <v>50</v>
      </c>
      <c r="Y1317">
        <v>0</v>
      </c>
      <c r="Z1317">
        <v>1</v>
      </c>
      <c r="AA1317">
        <v>1</v>
      </c>
      <c r="AB1317">
        <v>0</v>
      </c>
      <c r="AC1317">
        <v>1</v>
      </c>
      <c r="AD1317">
        <v>850</v>
      </c>
      <c r="AF1317">
        <v>1</v>
      </c>
      <c r="AG1317">
        <v>1</v>
      </c>
      <c r="AH1317">
        <v>0</v>
      </c>
      <c r="AI1317">
        <v>1</v>
      </c>
      <c r="AJ1317">
        <v>800</v>
      </c>
      <c r="AO1317">
        <v>6.7480000000000011</v>
      </c>
      <c r="AP1317">
        <v>3.2818000000000001</v>
      </c>
      <c r="AQ1317">
        <v>901.452</v>
      </c>
      <c r="AR1317">
        <v>42</v>
      </c>
      <c r="AT1317">
        <v>850</v>
      </c>
      <c r="AX1317" t="s">
        <v>403</v>
      </c>
    </row>
    <row r="1318" spans="1:50" x14ac:dyDescent="0.45">
      <c r="A1318">
        <v>20113</v>
      </c>
      <c r="B1318">
        <v>1</v>
      </c>
      <c r="C1318">
        <v>64</v>
      </c>
      <c r="D1318">
        <v>0</v>
      </c>
      <c r="E1318">
        <v>0</v>
      </c>
      <c r="F1318">
        <v>0</v>
      </c>
      <c r="G1318">
        <v>0</v>
      </c>
      <c r="H1318">
        <v>0</v>
      </c>
      <c r="I1318">
        <v>0</v>
      </c>
      <c r="J1318">
        <v>4</v>
      </c>
      <c r="K1318">
        <v>24</v>
      </c>
      <c r="L1318">
        <v>0</v>
      </c>
      <c r="M1318">
        <v>8</v>
      </c>
      <c r="N1318">
        <v>0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  <c r="V1318">
        <v>0</v>
      </c>
      <c r="Y1318">
        <v>1</v>
      </c>
      <c r="Z1318">
        <v>0</v>
      </c>
      <c r="AA1318">
        <v>0</v>
      </c>
      <c r="AB1318">
        <v>0</v>
      </c>
      <c r="AC1318">
        <v>1</v>
      </c>
      <c r="AD1318">
        <v>1000</v>
      </c>
      <c r="AE1318">
        <v>1</v>
      </c>
      <c r="AF1318">
        <v>1</v>
      </c>
      <c r="AG1318">
        <v>0</v>
      </c>
      <c r="AH1318">
        <v>0</v>
      </c>
      <c r="AI1318">
        <v>0</v>
      </c>
      <c r="AO1318">
        <v>6.7200000000000006</v>
      </c>
      <c r="AP1318">
        <v>3.333333333333333</v>
      </c>
      <c r="AQ1318">
        <v>888</v>
      </c>
      <c r="AR1318">
        <v>56.9</v>
      </c>
      <c r="AT1318">
        <v>795</v>
      </c>
      <c r="AX1318" t="s">
        <v>404</v>
      </c>
    </row>
    <row r="1319" spans="1:50" x14ac:dyDescent="0.45">
      <c r="A1319">
        <v>20114</v>
      </c>
      <c r="B1319">
        <v>1</v>
      </c>
      <c r="C1319">
        <v>64</v>
      </c>
      <c r="D1319">
        <v>0</v>
      </c>
      <c r="E1319">
        <v>0</v>
      </c>
      <c r="F1319">
        <v>0</v>
      </c>
      <c r="G1319">
        <v>0</v>
      </c>
      <c r="H1319">
        <v>0</v>
      </c>
      <c r="I1319">
        <v>0</v>
      </c>
      <c r="J1319">
        <v>4</v>
      </c>
      <c r="K1319">
        <v>24</v>
      </c>
      <c r="L1319">
        <v>0</v>
      </c>
      <c r="M1319">
        <v>8</v>
      </c>
      <c r="N1319">
        <v>0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0</v>
      </c>
      <c r="Y1319">
        <v>1</v>
      </c>
      <c r="Z1319">
        <v>0</v>
      </c>
      <c r="AA1319">
        <v>0</v>
      </c>
      <c r="AB1319">
        <v>0</v>
      </c>
      <c r="AC1319">
        <v>1</v>
      </c>
      <c r="AD1319">
        <v>1000</v>
      </c>
      <c r="AE1319">
        <v>1</v>
      </c>
      <c r="AF1319">
        <v>1</v>
      </c>
      <c r="AG1319">
        <v>0</v>
      </c>
      <c r="AH1319">
        <v>0</v>
      </c>
      <c r="AI1319">
        <v>0</v>
      </c>
      <c r="AO1319">
        <v>6.7200000000000006</v>
      </c>
      <c r="AP1319">
        <v>3.333333333333333</v>
      </c>
      <c r="AQ1319">
        <v>888</v>
      </c>
      <c r="AR1319">
        <v>58.3</v>
      </c>
      <c r="AT1319">
        <v>760</v>
      </c>
      <c r="AX1319" t="s">
        <v>404</v>
      </c>
    </row>
    <row r="1320" spans="1:50" x14ac:dyDescent="0.45">
      <c r="A1320">
        <v>20115</v>
      </c>
      <c r="B1320">
        <v>1</v>
      </c>
      <c r="C1320">
        <v>64</v>
      </c>
      <c r="D1320">
        <v>0</v>
      </c>
      <c r="E1320">
        <v>0</v>
      </c>
      <c r="F1320">
        <v>0</v>
      </c>
      <c r="G1320">
        <v>0</v>
      </c>
      <c r="H1320">
        <v>0</v>
      </c>
      <c r="I1320">
        <v>0</v>
      </c>
      <c r="J1320">
        <v>4</v>
      </c>
      <c r="K1320">
        <v>24</v>
      </c>
      <c r="L1320">
        <v>0</v>
      </c>
      <c r="M1320">
        <v>8</v>
      </c>
      <c r="N1320">
        <v>0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0</v>
      </c>
      <c r="V1320">
        <v>0</v>
      </c>
      <c r="Y1320">
        <v>1</v>
      </c>
      <c r="Z1320">
        <v>0</v>
      </c>
      <c r="AA1320">
        <v>0</v>
      </c>
      <c r="AB1320">
        <v>0</v>
      </c>
      <c r="AC1320">
        <v>1</v>
      </c>
      <c r="AD1320">
        <v>1000</v>
      </c>
      <c r="AE1320">
        <v>1</v>
      </c>
      <c r="AF1320">
        <v>1</v>
      </c>
      <c r="AG1320">
        <v>0</v>
      </c>
      <c r="AH1320">
        <v>0</v>
      </c>
      <c r="AI1320">
        <v>0</v>
      </c>
      <c r="AO1320">
        <v>6.7200000000000006</v>
      </c>
      <c r="AP1320">
        <v>3.333333333333333</v>
      </c>
      <c r="AQ1320">
        <v>888</v>
      </c>
      <c r="AR1320">
        <v>59.2</v>
      </c>
      <c r="AT1320">
        <v>755</v>
      </c>
      <c r="AX1320" t="s">
        <v>404</v>
      </c>
    </row>
    <row r="1321" spans="1:50" x14ac:dyDescent="0.45">
      <c r="A1321">
        <v>20116</v>
      </c>
      <c r="B1321">
        <v>1</v>
      </c>
      <c r="C1321">
        <v>64.099999999999994</v>
      </c>
      <c r="D1321">
        <v>0</v>
      </c>
      <c r="E1321">
        <v>0</v>
      </c>
      <c r="F1321">
        <v>0</v>
      </c>
      <c r="G1321">
        <v>0</v>
      </c>
      <c r="H1321">
        <v>0</v>
      </c>
      <c r="I1321">
        <v>0</v>
      </c>
      <c r="J1321">
        <v>4</v>
      </c>
      <c r="K1321">
        <v>24</v>
      </c>
      <c r="L1321">
        <v>0</v>
      </c>
      <c r="M1321">
        <v>7.9</v>
      </c>
      <c r="N1321">
        <v>0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  <c r="V1321">
        <v>1</v>
      </c>
      <c r="W1321">
        <v>800</v>
      </c>
      <c r="X1321">
        <v>50</v>
      </c>
      <c r="Y1321">
        <v>0</v>
      </c>
      <c r="Z1321">
        <v>1</v>
      </c>
      <c r="AA1321">
        <v>1</v>
      </c>
      <c r="AB1321">
        <v>0</v>
      </c>
      <c r="AC1321">
        <v>1</v>
      </c>
      <c r="AD1321">
        <v>850</v>
      </c>
      <c r="AF1321">
        <v>1</v>
      </c>
      <c r="AG1321">
        <v>1</v>
      </c>
      <c r="AH1321">
        <v>0</v>
      </c>
      <c r="AI1321">
        <v>1</v>
      </c>
      <c r="AJ1321">
        <v>800</v>
      </c>
      <c r="AO1321">
        <v>6.7200000000000006</v>
      </c>
      <c r="AP1321">
        <v>3.3</v>
      </c>
      <c r="AQ1321">
        <v>887.57999999999993</v>
      </c>
      <c r="AR1321">
        <v>42</v>
      </c>
      <c r="AT1321">
        <v>850</v>
      </c>
      <c r="AX1321" t="s">
        <v>403</v>
      </c>
    </row>
    <row r="1322" spans="1:50" x14ac:dyDescent="0.45">
      <c r="A1322">
        <v>20117</v>
      </c>
      <c r="B1322">
        <v>1</v>
      </c>
      <c r="C1322">
        <v>71.3</v>
      </c>
      <c r="D1322">
        <v>0</v>
      </c>
      <c r="E1322">
        <v>0</v>
      </c>
      <c r="F1322">
        <v>0</v>
      </c>
      <c r="G1322">
        <v>0</v>
      </c>
      <c r="H1322">
        <v>0</v>
      </c>
      <c r="I1322">
        <v>0</v>
      </c>
      <c r="J1322">
        <v>4.4000000000000004</v>
      </c>
      <c r="K1322">
        <v>13.5</v>
      </c>
      <c r="L1322">
        <v>2.8</v>
      </c>
      <c r="M1322">
        <v>8</v>
      </c>
      <c r="N1322">
        <v>0</v>
      </c>
      <c r="O1322">
        <v>0</v>
      </c>
      <c r="P1322">
        <v>0</v>
      </c>
      <c r="Q1322">
        <v>0</v>
      </c>
      <c r="R1322">
        <v>0</v>
      </c>
      <c r="S1322">
        <v>0</v>
      </c>
      <c r="T1322">
        <v>0</v>
      </c>
      <c r="U1322">
        <v>0</v>
      </c>
      <c r="V1322">
        <v>0</v>
      </c>
      <c r="Y1322">
        <v>1</v>
      </c>
      <c r="Z1322">
        <v>0</v>
      </c>
      <c r="AA1322">
        <v>0</v>
      </c>
      <c r="AB1322">
        <v>0</v>
      </c>
      <c r="AC1322">
        <v>0</v>
      </c>
      <c r="AI1322">
        <v>0</v>
      </c>
      <c r="AO1322">
        <v>6.58</v>
      </c>
      <c r="AP1322">
        <v>3.4</v>
      </c>
      <c r="AQ1322">
        <v>858.64</v>
      </c>
      <c r="AR1322">
        <v>46</v>
      </c>
      <c r="AX1322" t="s">
        <v>373</v>
      </c>
    </row>
    <row r="1323" spans="1:50" x14ac:dyDescent="0.45">
      <c r="A1323">
        <v>20118</v>
      </c>
      <c r="B1323">
        <v>1</v>
      </c>
      <c r="C1323">
        <v>64.3</v>
      </c>
      <c r="D1323">
        <v>0</v>
      </c>
      <c r="E1323">
        <v>0</v>
      </c>
      <c r="F1323">
        <v>0</v>
      </c>
      <c r="G1323">
        <v>0</v>
      </c>
      <c r="H1323">
        <v>0</v>
      </c>
      <c r="I1323">
        <v>0</v>
      </c>
      <c r="J1323">
        <v>5.7</v>
      </c>
      <c r="K1323">
        <v>14.6</v>
      </c>
      <c r="L1323">
        <v>0</v>
      </c>
      <c r="M1323">
        <v>9.9</v>
      </c>
      <c r="N1323">
        <v>0</v>
      </c>
      <c r="O1323">
        <v>5.5</v>
      </c>
      <c r="P1323">
        <v>0</v>
      </c>
      <c r="Q1323">
        <v>0</v>
      </c>
      <c r="R1323">
        <v>0</v>
      </c>
      <c r="S1323">
        <v>0</v>
      </c>
      <c r="T1323">
        <v>0</v>
      </c>
      <c r="U1323">
        <v>0</v>
      </c>
      <c r="V1323">
        <v>0</v>
      </c>
      <c r="Y1323">
        <v>1</v>
      </c>
      <c r="Z1323">
        <v>0</v>
      </c>
      <c r="AA1323">
        <v>0</v>
      </c>
      <c r="AB1323">
        <v>0</v>
      </c>
      <c r="AC1323">
        <v>0</v>
      </c>
      <c r="AI1323">
        <v>0</v>
      </c>
      <c r="AO1323">
        <v>5.298</v>
      </c>
      <c r="AP1323">
        <v>4.25</v>
      </c>
      <c r="AQ1323">
        <v>884.25</v>
      </c>
      <c r="AR1323">
        <v>52.2</v>
      </c>
      <c r="AX1323" t="s">
        <v>405</v>
      </c>
    </row>
    <row r="1324" spans="1:50" x14ac:dyDescent="0.45">
      <c r="A1324">
        <v>20119</v>
      </c>
      <c r="B1324">
        <v>1</v>
      </c>
      <c r="C1324">
        <v>50</v>
      </c>
      <c r="D1324">
        <v>0</v>
      </c>
      <c r="E1324">
        <v>0</v>
      </c>
      <c r="F1324">
        <v>0</v>
      </c>
      <c r="G1324">
        <v>0</v>
      </c>
      <c r="H1324">
        <v>0</v>
      </c>
      <c r="I1324">
        <v>0</v>
      </c>
      <c r="J1324">
        <v>0</v>
      </c>
      <c r="K1324">
        <v>25</v>
      </c>
      <c r="L1324">
        <v>0</v>
      </c>
      <c r="M1324">
        <v>0</v>
      </c>
      <c r="N1324">
        <v>0</v>
      </c>
      <c r="O1324">
        <v>25</v>
      </c>
      <c r="P1324">
        <v>0</v>
      </c>
      <c r="Q1324">
        <v>0</v>
      </c>
      <c r="R1324">
        <v>0</v>
      </c>
      <c r="S1324">
        <v>0</v>
      </c>
      <c r="T1324">
        <v>0</v>
      </c>
      <c r="U1324">
        <v>0</v>
      </c>
      <c r="V1324">
        <v>1</v>
      </c>
      <c r="X1324">
        <v>80</v>
      </c>
      <c r="Y1324">
        <v>0</v>
      </c>
      <c r="Z1324">
        <v>1</v>
      </c>
      <c r="AA1324">
        <v>0</v>
      </c>
      <c r="AB1324">
        <v>0</v>
      </c>
      <c r="AC1324">
        <v>1</v>
      </c>
      <c r="AD1324">
        <v>950</v>
      </c>
      <c r="AE1324">
        <v>20</v>
      </c>
      <c r="AF1324">
        <v>1</v>
      </c>
      <c r="AG1324">
        <v>0</v>
      </c>
      <c r="AH1324">
        <v>0</v>
      </c>
      <c r="AI1324">
        <v>1</v>
      </c>
      <c r="AJ1324">
        <v>850</v>
      </c>
      <c r="AK1324">
        <v>0.5</v>
      </c>
      <c r="AO1324">
        <v>12.5</v>
      </c>
      <c r="AP1324">
        <v>0</v>
      </c>
      <c r="AQ1324">
        <v>882</v>
      </c>
      <c r="AR1324">
        <v>55</v>
      </c>
      <c r="AT1324">
        <v>530</v>
      </c>
      <c r="AU1324">
        <v>20</v>
      </c>
      <c r="AV1324">
        <v>145</v>
      </c>
      <c r="AX1324" t="s">
        <v>406</v>
      </c>
    </row>
    <row r="1325" spans="1:50" x14ac:dyDescent="0.45">
      <c r="A1325">
        <v>20120</v>
      </c>
      <c r="B1325">
        <v>1</v>
      </c>
      <c r="C1325">
        <v>67</v>
      </c>
      <c r="D1325">
        <v>0</v>
      </c>
      <c r="E1325">
        <v>0</v>
      </c>
      <c r="F1325">
        <v>0</v>
      </c>
      <c r="G1325">
        <v>0</v>
      </c>
      <c r="H1325">
        <v>0</v>
      </c>
      <c r="I1325">
        <v>0</v>
      </c>
      <c r="J1325">
        <v>0</v>
      </c>
      <c r="K1325">
        <v>16</v>
      </c>
      <c r="L1325">
        <v>4</v>
      </c>
      <c r="M1325">
        <v>0</v>
      </c>
      <c r="N1325">
        <v>0</v>
      </c>
      <c r="O1325">
        <v>13</v>
      </c>
      <c r="P1325">
        <v>0</v>
      </c>
      <c r="Q1325">
        <v>0</v>
      </c>
      <c r="R1325">
        <v>0</v>
      </c>
      <c r="S1325">
        <v>0</v>
      </c>
      <c r="T1325">
        <v>0</v>
      </c>
      <c r="U1325">
        <v>0</v>
      </c>
      <c r="V1325">
        <v>1</v>
      </c>
      <c r="X1325">
        <v>75</v>
      </c>
      <c r="Y1325">
        <v>0</v>
      </c>
      <c r="Z1325">
        <v>1</v>
      </c>
      <c r="AA1325">
        <v>0</v>
      </c>
      <c r="AB1325">
        <v>0</v>
      </c>
      <c r="AC1325">
        <v>1</v>
      </c>
      <c r="AD1325">
        <v>1000</v>
      </c>
      <c r="AI1325">
        <v>0</v>
      </c>
      <c r="AO1325">
        <v>11.34</v>
      </c>
      <c r="AP1325">
        <v>0</v>
      </c>
      <c r="AQ1325">
        <v>844</v>
      </c>
      <c r="AR1325">
        <v>43.5</v>
      </c>
      <c r="AX1325" t="s">
        <v>407</v>
      </c>
    </row>
    <row r="1326" spans="1:50" x14ac:dyDescent="0.45">
      <c r="A1326">
        <v>20121</v>
      </c>
      <c r="B1326">
        <v>1</v>
      </c>
      <c r="C1326">
        <v>54</v>
      </c>
      <c r="D1326">
        <v>0</v>
      </c>
      <c r="E1326">
        <v>0</v>
      </c>
      <c r="F1326">
        <v>0</v>
      </c>
      <c r="G1326">
        <v>0</v>
      </c>
      <c r="H1326">
        <v>0</v>
      </c>
      <c r="I1326">
        <v>0</v>
      </c>
      <c r="J1326">
        <v>0</v>
      </c>
      <c r="K1326">
        <v>29</v>
      </c>
      <c r="L1326">
        <v>4</v>
      </c>
      <c r="M1326">
        <v>0</v>
      </c>
      <c r="N1326">
        <v>0</v>
      </c>
      <c r="O1326">
        <v>13</v>
      </c>
      <c r="P1326">
        <v>0</v>
      </c>
      <c r="Q1326">
        <v>0</v>
      </c>
      <c r="R1326">
        <v>0</v>
      </c>
      <c r="S1326">
        <v>0</v>
      </c>
      <c r="T1326">
        <v>0</v>
      </c>
      <c r="U1326">
        <v>0</v>
      </c>
      <c r="V1326">
        <v>0</v>
      </c>
      <c r="Y1326">
        <v>1</v>
      </c>
      <c r="Z1326">
        <v>0</v>
      </c>
      <c r="AA1326">
        <v>0</v>
      </c>
      <c r="AB1326">
        <v>0</v>
      </c>
      <c r="AC1326">
        <v>0</v>
      </c>
      <c r="AI1326">
        <v>0</v>
      </c>
      <c r="AO1326">
        <v>14.98</v>
      </c>
      <c r="AP1326">
        <v>0</v>
      </c>
      <c r="AQ1326">
        <v>844</v>
      </c>
      <c r="AR1326">
        <v>65</v>
      </c>
      <c r="AX1326" t="s">
        <v>408</v>
      </c>
    </row>
    <row r="1327" spans="1:50" x14ac:dyDescent="0.45">
      <c r="A1327">
        <v>20122</v>
      </c>
      <c r="B1327">
        <v>1</v>
      </c>
      <c r="C1327">
        <v>67.3</v>
      </c>
      <c r="D1327">
        <v>0</v>
      </c>
      <c r="E1327">
        <v>0</v>
      </c>
      <c r="F1327">
        <v>0</v>
      </c>
      <c r="G1327">
        <v>0</v>
      </c>
      <c r="H1327">
        <v>0</v>
      </c>
      <c r="I1327">
        <v>0</v>
      </c>
      <c r="J1327">
        <v>0</v>
      </c>
      <c r="K1327">
        <v>16.600000000000001</v>
      </c>
      <c r="L1327">
        <v>4.9000000000000004</v>
      </c>
      <c r="M1327">
        <v>2</v>
      </c>
      <c r="N1327">
        <v>0</v>
      </c>
      <c r="O1327">
        <v>9.1999999999999993</v>
      </c>
      <c r="P1327">
        <v>0</v>
      </c>
      <c r="Q1327">
        <v>0</v>
      </c>
      <c r="R1327">
        <v>0</v>
      </c>
      <c r="S1327">
        <v>0</v>
      </c>
      <c r="T1327">
        <v>0</v>
      </c>
      <c r="U1327">
        <v>0</v>
      </c>
      <c r="V1327">
        <v>0</v>
      </c>
      <c r="Y1327">
        <v>1</v>
      </c>
      <c r="Z1327">
        <v>0</v>
      </c>
      <c r="AA1327">
        <v>0</v>
      </c>
      <c r="AB1327">
        <v>0</v>
      </c>
      <c r="AC1327">
        <v>0</v>
      </c>
      <c r="AI1327">
        <v>0</v>
      </c>
      <c r="AO1327">
        <v>11.572000000000003</v>
      </c>
      <c r="AP1327">
        <v>0.66666666666666663</v>
      </c>
      <c r="AQ1327">
        <v>843.85</v>
      </c>
      <c r="AR1327">
        <v>73</v>
      </c>
      <c r="AX1327" t="s">
        <v>383</v>
      </c>
    </row>
    <row r="1328" spans="1:50" x14ac:dyDescent="0.45">
      <c r="A1328">
        <v>20123</v>
      </c>
      <c r="B1328">
        <v>1</v>
      </c>
      <c r="C1328">
        <v>56</v>
      </c>
      <c r="D1328">
        <v>0</v>
      </c>
      <c r="E1328">
        <v>0</v>
      </c>
      <c r="F1328">
        <v>0</v>
      </c>
      <c r="G1328">
        <v>0</v>
      </c>
      <c r="H1328">
        <v>0</v>
      </c>
      <c r="I1328">
        <v>0</v>
      </c>
      <c r="J1328">
        <v>0</v>
      </c>
      <c r="K1328">
        <v>29</v>
      </c>
      <c r="L1328">
        <v>0</v>
      </c>
      <c r="M1328">
        <v>2</v>
      </c>
      <c r="N1328">
        <v>0</v>
      </c>
      <c r="O1328">
        <v>13</v>
      </c>
      <c r="P1328">
        <v>0</v>
      </c>
      <c r="Q1328">
        <v>0</v>
      </c>
      <c r="R1328">
        <v>0</v>
      </c>
      <c r="S1328">
        <v>0</v>
      </c>
      <c r="T1328">
        <v>0</v>
      </c>
      <c r="U1328">
        <v>0</v>
      </c>
      <c r="V1328">
        <v>0</v>
      </c>
      <c r="Y1328">
        <v>1</v>
      </c>
      <c r="Z1328">
        <v>0</v>
      </c>
      <c r="AA1328">
        <v>0</v>
      </c>
      <c r="AB1328">
        <v>0</v>
      </c>
      <c r="AC1328">
        <v>0</v>
      </c>
      <c r="AI1328">
        <v>0</v>
      </c>
      <c r="AO1328">
        <v>10.98</v>
      </c>
      <c r="AP1328">
        <v>0.66666666666666663</v>
      </c>
      <c r="AQ1328">
        <v>890.4</v>
      </c>
      <c r="AR1328">
        <v>47</v>
      </c>
      <c r="AX1328" t="s">
        <v>407</v>
      </c>
    </row>
    <row r="1329" spans="1:50" x14ac:dyDescent="0.45">
      <c r="A1329">
        <v>20124</v>
      </c>
      <c r="B1329">
        <v>1</v>
      </c>
      <c r="C1329">
        <v>53.4</v>
      </c>
      <c r="D1329">
        <v>0</v>
      </c>
      <c r="E1329">
        <v>0</v>
      </c>
      <c r="F1329">
        <v>0</v>
      </c>
      <c r="G1329">
        <v>0</v>
      </c>
      <c r="H1329">
        <v>0</v>
      </c>
      <c r="I1329">
        <v>0</v>
      </c>
      <c r="J1329">
        <v>0</v>
      </c>
      <c r="K1329">
        <v>29</v>
      </c>
      <c r="L1329">
        <v>0</v>
      </c>
      <c r="M1329">
        <v>4.5999999999999996</v>
      </c>
      <c r="N1329">
        <v>0</v>
      </c>
      <c r="O1329">
        <v>13</v>
      </c>
      <c r="P1329">
        <v>0</v>
      </c>
      <c r="Q1329">
        <v>0</v>
      </c>
      <c r="R1329">
        <v>0</v>
      </c>
      <c r="S1329">
        <v>0</v>
      </c>
      <c r="T1329">
        <v>0</v>
      </c>
      <c r="U1329">
        <v>0</v>
      </c>
      <c r="V1329">
        <v>0</v>
      </c>
      <c r="Y1329">
        <v>1</v>
      </c>
      <c r="Z1329">
        <v>0</v>
      </c>
      <c r="AA1329">
        <v>0</v>
      </c>
      <c r="AB1329">
        <v>0</v>
      </c>
      <c r="AC1329">
        <v>0</v>
      </c>
      <c r="AI1329">
        <v>0</v>
      </c>
      <c r="AO1329">
        <v>10.98</v>
      </c>
      <c r="AP1329">
        <v>1.5333333333333332</v>
      </c>
      <c r="AQ1329">
        <v>901.32</v>
      </c>
      <c r="AR1329">
        <v>55</v>
      </c>
      <c r="AS1329">
        <v>920</v>
      </c>
      <c r="AX1329" t="s">
        <v>407</v>
      </c>
    </row>
    <row r="1330" spans="1:50" x14ac:dyDescent="0.45">
      <c r="A1330">
        <v>20125</v>
      </c>
      <c r="B1330">
        <v>1</v>
      </c>
      <c r="C1330">
        <v>52</v>
      </c>
      <c r="D1330">
        <v>0</v>
      </c>
      <c r="E1330">
        <v>0</v>
      </c>
      <c r="F1330">
        <v>0</v>
      </c>
      <c r="G1330">
        <v>0</v>
      </c>
      <c r="H1330">
        <v>0</v>
      </c>
      <c r="I1330">
        <v>0</v>
      </c>
      <c r="J1330">
        <v>0</v>
      </c>
      <c r="K1330">
        <v>29</v>
      </c>
      <c r="L1330">
        <v>0</v>
      </c>
      <c r="M1330">
        <v>6</v>
      </c>
      <c r="N1330">
        <v>0</v>
      </c>
      <c r="O1330">
        <v>13</v>
      </c>
      <c r="P1330">
        <v>0</v>
      </c>
      <c r="Q1330">
        <v>0</v>
      </c>
      <c r="R1330">
        <v>0</v>
      </c>
      <c r="S1330">
        <v>0</v>
      </c>
      <c r="T1330">
        <v>0</v>
      </c>
      <c r="U1330">
        <v>0</v>
      </c>
      <c r="V1330">
        <v>0</v>
      </c>
      <c r="Y1330">
        <v>1</v>
      </c>
      <c r="Z1330">
        <v>0</v>
      </c>
      <c r="AA1330">
        <v>0</v>
      </c>
      <c r="AB1330">
        <v>0</v>
      </c>
      <c r="AC1330">
        <v>0</v>
      </c>
      <c r="AI1330">
        <v>0</v>
      </c>
      <c r="AO1330">
        <v>10.98</v>
      </c>
      <c r="AP1330">
        <v>2</v>
      </c>
      <c r="AQ1330">
        <v>907.2</v>
      </c>
      <c r="AR1330">
        <v>74</v>
      </c>
      <c r="AX1330" t="s">
        <v>407</v>
      </c>
    </row>
    <row r="1331" spans="1:50" x14ac:dyDescent="0.45">
      <c r="A1331">
        <v>20126</v>
      </c>
      <c r="B1331">
        <v>1</v>
      </c>
      <c r="C1331">
        <v>60.7</v>
      </c>
      <c r="D1331">
        <v>0</v>
      </c>
      <c r="E1331">
        <v>0</v>
      </c>
      <c r="F1331">
        <v>0</v>
      </c>
      <c r="G1331">
        <v>0</v>
      </c>
      <c r="H1331">
        <v>0</v>
      </c>
      <c r="I1331">
        <v>0</v>
      </c>
      <c r="J1331">
        <v>4.2</v>
      </c>
      <c r="K1331">
        <v>21.2</v>
      </c>
      <c r="L1331">
        <v>0</v>
      </c>
      <c r="M1331">
        <v>5.4</v>
      </c>
      <c r="N1331">
        <v>0</v>
      </c>
      <c r="O1331">
        <v>8.1999999999999993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0</v>
      </c>
      <c r="V1331">
        <v>0</v>
      </c>
      <c r="Y1331">
        <v>1</v>
      </c>
      <c r="Z1331">
        <v>0</v>
      </c>
      <c r="AA1331">
        <v>0</v>
      </c>
      <c r="AB1331">
        <v>0</v>
      </c>
      <c r="AC1331">
        <v>0</v>
      </c>
      <c r="AI1331">
        <v>0</v>
      </c>
      <c r="AO1331">
        <v>7.74</v>
      </c>
      <c r="AP1331">
        <v>2.5</v>
      </c>
      <c r="AQ1331">
        <v>875.69999999999993</v>
      </c>
      <c r="AR1331">
        <v>47</v>
      </c>
      <c r="AX1331" t="s">
        <v>409</v>
      </c>
    </row>
    <row r="1332" spans="1:50" x14ac:dyDescent="0.45">
      <c r="A1332">
        <v>20127</v>
      </c>
      <c r="B1332">
        <v>1</v>
      </c>
      <c r="C1332">
        <v>71.099999999999994</v>
      </c>
      <c r="D1332">
        <v>0</v>
      </c>
      <c r="E1332">
        <v>0</v>
      </c>
      <c r="F1332">
        <v>0</v>
      </c>
      <c r="G1332">
        <v>0</v>
      </c>
      <c r="H1332">
        <v>0</v>
      </c>
      <c r="I1332">
        <v>0</v>
      </c>
      <c r="J1332">
        <v>3.4</v>
      </c>
      <c r="K1332">
        <v>17.399999999999999</v>
      </c>
      <c r="L1332">
        <v>0</v>
      </c>
      <c r="M1332">
        <v>0</v>
      </c>
      <c r="N1332">
        <v>0</v>
      </c>
      <c r="O1332">
        <v>8.1</v>
      </c>
      <c r="P1332">
        <v>0</v>
      </c>
      <c r="Q1332">
        <v>0</v>
      </c>
      <c r="R1332">
        <v>0</v>
      </c>
      <c r="S1332">
        <v>0</v>
      </c>
      <c r="T1332">
        <v>0</v>
      </c>
      <c r="U1332">
        <v>0</v>
      </c>
      <c r="V1332">
        <v>0</v>
      </c>
      <c r="Y1332">
        <v>1</v>
      </c>
      <c r="Z1332">
        <v>0</v>
      </c>
      <c r="AA1332">
        <v>0</v>
      </c>
      <c r="AB1332">
        <v>0</v>
      </c>
      <c r="AC1332">
        <v>0</v>
      </c>
      <c r="AI1332">
        <v>0</v>
      </c>
      <c r="AO1332">
        <v>6.6539999999999999</v>
      </c>
      <c r="AP1332">
        <v>0.56666666666666665</v>
      </c>
      <c r="AQ1332">
        <v>858.54</v>
      </c>
      <c r="AR1332">
        <v>55.3</v>
      </c>
      <c r="AX1332" t="s">
        <v>383</v>
      </c>
    </row>
    <row r="1333" spans="1:50" x14ac:dyDescent="0.45">
      <c r="A1333">
        <v>20128</v>
      </c>
      <c r="B1333">
        <v>1</v>
      </c>
      <c r="C1333">
        <v>60</v>
      </c>
      <c r="D1333">
        <v>0</v>
      </c>
      <c r="E1333">
        <v>0</v>
      </c>
      <c r="F1333">
        <v>0</v>
      </c>
      <c r="G1333">
        <v>0</v>
      </c>
      <c r="H1333">
        <v>0</v>
      </c>
      <c r="I1333">
        <v>0</v>
      </c>
      <c r="J1333">
        <v>5</v>
      </c>
      <c r="K1333">
        <v>29</v>
      </c>
      <c r="L1333">
        <v>0</v>
      </c>
      <c r="M1333">
        <v>0</v>
      </c>
      <c r="N1333">
        <v>0</v>
      </c>
      <c r="O1333">
        <v>6</v>
      </c>
      <c r="P1333">
        <v>0</v>
      </c>
      <c r="Q1333">
        <v>0</v>
      </c>
      <c r="R1333">
        <v>0</v>
      </c>
      <c r="S1333">
        <v>0</v>
      </c>
      <c r="T1333">
        <v>0</v>
      </c>
      <c r="U1333">
        <v>0</v>
      </c>
      <c r="V1333">
        <v>0</v>
      </c>
      <c r="Y1333">
        <v>1</v>
      </c>
      <c r="Z1333">
        <v>0</v>
      </c>
      <c r="AA1333">
        <v>0</v>
      </c>
      <c r="AB1333">
        <v>0</v>
      </c>
      <c r="AC1333">
        <v>0</v>
      </c>
      <c r="AI1333">
        <v>0</v>
      </c>
      <c r="AO1333">
        <v>9.4400000000000013</v>
      </c>
      <c r="AP1333">
        <v>0.83333333333333337</v>
      </c>
      <c r="AQ1333">
        <v>847.5</v>
      </c>
      <c r="AR1333">
        <v>43</v>
      </c>
      <c r="AX1333" t="s">
        <v>401</v>
      </c>
    </row>
    <row r="1334" spans="1:50" x14ac:dyDescent="0.45">
      <c r="A1334">
        <v>20129</v>
      </c>
      <c r="B1334">
        <v>1</v>
      </c>
      <c r="C1334">
        <v>50.9</v>
      </c>
      <c r="D1334">
        <v>0</v>
      </c>
      <c r="E1334">
        <v>0</v>
      </c>
      <c r="F1334">
        <v>0</v>
      </c>
      <c r="G1334">
        <v>0</v>
      </c>
      <c r="H1334">
        <v>0</v>
      </c>
      <c r="I1334">
        <v>0</v>
      </c>
      <c r="J1334">
        <v>7.1</v>
      </c>
      <c r="K1334">
        <v>29</v>
      </c>
      <c r="L1334">
        <v>0</v>
      </c>
      <c r="M1334">
        <v>0</v>
      </c>
      <c r="N1334">
        <v>0</v>
      </c>
      <c r="O1334">
        <v>13</v>
      </c>
      <c r="P1334">
        <v>0</v>
      </c>
      <c r="Q1334">
        <v>0</v>
      </c>
      <c r="R1334">
        <v>0</v>
      </c>
      <c r="S1334">
        <v>0</v>
      </c>
      <c r="T1334">
        <v>0</v>
      </c>
      <c r="U1334">
        <v>0</v>
      </c>
      <c r="V1334">
        <v>0</v>
      </c>
      <c r="Y1334">
        <v>1</v>
      </c>
      <c r="Z1334">
        <v>0</v>
      </c>
      <c r="AA1334">
        <v>0</v>
      </c>
      <c r="AB1334">
        <v>0</v>
      </c>
      <c r="AC1334">
        <v>0</v>
      </c>
      <c r="AI1334">
        <v>0</v>
      </c>
      <c r="AO1334">
        <v>10.98</v>
      </c>
      <c r="AP1334">
        <v>1.1833333333333333</v>
      </c>
      <c r="AQ1334">
        <v>833.01</v>
      </c>
      <c r="AR1334">
        <v>55</v>
      </c>
      <c r="AX1334" t="s">
        <v>410</v>
      </c>
    </row>
    <row r="1335" spans="1:50" x14ac:dyDescent="0.45">
      <c r="A1335">
        <v>20130</v>
      </c>
      <c r="B1335">
        <v>1</v>
      </c>
      <c r="C1335">
        <v>55</v>
      </c>
      <c r="D1335">
        <v>0</v>
      </c>
      <c r="E1335">
        <v>0</v>
      </c>
      <c r="F1335">
        <v>0</v>
      </c>
      <c r="G1335">
        <v>0</v>
      </c>
      <c r="H1335">
        <v>0</v>
      </c>
      <c r="I1335">
        <v>0</v>
      </c>
      <c r="J1335">
        <v>5</v>
      </c>
      <c r="K1335">
        <v>29</v>
      </c>
      <c r="L1335">
        <v>0</v>
      </c>
      <c r="M1335">
        <v>0</v>
      </c>
      <c r="N1335">
        <v>0</v>
      </c>
      <c r="O1335">
        <v>11</v>
      </c>
      <c r="P1335">
        <v>0</v>
      </c>
      <c r="Q1335">
        <v>0</v>
      </c>
      <c r="R1335">
        <v>0</v>
      </c>
      <c r="S1335">
        <v>0</v>
      </c>
      <c r="T1335">
        <v>0</v>
      </c>
      <c r="U1335">
        <v>0</v>
      </c>
      <c r="V1335">
        <v>0</v>
      </c>
      <c r="Y1335">
        <v>1</v>
      </c>
      <c r="Z1335">
        <v>0</v>
      </c>
      <c r="AA1335">
        <v>0</v>
      </c>
      <c r="AB1335">
        <v>0</v>
      </c>
      <c r="AC1335">
        <v>0</v>
      </c>
      <c r="AI1335">
        <v>0</v>
      </c>
      <c r="AO1335">
        <v>10.540000000000001</v>
      </c>
      <c r="AP1335">
        <v>0.83333333333333337</v>
      </c>
      <c r="AQ1335">
        <v>847.5</v>
      </c>
      <c r="AR1335">
        <v>50</v>
      </c>
      <c r="AX1335" t="s">
        <v>411</v>
      </c>
    </row>
    <row r="1336" spans="1:50" x14ac:dyDescent="0.45">
      <c r="A1336">
        <v>20131</v>
      </c>
      <c r="B1336">
        <v>1</v>
      </c>
      <c r="C1336">
        <v>53.5</v>
      </c>
      <c r="D1336">
        <v>0</v>
      </c>
      <c r="E1336">
        <v>0</v>
      </c>
      <c r="F1336">
        <v>0</v>
      </c>
      <c r="G1336">
        <v>0</v>
      </c>
      <c r="H1336">
        <v>0</v>
      </c>
      <c r="I1336">
        <v>0</v>
      </c>
      <c r="J1336">
        <v>4.5</v>
      </c>
      <c r="K1336">
        <v>29</v>
      </c>
      <c r="L1336">
        <v>0</v>
      </c>
      <c r="M1336">
        <v>0</v>
      </c>
      <c r="N1336">
        <v>0</v>
      </c>
      <c r="O1336">
        <v>13</v>
      </c>
      <c r="P1336">
        <v>0</v>
      </c>
      <c r="Q1336">
        <v>0</v>
      </c>
      <c r="R1336">
        <v>0</v>
      </c>
      <c r="S1336">
        <v>0</v>
      </c>
      <c r="T1336">
        <v>0</v>
      </c>
      <c r="U1336">
        <v>0</v>
      </c>
      <c r="V1336">
        <v>0</v>
      </c>
      <c r="Y1336">
        <v>1</v>
      </c>
      <c r="Z1336">
        <v>0</v>
      </c>
      <c r="AA1336">
        <v>0</v>
      </c>
      <c r="AB1336">
        <v>0</v>
      </c>
      <c r="AC1336">
        <v>0</v>
      </c>
      <c r="AI1336">
        <v>0</v>
      </c>
      <c r="AO1336">
        <v>10.98</v>
      </c>
      <c r="AP1336">
        <v>0.75</v>
      </c>
      <c r="AQ1336">
        <v>850.95</v>
      </c>
      <c r="AR1336">
        <v>60</v>
      </c>
      <c r="AX1336" t="s">
        <v>411</v>
      </c>
    </row>
    <row r="1337" spans="1:50" x14ac:dyDescent="0.45">
      <c r="A1337">
        <v>20132</v>
      </c>
      <c r="B1337">
        <v>1</v>
      </c>
      <c r="C1337">
        <v>53.4</v>
      </c>
      <c r="D1337">
        <v>0</v>
      </c>
      <c r="E1337">
        <v>0</v>
      </c>
      <c r="F1337">
        <v>0</v>
      </c>
      <c r="G1337">
        <v>0</v>
      </c>
      <c r="H1337">
        <v>0</v>
      </c>
      <c r="I1337">
        <v>0</v>
      </c>
      <c r="J1337">
        <v>4.5999999999999996</v>
      </c>
      <c r="K1337">
        <v>29</v>
      </c>
      <c r="L1337">
        <v>0</v>
      </c>
      <c r="M1337">
        <v>0</v>
      </c>
      <c r="N1337">
        <v>0</v>
      </c>
      <c r="O1337">
        <v>13</v>
      </c>
      <c r="P1337">
        <v>0</v>
      </c>
      <c r="Q1337">
        <v>0</v>
      </c>
      <c r="R1337">
        <v>0</v>
      </c>
      <c r="S1337">
        <v>0</v>
      </c>
      <c r="T1337">
        <v>0</v>
      </c>
      <c r="U1337">
        <v>0</v>
      </c>
      <c r="V1337">
        <v>0</v>
      </c>
      <c r="Y1337">
        <v>1</v>
      </c>
      <c r="Z1337">
        <v>0</v>
      </c>
      <c r="AA1337">
        <v>0</v>
      </c>
      <c r="AB1337">
        <v>0</v>
      </c>
      <c r="AC1337">
        <v>0</v>
      </c>
      <c r="AI1337">
        <v>0</v>
      </c>
      <c r="AO1337">
        <v>10.98</v>
      </c>
      <c r="AP1337">
        <v>0.76666666666666661</v>
      </c>
      <c r="AQ1337">
        <v>850.26</v>
      </c>
      <c r="AR1337">
        <v>47.8</v>
      </c>
      <c r="AX1337" t="s">
        <v>412</v>
      </c>
    </row>
    <row r="1338" spans="1:50" x14ac:dyDescent="0.45">
      <c r="A1338">
        <v>20133</v>
      </c>
      <c r="B1338">
        <v>1</v>
      </c>
      <c r="C1338">
        <v>60</v>
      </c>
      <c r="D1338">
        <v>0</v>
      </c>
      <c r="E1338">
        <v>0</v>
      </c>
      <c r="F1338">
        <v>0</v>
      </c>
      <c r="G1338">
        <v>0</v>
      </c>
      <c r="H1338">
        <v>0</v>
      </c>
      <c r="I1338">
        <v>0</v>
      </c>
      <c r="J1338">
        <v>6</v>
      </c>
      <c r="K1338">
        <v>35</v>
      </c>
      <c r="L1338">
        <v>0</v>
      </c>
      <c r="M1338">
        <v>0</v>
      </c>
      <c r="N1338">
        <v>0</v>
      </c>
      <c r="O1338">
        <v>2</v>
      </c>
      <c r="P1338">
        <v>0</v>
      </c>
      <c r="Q1338">
        <v>0</v>
      </c>
      <c r="R1338">
        <v>0</v>
      </c>
      <c r="S1338">
        <v>0</v>
      </c>
      <c r="T1338">
        <v>0</v>
      </c>
      <c r="U1338">
        <v>0</v>
      </c>
      <c r="V1338">
        <v>1</v>
      </c>
      <c r="X1338">
        <v>35</v>
      </c>
      <c r="Y1338">
        <v>0</v>
      </c>
      <c r="Z1338">
        <v>1</v>
      </c>
      <c r="AA1338">
        <v>0</v>
      </c>
      <c r="AB1338">
        <v>0</v>
      </c>
      <c r="AC1338">
        <v>1</v>
      </c>
      <c r="AD1338">
        <v>900</v>
      </c>
      <c r="AI1338">
        <v>0</v>
      </c>
      <c r="AO1338">
        <v>10.24</v>
      </c>
      <c r="AP1338">
        <v>1</v>
      </c>
      <c r="AQ1338">
        <v>840.6</v>
      </c>
      <c r="AR1338">
        <v>47.63</v>
      </c>
      <c r="AT1338">
        <v>577</v>
      </c>
      <c r="AX1338" t="s">
        <v>413</v>
      </c>
    </row>
    <row r="1339" spans="1:50" x14ac:dyDescent="0.45">
      <c r="A1339">
        <v>20134</v>
      </c>
      <c r="B1339">
        <v>1</v>
      </c>
      <c r="C1339">
        <v>55</v>
      </c>
      <c r="D1339">
        <v>0</v>
      </c>
      <c r="E1339">
        <v>0</v>
      </c>
      <c r="F1339">
        <v>0</v>
      </c>
      <c r="G1339">
        <v>0</v>
      </c>
      <c r="H1339">
        <v>0</v>
      </c>
      <c r="I1339">
        <v>0</v>
      </c>
      <c r="J1339">
        <v>3</v>
      </c>
      <c r="K1339">
        <v>40</v>
      </c>
      <c r="L1339">
        <v>0</v>
      </c>
      <c r="M1339">
        <v>0</v>
      </c>
      <c r="N1339">
        <v>0</v>
      </c>
      <c r="O1339">
        <v>2</v>
      </c>
      <c r="P1339">
        <v>0</v>
      </c>
      <c r="Q1339">
        <v>0</v>
      </c>
      <c r="R1339">
        <v>0</v>
      </c>
      <c r="S1339">
        <v>0</v>
      </c>
      <c r="T1339">
        <v>0</v>
      </c>
      <c r="U1339">
        <v>0</v>
      </c>
      <c r="V1339">
        <v>1</v>
      </c>
      <c r="X1339">
        <v>90</v>
      </c>
      <c r="Y1339">
        <v>0</v>
      </c>
      <c r="Z1339">
        <v>1</v>
      </c>
      <c r="AA1339">
        <v>0</v>
      </c>
      <c r="AB1339">
        <v>0</v>
      </c>
      <c r="AC1339">
        <v>1</v>
      </c>
      <c r="AD1339">
        <v>650</v>
      </c>
      <c r="AE1339">
        <v>0.16666666666666666</v>
      </c>
      <c r="AF1339">
        <v>0</v>
      </c>
      <c r="AG1339">
        <v>1</v>
      </c>
      <c r="AH1339">
        <v>0</v>
      </c>
      <c r="AI1339">
        <v>0</v>
      </c>
      <c r="AO1339">
        <v>11.64</v>
      </c>
      <c r="AP1339">
        <v>0.5</v>
      </c>
      <c r="AQ1339">
        <v>861.3</v>
      </c>
      <c r="AR1339">
        <v>57.8</v>
      </c>
      <c r="AT1339">
        <v>589</v>
      </c>
      <c r="AU1339">
        <v>17.8</v>
      </c>
      <c r="AX1339" t="s">
        <v>414</v>
      </c>
    </row>
    <row r="1340" spans="1:50" x14ac:dyDescent="0.45">
      <c r="A1340">
        <v>20135</v>
      </c>
      <c r="B1340">
        <v>1</v>
      </c>
      <c r="C1340">
        <v>52.710000000000008</v>
      </c>
      <c r="D1340">
        <v>0</v>
      </c>
      <c r="E1340">
        <v>0</v>
      </c>
      <c r="F1340">
        <v>0</v>
      </c>
      <c r="G1340">
        <v>0</v>
      </c>
      <c r="H1340">
        <v>0</v>
      </c>
      <c r="I1340">
        <v>0</v>
      </c>
      <c r="J1340">
        <v>4.8099999999999996</v>
      </c>
      <c r="K1340">
        <v>22.28</v>
      </c>
      <c r="L1340">
        <v>4.7699999999999996</v>
      </c>
      <c r="M1340">
        <v>0</v>
      </c>
      <c r="N1340">
        <v>0</v>
      </c>
      <c r="O1340">
        <v>15.43</v>
      </c>
      <c r="P1340">
        <v>0</v>
      </c>
      <c r="Q1340">
        <v>0</v>
      </c>
      <c r="R1340">
        <v>0</v>
      </c>
      <c r="S1340">
        <v>0</v>
      </c>
      <c r="T1340">
        <v>0</v>
      </c>
      <c r="U1340">
        <v>0</v>
      </c>
      <c r="V1340">
        <v>0</v>
      </c>
      <c r="Y1340">
        <v>1</v>
      </c>
      <c r="Z1340">
        <v>0</v>
      </c>
      <c r="AA1340">
        <v>0</v>
      </c>
      <c r="AB1340">
        <v>0</v>
      </c>
      <c r="AC1340">
        <v>1</v>
      </c>
      <c r="AD1340">
        <v>1200</v>
      </c>
      <c r="AE1340">
        <v>30</v>
      </c>
      <c r="AF1340">
        <v>1</v>
      </c>
      <c r="AG1340">
        <v>0</v>
      </c>
      <c r="AH1340">
        <v>0</v>
      </c>
      <c r="AI1340">
        <v>0</v>
      </c>
      <c r="AO1340">
        <v>14.403000000000002</v>
      </c>
      <c r="AP1340">
        <v>0.80166666666666664</v>
      </c>
      <c r="AQ1340">
        <v>803.49599999999998</v>
      </c>
      <c r="AR1340">
        <v>87.09</v>
      </c>
      <c r="AX1340" t="s">
        <v>415</v>
      </c>
    </row>
    <row r="1341" spans="1:50" x14ac:dyDescent="0.45">
      <c r="A1341">
        <v>20136</v>
      </c>
      <c r="B1341">
        <v>1</v>
      </c>
      <c r="C1341">
        <v>60.430000000000007</v>
      </c>
      <c r="D1341">
        <v>0</v>
      </c>
      <c r="E1341">
        <v>0</v>
      </c>
      <c r="F1341">
        <v>0</v>
      </c>
      <c r="G1341">
        <v>0</v>
      </c>
      <c r="H1341">
        <v>0</v>
      </c>
      <c r="I1341">
        <v>0</v>
      </c>
      <c r="J1341">
        <v>11.66</v>
      </c>
      <c r="K1341">
        <v>10.67</v>
      </c>
      <c r="L1341">
        <v>0</v>
      </c>
      <c r="M1341">
        <v>4.41</v>
      </c>
      <c r="N1341">
        <v>0</v>
      </c>
      <c r="O1341">
        <v>12.83</v>
      </c>
      <c r="P1341">
        <v>0</v>
      </c>
      <c r="Q1341">
        <v>0</v>
      </c>
      <c r="R1341">
        <v>0</v>
      </c>
      <c r="S1341">
        <v>0</v>
      </c>
      <c r="T1341">
        <v>0</v>
      </c>
      <c r="U1341">
        <v>0</v>
      </c>
      <c r="V1341">
        <v>0</v>
      </c>
      <c r="Y1341">
        <v>1</v>
      </c>
      <c r="Z1341">
        <v>0</v>
      </c>
      <c r="AA1341">
        <v>0</v>
      </c>
      <c r="AB1341">
        <v>0</v>
      </c>
      <c r="AC1341">
        <v>1</v>
      </c>
      <c r="AD1341">
        <v>1200</v>
      </c>
      <c r="AE1341">
        <v>30</v>
      </c>
      <c r="AF1341">
        <v>1</v>
      </c>
      <c r="AG1341">
        <v>0</v>
      </c>
      <c r="AH1341">
        <v>0</v>
      </c>
      <c r="AI1341">
        <v>0</v>
      </c>
      <c r="AO1341">
        <v>5.8102</v>
      </c>
      <c r="AP1341">
        <v>3.4133333333333331</v>
      </c>
      <c r="AQ1341">
        <v>820.06799999999998</v>
      </c>
      <c r="AR1341">
        <v>69.91</v>
      </c>
      <c r="AX1341" t="s">
        <v>415</v>
      </c>
    </row>
    <row r="1342" spans="1:50" x14ac:dyDescent="0.45">
      <c r="A1342">
        <v>20137</v>
      </c>
      <c r="B1342">
        <v>1</v>
      </c>
      <c r="C1342">
        <v>74</v>
      </c>
      <c r="D1342">
        <v>0</v>
      </c>
      <c r="E1342">
        <v>0</v>
      </c>
      <c r="F1342">
        <v>0</v>
      </c>
      <c r="G1342">
        <v>0</v>
      </c>
      <c r="H1342">
        <v>0</v>
      </c>
      <c r="I1342">
        <v>0</v>
      </c>
      <c r="J1342">
        <v>13</v>
      </c>
      <c r="K1342">
        <v>13</v>
      </c>
      <c r="L1342">
        <v>0</v>
      </c>
      <c r="M1342">
        <v>0</v>
      </c>
      <c r="N1342">
        <v>0</v>
      </c>
      <c r="O1342">
        <v>0</v>
      </c>
      <c r="P1342">
        <v>0</v>
      </c>
      <c r="Q1342">
        <v>0</v>
      </c>
      <c r="R1342">
        <v>0</v>
      </c>
      <c r="S1342">
        <v>0</v>
      </c>
      <c r="T1342">
        <v>0</v>
      </c>
      <c r="U1342">
        <v>0</v>
      </c>
      <c r="V1342">
        <v>0</v>
      </c>
      <c r="Y1342">
        <v>1</v>
      </c>
      <c r="Z1342">
        <v>0</v>
      </c>
      <c r="AA1342">
        <v>0</v>
      </c>
      <c r="AB1342">
        <v>0</v>
      </c>
      <c r="AC1342">
        <v>0</v>
      </c>
      <c r="AI1342">
        <v>0</v>
      </c>
      <c r="AO1342">
        <v>3.6400000000000006</v>
      </c>
      <c r="AP1342">
        <v>2.1666666666666665</v>
      </c>
      <c r="AQ1342">
        <v>792.3</v>
      </c>
      <c r="AR1342">
        <v>77</v>
      </c>
      <c r="AX1342" t="s">
        <v>410</v>
      </c>
    </row>
    <row r="1343" spans="1:50" x14ac:dyDescent="0.45">
      <c r="A1343">
        <v>20138</v>
      </c>
      <c r="B1343">
        <v>1</v>
      </c>
      <c r="C1343">
        <v>74</v>
      </c>
      <c r="D1343">
        <v>0</v>
      </c>
      <c r="E1343">
        <v>0</v>
      </c>
      <c r="F1343">
        <v>0</v>
      </c>
      <c r="G1343">
        <v>0</v>
      </c>
      <c r="H1343">
        <v>0</v>
      </c>
      <c r="I1343">
        <v>0</v>
      </c>
      <c r="J1343">
        <v>13</v>
      </c>
      <c r="K1343">
        <v>13</v>
      </c>
      <c r="L1343">
        <v>0</v>
      </c>
      <c r="M1343">
        <v>0</v>
      </c>
      <c r="N1343">
        <v>0</v>
      </c>
      <c r="O1343">
        <v>0</v>
      </c>
      <c r="P1343">
        <v>0</v>
      </c>
      <c r="Q1343">
        <v>0</v>
      </c>
      <c r="R1343">
        <v>0</v>
      </c>
      <c r="S1343">
        <v>0</v>
      </c>
      <c r="T1343">
        <v>0</v>
      </c>
      <c r="U1343">
        <v>0</v>
      </c>
      <c r="V1343">
        <v>0</v>
      </c>
      <c r="Y1343">
        <v>1</v>
      </c>
      <c r="Z1343">
        <v>0</v>
      </c>
      <c r="AA1343">
        <v>0</v>
      </c>
      <c r="AB1343">
        <v>0</v>
      </c>
      <c r="AC1343">
        <v>1</v>
      </c>
      <c r="AD1343">
        <v>1000</v>
      </c>
      <c r="AE1343">
        <v>1</v>
      </c>
      <c r="AF1343">
        <v>1</v>
      </c>
      <c r="AG1343">
        <v>0</v>
      </c>
      <c r="AH1343">
        <v>0</v>
      </c>
      <c r="AI1343">
        <v>0</v>
      </c>
      <c r="AO1343">
        <v>3.6400000000000006</v>
      </c>
      <c r="AP1343">
        <v>2.1666666666666665</v>
      </c>
      <c r="AQ1343">
        <v>792.3</v>
      </c>
      <c r="AR1343">
        <v>79</v>
      </c>
      <c r="AS1343">
        <v>900</v>
      </c>
      <c r="AT1343">
        <v>1030</v>
      </c>
      <c r="AU1343">
        <v>15</v>
      </c>
      <c r="AX1343" t="s">
        <v>416</v>
      </c>
    </row>
    <row r="1344" spans="1:50" x14ac:dyDescent="0.45">
      <c r="A1344">
        <v>20139</v>
      </c>
      <c r="B1344">
        <v>1</v>
      </c>
      <c r="C1344">
        <v>74</v>
      </c>
      <c r="D1344">
        <v>0</v>
      </c>
      <c r="E1344">
        <v>0</v>
      </c>
      <c r="F1344">
        <v>0</v>
      </c>
      <c r="G1344">
        <v>0</v>
      </c>
      <c r="H1344">
        <v>0</v>
      </c>
      <c r="I1344">
        <v>0</v>
      </c>
      <c r="J1344">
        <v>13</v>
      </c>
      <c r="K1344">
        <v>13</v>
      </c>
      <c r="L1344">
        <v>0</v>
      </c>
      <c r="M1344">
        <v>0</v>
      </c>
      <c r="N1344">
        <v>0</v>
      </c>
      <c r="O1344">
        <v>0</v>
      </c>
      <c r="P1344">
        <v>0</v>
      </c>
      <c r="Q1344">
        <v>0</v>
      </c>
      <c r="R1344">
        <v>0</v>
      </c>
      <c r="S1344">
        <v>0</v>
      </c>
      <c r="T1344">
        <v>0</v>
      </c>
      <c r="U1344">
        <v>0</v>
      </c>
      <c r="V1344">
        <v>1</v>
      </c>
      <c r="X1344">
        <v>60</v>
      </c>
      <c r="Y1344">
        <v>0</v>
      </c>
      <c r="Z1344">
        <v>1</v>
      </c>
      <c r="AA1344">
        <v>0</v>
      </c>
      <c r="AB1344">
        <v>0</v>
      </c>
      <c r="AC1344">
        <v>0</v>
      </c>
      <c r="AI1344">
        <v>0</v>
      </c>
      <c r="AO1344">
        <v>3.6400000000000006</v>
      </c>
      <c r="AP1344">
        <v>2.1666666666666665</v>
      </c>
      <c r="AQ1344">
        <v>792.3</v>
      </c>
      <c r="AR1344">
        <v>47.5</v>
      </c>
      <c r="AT1344">
        <v>1075</v>
      </c>
      <c r="AX1344" t="s">
        <v>416</v>
      </c>
    </row>
    <row r="1345" spans="1:50" x14ac:dyDescent="0.45">
      <c r="A1345">
        <v>20140</v>
      </c>
      <c r="B1345">
        <v>1</v>
      </c>
      <c r="C1345">
        <v>74</v>
      </c>
      <c r="D1345">
        <v>0</v>
      </c>
      <c r="E1345">
        <v>0</v>
      </c>
      <c r="F1345">
        <v>0</v>
      </c>
      <c r="G1345">
        <v>0</v>
      </c>
      <c r="H1345">
        <v>0</v>
      </c>
      <c r="I1345">
        <v>0</v>
      </c>
      <c r="J1345">
        <v>13</v>
      </c>
      <c r="K1345">
        <v>13</v>
      </c>
      <c r="L1345">
        <v>0</v>
      </c>
      <c r="M1345">
        <v>0</v>
      </c>
      <c r="N1345">
        <v>0</v>
      </c>
      <c r="O1345">
        <v>0</v>
      </c>
      <c r="P1345">
        <v>0</v>
      </c>
      <c r="Q1345">
        <v>0</v>
      </c>
      <c r="R1345">
        <v>0</v>
      </c>
      <c r="S1345">
        <v>0</v>
      </c>
      <c r="T1345">
        <v>0</v>
      </c>
      <c r="U1345">
        <v>0</v>
      </c>
      <c r="V1345">
        <v>1</v>
      </c>
      <c r="X1345">
        <v>52</v>
      </c>
      <c r="Y1345">
        <v>0</v>
      </c>
      <c r="Z1345">
        <v>1</v>
      </c>
      <c r="AA1345">
        <v>0</v>
      </c>
      <c r="AB1345">
        <v>0</v>
      </c>
      <c r="AC1345">
        <v>0</v>
      </c>
      <c r="AI1345">
        <v>0</v>
      </c>
      <c r="AO1345">
        <v>3.6400000000000006</v>
      </c>
      <c r="AP1345">
        <v>2.1666666666666665</v>
      </c>
      <c r="AQ1345">
        <v>792.3</v>
      </c>
      <c r="AR1345">
        <v>52</v>
      </c>
      <c r="AS1345">
        <v>1270</v>
      </c>
      <c r="AT1345">
        <v>1280</v>
      </c>
      <c r="AU1345">
        <v>3</v>
      </c>
      <c r="AX1345" t="s">
        <v>416</v>
      </c>
    </row>
    <row r="1346" spans="1:50" x14ac:dyDescent="0.45">
      <c r="A1346">
        <v>20141</v>
      </c>
      <c r="B1346">
        <v>1</v>
      </c>
      <c r="C1346">
        <v>74</v>
      </c>
      <c r="D1346">
        <v>0</v>
      </c>
      <c r="E1346">
        <v>0</v>
      </c>
      <c r="F1346">
        <v>0</v>
      </c>
      <c r="G1346">
        <v>0</v>
      </c>
      <c r="H1346">
        <v>0</v>
      </c>
      <c r="I1346">
        <v>0</v>
      </c>
      <c r="J1346">
        <v>13</v>
      </c>
      <c r="K1346">
        <v>13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0</v>
      </c>
      <c r="S1346">
        <v>0</v>
      </c>
      <c r="T1346">
        <v>0</v>
      </c>
      <c r="U1346">
        <v>0</v>
      </c>
      <c r="V1346">
        <v>0</v>
      </c>
      <c r="Y1346">
        <v>1</v>
      </c>
      <c r="Z1346">
        <v>0</v>
      </c>
      <c r="AA1346">
        <v>0</v>
      </c>
      <c r="AB1346">
        <v>0</v>
      </c>
      <c r="AC1346">
        <v>1</v>
      </c>
      <c r="AD1346">
        <v>1000</v>
      </c>
      <c r="AE1346">
        <v>1</v>
      </c>
      <c r="AF1346">
        <v>1</v>
      </c>
      <c r="AG1346">
        <v>0</v>
      </c>
      <c r="AH1346">
        <v>0</v>
      </c>
      <c r="AI1346">
        <v>0</v>
      </c>
      <c r="AO1346">
        <v>3.6400000000000006</v>
      </c>
      <c r="AP1346">
        <v>2.1666666666666665</v>
      </c>
      <c r="AQ1346">
        <v>792.3</v>
      </c>
      <c r="AR1346">
        <v>60</v>
      </c>
      <c r="AS1346">
        <v>640</v>
      </c>
      <c r="AT1346">
        <v>860</v>
      </c>
      <c r="AU1346">
        <v>15</v>
      </c>
      <c r="AX1346" t="s">
        <v>416</v>
      </c>
    </row>
    <row r="1347" spans="1:50" x14ac:dyDescent="0.45">
      <c r="A1347">
        <v>20142</v>
      </c>
      <c r="B1347">
        <v>1</v>
      </c>
      <c r="C1347">
        <v>67</v>
      </c>
      <c r="D1347">
        <v>0</v>
      </c>
      <c r="E1347">
        <v>0</v>
      </c>
      <c r="F1347">
        <v>0</v>
      </c>
      <c r="G1347">
        <v>0</v>
      </c>
      <c r="H1347">
        <v>0</v>
      </c>
      <c r="I1347">
        <v>0</v>
      </c>
      <c r="J1347">
        <v>14</v>
      </c>
      <c r="K1347">
        <v>19</v>
      </c>
      <c r="L1347">
        <v>0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0</v>
      </c>
      <c r="S1347">
        <v>0</v>
      </c>
      <c r="T1347">
        <v>0</v>
      </c>
      <c r="U1347">
        <v>0</v>
      </c>
      <c r="V1347">
        <v>0</v>
      </c>
      <c r="Y1347">
        <v>1</v>
      </c>
      <c r="Z1347">
        <v>0</v>
      </c>
      <c r="AA1347">
        <v>0</v>
      </c>
      <c r="AB1347">
        <v>0</v>
      </c>
      <c r="AC1347">
        <v>0</v>
      </c>
      <c r="AI1347">
        <v>0</v>
      </c>
      <c r="AO1347">
        <v>5.32</v>
      </c>
      <c r="AP1347">
        <v>2.3333333333333335</v>
      </c>
      <c r="AQ1347">
        <v>785.4</v>
      </c>
      <c r="AR1347">
        <v>14</v>
      </c>
      <c r="AX1347" t="s">
        <v>395</v>
      </c>
    </row>
    <row r="1348" spans="1:50" x14ac:dyDescent="0.45">
      <c r="A1348">
        <v>20143</v>
      </c>
      <c r="B1348">
        <v>1</v>
      </c>
      <c r="C1348">
        <v>70</v>
      </c>
      <c r="D1348">
        <v>0</v>
      </c>
      <c r="E1348">
        <v>0</v>
      </c>
      <c r="F1348">
        <v>0</v>
      </c>
      <c r="G1348">
        <v>0</v>
      </c>
      <c r="H1348">
        <v>0</v>
      </c>
      <c r="I1348">
        <v>0</v>
      </c>
      <c r="J1348">
        <v>7</v>
      </c>
      <c r="K1348">
        <v>23</v>
      </c>
      <c r="L1348">
        <v>0</v>
      </c>
      <c r="M1348">
        <v>0</v>
      </c>
      <c r="N1348">
        <v>0</v>
      </c>
      <c r="O1348">
        <v>0</v>
      </c>
      <c r="P1348">
        <v>0</v>
      </c>
      <c r="Q1348">
        <v>0</v>
      </c>
      <c r="R1348">
        <v>0</v>
      </c>
      <c r="S1348">
        <v>0</v>
      </c>
      <c r="T1348">
        <v>0</v>
      </c>
      <c r="U1348">
        <v>0</v>
      </c>
      <c r="V1348">
        <v>0</v>
      </c>
      <c r="Y1348">
        <v>1</v>
      </c>
      <c r="Z1348">
        <v>0</v>
      </c>
      <c r="AA1348">
        <v>0</v>
      </c>
      <c r="AB1348">
        <v>0</v>
      </c>
      <c r="AC1348">
        <v>1</v>
      </c>
      <c r="AD1348">
        <v>1000</v>
      </c>
      <c r="AE1348">
        <v>1</v>
      </c>
      <c r="AF1348">
        <v>1</v>
      </c>
      <c r="AG1348">
        <v>0</v>
      </c>
      <c r="AH1348">
        <v>0</v>
      </c>
      <c r="AI1348">
        <v>0</v>
      </c>
      <c r="AO1348">
        <v>6.44</v>
      </c>
      <c r="AP1348">
        <v>1.1666666666666667</v>
      </c>
      <c r="AQ1348">
        <v>833.7</v>
      </c>
      <c r="AR1348">
        <v>36</v>
      </c>
      <c r="AV1348">
        <v>237</v>
      </c>
      <c r="AX1348" t="s">
        <v>417</v>
      </c>
    </row>
    <row r="1349" spans="1:50" x14ac:dyDescent="0.45">
      <c r="A1349">
        <v>20144</v>
      </c>
      <c r="B1349">
        <v>1</v>
      </c>
      <c r="C1349">
        <v>65</v>
      </c>
      <c r="D1349">
        <v>0</v>
      </c>
      <c r="E1349">
        <v>0</v>
      </c>
      <c r="F1349">
        <v>0</v>
      </c>
      <c r="G1349">
        <v>0</v>
      </c>
      <c r="H1349">
        <v>0</v>
      </c>
      <c r="I1349">
        <v>0</v>
      </c>
      <c r="J1349">
        <v>7</v>
      </c>
      <c r="K1349">
        <v>28</v>
      </c>
      <c r="L1349">
        <v>0</v>
      </c>
      <c r="M1349">
        <v>0</v>
      </c>
      <c r="N1349">
        <v>0</v>
      </c>
      <c r="O1349">
        <v>0</v>
      </c>
      <c r="P1349">
        <v>0</v>
      </c>
      <c r="Q1349">
        <v>0</v>
      </c>
      <c r="R1349">
        <v>0</v>
      </c>
      <c r="S1349">
        <v>0</v>
      </c>
      <c r="T1349">
        <v>0</v>
      </c>
      <c r="U1349">
        <v>0</v>
      </c>
      <c r="V1349">
        <v>0</v>
      </c>
      <c r="Y1349">
        <v>1</v>
      </c>
      <c r="Z1349">
        <v>0</v>
      </c>
      <c r="AA1349">
        <v>0</v>
      </c>
      <c r="AB1349">
        <v>0</v>
      </c>
      <c r="AC1349">
        <v>0</v>
      </c>
      <c r="AI1349">
        <v>0</v>
      </c>
      <c r="AO1349">
        <v>7.8400000000000007</v>
      </c>
      <c r="AP1349">
        <v>1.1666666666666667</v>
      </c>
      <c r="AQ1349">
        <v>833.7</v>
      </c>
      <c r="AR1349">
        <v>29</v>
      </c>
      <c r="AV1349">
        <v>194</v>
      </c>
      <c r="AX1349" t="s">
        <v>417</v>
      </c>
    </row>
    <row r="1350" spans="1:50" x14ac:dyDescent="0.45">
      <c r="A1350">
        <v>20145</v>
      </c>
      <c r="B1350">
        <v>1</v>
      </c>
      <c r="C1350">
        <v>60</v>
      </c>
      <c r="D1350">
        <v>0</v>
      </c>
      <c r="E1350">
        <v>0</v>
      </c>
      <c r="F1350">
        <v>0</v>
      </c>
      <c r="G1350">
        <v>0</v>
      </c>
      <c r="H1350">
        <v>0</v>
      </c>
      <c r="I1350">
        <v>0</v>
      </c>
      <c r="J1350">
        <v>7</v>
      </c>
      <c r="K1350">
        <v>33</v>
      </c>
      <c r="L1350">
        <v>0</v>
      </c>
      <c r="M1350">
        <v>0</v>
      </c>
      <c r="N1350">
        <v>0</v>
      </c>
      <c r="O1350">
        <v>0</v>
      </c>
      <c r="P1350">
        <v>0</v>
      </c>
      <c r="Q1350">
        <v>0</v>
      </c>
      <c r="R1350">
        <v>0</v>
      </c>
      <c r="S1350">
        <v>0</v>
      </c>
      <c r="T1350">
        <v>0</v>
      </c>
      <c r="U1350">
        <v>0</v>
      </c>
      <c r="V1350">
        <v>0</v>
      </c>
      <c r="Y1350">
        <v>1</v>
      </c>
      <c r="Z1350">
        <v>0</v>
      </c>
      <c r="AA1350">
        <v>0</v>
      </c>
      <c r="AB1350">
        <v>0</v>
      </c>
      <c r="AC1350">
        <v>0</v>
      </c>
      <c r="AI1350">
        <v>0</v>
      </c>
      <c r="AO1350">
        <v>9.24</v>
      </c>
      <c r="AP1350">
        <v>1.1666666666666667</v>
      </c>
      <c r="AQ1350">
        <v>833.7</v>
      </c>
      <c r="AR1350">
        <v>29</v>
      </c>
      <c r="AV1350">
        <v>181</v>
      </c>
      <c r="AX1350" t="s">
        <v>417</v>
      </c>
    </row>
    <row r="1351" spans="1:50" x14ac:dyDescent="0.45">
      <c r="A1351">
        <v>20146</v>
      </c>
      <c r="B1351">
        <v>1</v>
      </c>
      <c r="C1351">
        <v>51.8</v>
      </c>
      <c r="D1351">
        <v>0</v>
      </c>
      <c r="E1351">
        <v>0</v>
      </c>
      <c r="F1351">
        <v>0</v>
      </c>
      <c r="G1351">
        <v>0</v>
      </c>
      <c r="H1351">
        <v>0</v>
      </c>
      <c r="I1351">
        <v>0</v>
      </c>
      <c r="J1351">
        <v>7.1</v>
      </c>
      <c r="K1351">
        <v>41.1</v>
      </c>
      <c r="L1351">
        <v>0</v>
      </c>
      <c r="M1351">
        <v>0</v>
      </c>
      <c r="N1351">
        <v>0</v>
      </c>
      <c r="O1351">
        <v>0</v>
      </c>
      <c r="P1351">
        <v>0</v>
      </c>
      <c r="Q1351">
        <v>0</v>
      </c>
      <c r="R1351">
        <v>0</v>
      </c>
      <c r="S1351">
        <v>0</v>
      </c>
      <c r="T1351">
        <v>0</v>
      </c>
      <c r="U1351">
        <v>0</v>
      </c>
      <c r="V1351">
        <v>1</v>
      </c>
      <c r="X1351">
        <v>89</v>
      </c>
      <c r="Y1351">
        <v>0</v>
      </c>
      <c r="Z1351">
        <v>0</v>
      </c>
      <c r="AA1351">
        <v>1</v>
      </c>
      <c r="AB1351">
        <v>0</v>
      </c>
      <c r="AC1351">
        <v>1</v>
      </c>
      <c r="AD1351">
        <v>1000</v>
      </c>
      <c r="AE1351">
        <v>2</v>
      </c>
      <c r="AF1351">
        <v>1</v>
      </c>
      <c r="AG1351">
        <v>0</v>
      </c>
      <c r="AH1351">
        <v>0</v>
      </c>
      <c r="AI1351">
        <v>1</v>
      </c>
      <c r="AJ1351">
        <v>1000</v>
      </c>
      <c r="AK1351">
        <v>2</v>
      </c>
      <c r="AL1351">
        <v>1</v>
      </c>
      <c r="AM1351">
        <v>0</v>
      </c>
      <c r="AN1351">
        <v>0</v>
      </c>
      <c r="AO1351">
        <v>11.508000000000001</v>
      </c>
      <c r="AP1351">
        <v>1.1833333333333333</v>
      </c>
      <c r="AQ1351">
        <v>833.01</v>
      </c>
      <c r="AR1351">
        <v>65</v>
      </c>
      <c r="AS1351">
        <v>490</v>
      </c>
      <c r="AT1351">
        <v>490</v>
      </c>
      <c r="AU1351">
        <v>16</v>
      </c>
      <c r="AV1351">
        <v>490</v>
      </c>
      <c r="AX1351" t="s">
        <v>418</v>
      </c>
    </row>
    <row r="1352" spans="1:50" x14ac:dyDescent="0.45">
      <c r="A1352">
        <v>20147</v>
      </c>
      <c r="B1352">
        <v>1</v>
      </c>
      <c r="C1352">
        <v>65</v>
      </c>
      <c r="D1352">
        <v>0</v>
      </c>
      <c r="E1352">
        <v>0</v>
      </c>
      <c r="F1352">
        <v>0</v>
      </c>
      <c r="G1352">
        <v>0</v>
      </c>
      <c r="H1352">
        <v>2</v>
      </c>
      <c r="I1352">
        <v>0</v>
      </c>
      <c r="J1352">
        <v>0</v>
      </c>
      <c r="K1352">
        <v>23</v>
      </c>
      <c r="L1352">
        <v>0</v>
      </c>
      <c r="M1352">
        <v>0</v>
      </c>
      <c r="N1352">
        <v>0</v>
      </c>
      <c r="O1352">
        <v>0</v>
      </c>
      <c r="P1352">
        <v>0</v>
      </c>
      <c r="Q1352">
        <v>0</v>
      </c>
      <c r="R1352">
        <v>0</v>
      </c>
      <c r="S1352">
        <v>0</v>
      </c>
      <c r="T1352">
        <v>0</v>
      </c>
      <c r="U1352">
        <v>0</v>
      </c>
      <c r="V1352">
        <v>1</v>
      </c>
      <c r="X1352">
        <v>20</v>
      </c>
      <c r="Y1352">
        <v>0</v>
      </c>
      <c r="Z1352">
        <v>1</v>
      </c>
      <c r="AA1352">
        <v>0</v>
      </c>
      <c r="AB1352">
        <v>0</v>
      </c>
      <c r="AC1352">
        <v>1</v>
      </c>
      <c r="AD1352">
        <v>1000</v>
      </c>
      <c r="AE1352">
        <v>12</v>
      </c>
      <c r="AI1352">
        <v>1</v>
      </c>
      <c r="AJ1352">
        <v>800</v>
      </c>
      <c r="AK1352">
        <v>0.16666666666666666</v>
      </c>
      <c r="AL1352">
        <v>1</v>
      </c>
      <c r="AM1352">
        <v>0</v>
      </c>
      <c r="AN1352">
        <v>0</v>
      </c>
      <c r="AO1352">
        <v>12.24</v>
      </c>
      <c r="AP1352">
        <v>0</v>
      </c>
      <c r="AQ1352">
        <v>851.2</v>
      </c>
      <c r="AR1352">
        <v>79</v>
      </c>
      <c r="AS1352">
        <v>782</v>
      </c>
      <c r="AX1352" t="s">
        <v>419</v>
      </c>
    </row>
    <row r="1353" spans="1:50" x14ac:dyDescent="0.45">
      <c r="A1353">
        <v>20148</v>
      </c>
      <c r="B1353">
        <v>1</v>
      </c>
      <c r="C1353">
        <v>65</v>
      </c>
      <c r="D1353">
        <v>0</v>
      </c>
      <c r="E1353">
        <v>0</v>
      </c>
      <c r="F1353">
        <v>0</v>
      </c>
      <c r="G1353">
        <v>0</v>
      </c>
      <c r="H1353">
        <v>2</v>
      </c>
      <c r="I1353">
        <v>0</v>
      </c>
      <c r="J1353">
        <v>0</v>
      </c>
      <c r="K1353">
        <v>23</v>
      </c>
      <c r="L1353">
        <v>0</v>
      </c>
      <c r="M1353">
        <v>0</v>
      </c>
      <c r="N1353">
        <v>0</v>
      </c>
      <c r="O1353">
        <v>0</v>
      </c>
      <c r="P1353">
        <v>0</v>
      </c>
      <c r="Q1353">
        <v>0</v>
      </c>
      <c r="R1353">
        <v>0</v>
      </c>
      <c r="S1353">
        <v>0</v>
      </c>
      <c r="T1353">
        <v>0</v>
      </c>
      <c r="U1353">
        <v>0</v>
      </c>
      <c r="V1353">
        <v>1</v>
      </c>
      <c r="X1353">
        <v>20</v>
      </c>
      <c r="Y1353">
        <v>0</v>
      </c>
      <c r="Z1353">
        <v>1</v>
      </c>
      <c r="AA1353">
        <v>0</v>
      </c>
      <c r="AB1353">
        <v>0</v>
      </c>
      <c r="AC1353">
        <v>1</v>
      </c>
      <c r="AD1353">
        <v>1000</v>
      </c>
      <c r="AE1353">
        <v>12</v>
      </c>
      <c r="AI1353">
        <v>1</v>
      </c>
      <c r="AJ1353">
        <v>800</v>
      </c>
      <c r="AK1353">
        <v>0.16666666666666666</v>
      </c>
      <c r="AL1353">
        <v>1</v>
      </c>
      <c r="AM1353">
        <v>0</v>
      </c>
      <c r="AN1353">
        <v>0</v>
      </c>
      <c r="AO1353">
        <v>12.24</v>
      </c>
      <c r="AP1353">
        <v>0</v>
      </c>
      <c r="AQ1353">
        <v>851.2</v>
      </c>
      <c r="AR1353">
        <v>104</v>
      </c>
      <c r="AS1353">
        <v>980</v>
      </c>
      <c r="AX1353" t="s">
        <v>419</v>
      </c>
    </row>
    <row r="1354" spans="1:50" x14ac:dyDescent="0.45">
      <c r="A1354">
        <v>20149</v>
      </c>
      <c r="B1354">
        <v>1</v>
      </c>
      <c r="C1354">
        <v>61.5</v>
      </c>
      <c r="D1354">
        <v>0</v>
      </c>
      <c r="E1354">
        <v>0</v>
      </c>
      <c r="F1354">
        <v>0</v>
      </c>
      <c r="G1354">
        <v>0</v>
      </c>
      <c r="H1354">
        <v>1.5</v>
      </c>
      <c r="I1354">
        <v>0</v>
      </c>
      <c r="J1354">
        <v>0</v>
      </c>
      <c r="K1354">
        <v>27</v>
      </c>
      <c r="L1354">
        <v>0</v>
      </c>
      <c r="M1354">
        <v>0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0</v>
      </c>
      <c r="V1354">
        <v>1</v>
      </c>
      <c r="X1354">
        <v>20</v>
      </c>
      <c r="Y1354">
        <v>0</v>
      </c>
      <c r="Z1354">
        <v>1</v>
      </c>
      <c r="AA1354">
        <v>0</v>
      </c>
      <c r="AB1354">
        <v>0</v>
      </c>
      <c r="AC1354">
        <v>1</v>
      </c>
      <c r="AD1354">
        <v>1000</v>
      </c>
      <c r="AE1354">
        <v>12</v>
      </c>
      <c r="AI1354">
        <v>1</v>
      </c>
      <c r="AJ1354">
        <v>800</v>
      </c>
      <c r="AK1354">
        <v>0.16666666666666666</v>
      </c>
      <c r="AL1354">
        <v>1</v>
      </c>
      <c r="AM1354">
        <v>0</v>
      </c>
      <c r="AN1354">
        <v>0</v>
      </c>
      <c r="AO1354">
        <v>11.91</v>
      </c>
      <c r="AP1354">
        <v>0</v>
      </c>
      <c r="AQ1354">
        <v>858.9</v>
      </c>
      <c r="AR1354">
        <v>78</v>
      </c>
      <c r="AS1354">
        <v>735</v>
      </c>
      <c r="AX1354" t="s">
        <v>419</v>
      </c>
    </row>
    <row r="1355" spans="1:50" x14ac:dyDescent="0.45">
      <c r="A1355">
        <v>20150</v>
      </c>
      <c r="B1355">
        <v>1</v>
      </c>
      <c r="C1355">
        <v>61.5</v>
      </c>
      <c r="D1355">
        <v>0</v>
      </c>
      <c r="E1355">
        <v>0</v>
      </c>
      <c r="F1355">
        <v>0</v>
      </c>
      <c r="G1355">
        <v>0</v>
      </c>
      <c r="H1355">
        <v>1.5</v>
      </c>
      <c r="I1355">
        <v>0</v>
      </c>
      <c r="J1355">
        <v>0</v>
      </c>
      <c r="K1355">
        <v>27</v>
      </c>
      <c r="L1355">
        <v>0</v>
      </c>
      <c r="M1355">
        <v>0</v>
      </c>
      <c r="N1355">
        <v>0</v>
      </c>
      <c r="O1355">
        <v>0</v>
      </c>
      <c r="P1355">
        <v>0</v>
      </c>
      <c r="Q1355">
        <v>0</v>
      </c>
      <c r="R1355">
        <v>0</v>
      </c>
      <c r="S1355">
        <v>0</v>
      </c>
      <c r="T1355">
        <v>0</v>
      </c>
      <c r="U1355">
        <v>0</v>
      </c>
      <c r="V1355">
        <v>1</v>
      </c>
      <c r="X1355">
        <v>20</v>
      </c>
      <c r="Y1355">
        <v>0</v>
      </c>
      <c r="Z1355">
        <v>1</v>
      </c>
      <c r="AA1355">
        <v>0</v>
      </c>
      <c r="AB1355">
        <v>0</v>
      </c>
      <c r="AC1355">
        <v>1</v>
      </c>
      <c r="AD1355">
        <v>1000</v>
      </c>
      <c r="AE1355">
        <v>12</v>
      </c>
      <c r="AI1355">
        <v>1</v>
      </c>
      <c r="AJ1355">
        <v>800</v>
      </c>
      <c r="AK1355">
        <v>0.16666666666666666</v>
      </c>
      <c r="AL1355">
        <v>1</v>
      </c>
      <c r="AM1355">
        <v>0</v>
      </c>
      <c r="AN1355">
        <v>0</v>
      </c>
      <c r="AO1355">
        <v>11.91</v>
      </c>
      <c r="AP1355">
        <v>0</v>
      </c>
      <c r="AQ1355">
        <v>858.9</v>
      </c>
      <c r="AR1355">
        <v>101</v>
      </c>
      <c r="AS1355">
        <v>903</v>
      </c>
      <c r="AX1355" t="s">
        <v>419</v>
      </c>
    </row>
    <row r="1356" spans="1:50" x14ac:dyDescent="0.45">
      <c r="A1356">
        <v>20151</v>
      </c>
      <c r="B1356">
        <v>1</v>
      </c>
      <c r="C1356">
        <v>57</v>
      </c>
      <c r="D1356">
        <v>0</v>
      </c>
      <c r="E1356">
        <v>0</v>
      </c>
      <c r="F1356">
        <v>0</v>
      </c>
      <c r="G1356">
        <v>0</v>
      </c>
      <c r="H1356">
        <v>2</v>
      </c>
      <c r="I1356">
        <v>0</v>
      </c>
      <c r="J1356">
        <v>13</v>
      </c>
      <c r="K1356">
        <v>28</v>
      </c>
      <c r="L1356">
        <v>0</v>
      </c>
      <c r="M1356">
        <v>0</v>
      </c>
      <c r="N1356">
        <v>0</v>
      </c>
      <c r="O1356">
        <v>0</v>
      </c>
      <c r="P1356">
        <v>0</v>
      </c>
      <c r="Q1356">
        <v>0</v>
      </c>
      <c r="R1356">
        <v>0</v>
      </c>
      <c r="S1356">
        <v>0</v>
      </c>
      <c r="T1356">
        <v>0</v>
      </c>
      <c r="U1356">
        <v>0</v>
      </c>
      <c r="V1356">
        <v>0</v>
      </c>
      <c r="Y1356">
        <v>1</v>
      </c>
      <c r="Z1356">
        <v>0</v>
      </c>
      <c r="AA1356">
        <v>0</v>
      </c>
      <c r="AB1356">
        <v>0</v>
      </c>
      <c r="AC1356">
        <v>0</v>
      </c>
      <c r="AI1356">
        <v>0</v>
      </c>
      <c r="AO1356">
        <v>13.64</v>
      </c>
      <c r="AP1356">
        <v>2.1666666666666665</v>
      </c>
      <c r="AQ1356">
        <v>761.5</v>
      </c>
      <c r="AR1356">
        <v>54</v>
      </c>
      <c r="AX1356" t="s">
        <v>420</v>
      </c>
    </row>
    <row r="1357" spans="1:50" x14ac:dyDescent="0.45">
      <c r="A1357">
        <v>20152</v>
      </c>
      <c r="B1357">
        <v>1</v>
      </c>
      <c r="C1357">
        <v>57.66</v>
      </c>
      <c r="D1357">
        <v>0</v>
      </c>
      <c r="E1357">
        <v>0</v>
      </c>
      <c r="F1357">
        <v>0</v>
      </c>
      <c r="G1357">
        <v>0</v>
      </c>
      <c r="H1357">
        <v>0.53</v>
      </c>
      <c r="I1357">
        <v>0</v>
      </c>
      <c r="J1357">
        <v>13.2</v>
      </c>
      <c r="K1357">
        <v>28.5</v>
      </c>
      <c r="L1357">
        <v>0</v>
      </c>
      <c r="M1357">
        <v>0</v>
      </c>
      <c r="N1357">
        <v>0</v>
      </c>
      <c r="O1357">
        <v>0</v>
      </c>
      <c r="P1357">
        <v>0</v>
      </c>
      <c r="Q1357">
        <v>0</v>
      </c>
      <c r="R1357">
        <v>0</v>
      </c>
      <c r="S1357">
        <v>0</v>
      </c>
      <c r="T1357">
        <v>0.11</v>
      </c>
      <c r="U1357">
        <v>0</v>
      </c>
      <c r="V1357">
        <v>0</v>
      </c>
      <c r="Y1357">
        <v>1</v>
      </c>
      <c r="Z1357">
        <v>0</v>
      </c>
      <c r="AA1357">
        <v>0</v>
      </c>
      <c r="AB1357">
        <v>0</v>
      </c>
      <c r="AC1357">
        <v>0</v>
      </c>
      <c r="AI1357">
        <v>0</v>
      </c>
      <c r="AO1357">
        <v>9.5169999999999995</v>
      </c>
      <c r="AP1357">
        <v>2.2109999999999999</v>
      </c>
      <c r="AQ1357">
        <v>796.2879999999999</v>
      </c>
      <c r="AR1357">
        <v>58</v>
      </c>
      <c r="AS1357">
        <v>780</v>
      </c>
      <c r="AU1357">
        <v>13</v>
      </c>
      <c r="AX1357" t="s">
        <v>421</v>
      </c>
    </row>
    <row r="1358" spans="1:50" x14ac:dyDescent="0.45">
      <c r="A1358">
        <v>20153</v>
      </c>
      <c r="B1358">
        <v>1</v>
      </c>
      <c r="C1358">
        <v>58</v>
      </c>
      <c r="D1358">
        <v>0</v>
      </c>
      <c r="E1358">
        <v>0</v>
      </c>
      <c r="F1358">
        <v>0</v>
      </c>
      <c r="G1358">
        <v>0</v>
      </c>
      <c r="H1358">
        <v>1</v>
      </c>
      <c r="I1358">
        <v>0</v>
      </c>
      <c r="J1358">
        <v>0</v>
      </c>
      <c r="K1358">
        <v>3</v>
      </c>
      <c r="L1358">
        <v>0</v>
      </c>
      <c r="M1358">
        <v>0</v>
      </c>
      <c r="N1358">
        <v>0</v>
      </c>
      <c r="O1358">
        <v>0</v>
      </c>
      <c r="P1358">
        <v>0</v>
      </c>
      <c r="Q1358">
        <v>0</v>
      </c>
      <c r="R1358">
        <v>0</v>
      </c>
      <c r="S1358">
        <v>0</v>
      </c>
      <c r="T1358">
        <v>0</v>
      </c>
      <c r="U1358">
        <v>0</v>
      </c>
      <c r="V1358">
        <v>1</v>
      </c>
      <c r="X1358">
        <v>20</v>
      </c>
      <c r="Y1358">
        <v>0</v>
      </c>
      <c r="Z1358">
        <v>1</v>
      </c>
      <c r="AA1358">
        <v>0</v>
      </c>
      <c r="AB1358">
        <v>0</v>
      </c>
      <c r="AC1358">
        <v>1</v>
      </c>
      <c r="AD1358">
        <v>1000</v>
      </c>
      <c r="AE1358">
        <v>12</v>
      </c>
      <c r="AI1358">
        <v>1</v>
      </c>
      <c r="AJ1358">
        <v>800</v>
      </c>
      <c r="AK1358">
        <v>0.16666666666666666</v>
      </c>
      <c r="AL1358">
        <v>1</v>
      </c>
      <c r="AM1358">
        <v>0</v>
      </c>
      <c r="AN1358">
        <v>0</v>
      </c>
      <c r="AO1358">
        <v>3.74</v>
      </c>
      <c r="AP1358">
        <v>0</v>
      </c>
      <c r="AQ1358">
        <v>866.6</v>
      </c>
      <c r="AR1358">
        <v>77</v>
      </c>
      <c r="AS1358">
        <v>672</v>
      </c>
      <c r="AX1358" t="s">
        <v>419</v>
      </c>
    </row>
    <row r="1359" spans="1:50" x14ac:dyDescent="0.45">
      <c r="A1359">
        <v>20154</v>
      </c>
      <c r="B1359">
        <v>1</v>
      </c>
      <c r="C1359">
        <v>58</v>
      </c>
      <c r="D1359">
        <v>0</v>
      </c>
      <c r="E1359">
        <v>0</v>
      </c>
      <c r="F1359">
        <v>0</v>
      </c>
      <c r="G1359">
        <v>0</v>
      </c>
      <c r="H1359">
        <v>1</v>
      </c>
      <c r="I1359">
        <v>0</v>
      </c>
      <c r="J1359">
        <v>0</v>
      </c>
      <c r="K1359">
        <v>3</v>
      </c>
      <c r="L1359">
        <v>0</v>
      </c>
      <c r="M1359">
        <v>0</v>
      </c>
      <c r="N1359">
        <v>0</v>
      </c>
      <c r="O1359">
        <v>0</v>
      </c>
      <c r="P1359">
        <v>0</v>
      </c>
      <c r="Q1359">
        <v>0</v>
      </c>
      <c r="R1359">
        <v>0</v>
      </c>
      <c r="S1359">
        <v>0</v>
      </c>
      <c r="T1359">
        <v>0</v>
      </c>
      <c r="U1359">
        <v>0</v>
      </c>
      <c r="V1359">
        <v>1</v>
      </c>
      <c r="X1359">
        <v>20</v>
      </c>
      <c r="Y1359">
        <v>0</v>
      </c>
      <c r="Z1359">
        <v>1</v>
      </c>
      <c r="AA1359">
        <v>0</v>
      </c>
      <c r="AB1359">
        <v>0</v>
      </c>
      <c r="AC1359">
        <v>1</v>
      </c>
      <c r="AD1359">
        <v>1000</v>
      </c>
      <c r="AE1359">
        <v>12</v>
      </c>
      <c r="AI1359">
        <v>1</v>
      </c>
      <c r="AJ1359">
        <v>800</v>
      </c>
      <c r="AK1359">
        <v>0.16666666666666666</v>
      </c>
      <c r="AL1359">
        <v>1</v>
      </c>
      <c r="AM1359">
        <v>0</v>
      </c>
      <c r="AN1359">
        <v>0</v>
      </c>
      <c r="AO1359">
        <v>3.74</v>
      </c>
      <c r="AP1359">
        <v>0</v>
      </c>
      <c r="AQ1359">
        <v>866.6</v>
      </c>
      <c r="AR1359">
        <v>89</v>
      </c>
      <c r="AS1359">
        <v>796</v>
      </c>
      <c r="AX1359" t="s">
        <v>419</v>
      </c>
    </row>
    <row r="1360" spans="1:50" x14ac:dyDescent="0.45">
      <c r="A1360">
        <v>20155</v>
      </c>
      <c r="B1360">
        <v>1</v>
      </c>
      <c r="C1360">
        <v>63</v>
      </c>
      <c r="D1360">
        <v>0</v>
      </c>
      <c r="E1360">
        <v>0</v>
      </c>
      <c r="F1360">
        <v>0</v>
      </c>
      <c r="G1360">
        <v>0</v>
      </c>
      <c r="H1360">
        <v>0</v>
      </c>
      <c r="I1360">
        <v>0</v>
      </c>
      <c r="J1360">
        <v>6</v>
      </c>
      <c r="K1360">
        <v>29</v>
      </c>
      <c r="L1360">
        <v>2</v>
      </c>
      <c r="M1360">
        <v>0</v>
      </c>
      <c r="N1360">
        <v>0</v>
      </c>
      <c r="O1360">
        <v>0</v>
      </c>
      <c r="P1360">
        <v>0</v>
      </c>
      <c r="Q1360">
        <v>0</v>
      </c>
      <c r="R1360">
        <v>0</v>
      </c>
      <c r="S1360">
        <v>0</v>
      </c>
      <c r="T1360">
        <v>0</v>
      </c>
      <c r="U1360">
        <v>0</v>
      </c>
      <c r="V1360">
        <v>1</v>
      </c>
      <c r="X1360">
        <v>70</v>
      </c>
      <c r="Y1360">
        <v>0</v>
      </c>
      <c r="Z1360">
        <v>1</v>
      </c>
      <c r="AA1360">
        <v>0</v>
      </c>
      <c r="AB1360">
        <v>0</v>
      </c>
      <c r="AC1360">
        <v>1</v>
      </c>
      <c r="AD1360">
        <v>1000</v>
      </c>
      <c r="AE1360">
        <v>24</v>
      </c>
      <c r="AI1360">
        <v>0</v>
      </c>
      <c r="AO1360">
        <v>10.120000000000001</v>
      </c>
      <c r="AP1360">
        <v>1</v>
      </c>
      <c r="AQ1360">
        <v>821.6</v>
      </c>
      <c r="AR1360">
        <v>29</v>
      </c>
      <c r="AX1360" t="s">
        <v>422</v>
      </c>
    </row>
    <row r="1361" spans="1:50" x14ac:dyDescent="0.45">
      <c r="A1361">
        <v>20156</v>
      </c>
      <c r="B1361">
        <v>1</v>
      </c>
      <c r="C1361">
        <v>58</v>
      </c>
      <c r="D1361">
        <v>0</v>
      </c>
      <c r="E1361">
        <v>0</v>
      </c>
      <c r="F1361">
        <v>0</v>
      </c>
      <c r="G1361">
        <v>0</v>
      </c>
      <c r="H1361">
        <v>0</v>
      </c>
      <c r="I1361">
        <v>0</v>
      </c>
      <c r="J1361">
        <v>6</v>
      </c>
      <c r="K1361">
        <v>31</v>
      </c>
      <c r="L1361">
        <v>5</v>
      </c>
      <c r="M1361">
        <v>0</v>
      </c>
      <c r="N1361">
        <v>0</v>
      </c>
      <c r="O1361">
        <v>0</v>
      </c>
      <c r="P1361">
        <v>0</v>
      </c>
      <c r="Q1361">
        <v>0</v>
      </c>
      <c r="R1361">
        <v>0</v>
      </c>
      <c r="S1361">
        <v>0</v>
      </c>
      <c r="T1361">
        <v>0</v>
      </c>
      <c r="U1361">
        <v>0</v>
      </c>
      <c r="V1361">
        <v>0</v>
      </c>
      <c r="Y1361">
        <v>1</v>
      </c>
      <c r="Z1361">
        <v>0</v>
      </c>
      <c r="AA1361">
        <v>0</v>
      </c>
      <c r="AB1361">
        <v>0</v>
      </c>
      <c r="AC1361">
        <v>0</v>
      </c>
      <c r="AI1361">
        <v>0</v>
      </c>
      <c r="AO1361">
        <v>13.680000000000001</v>
      </c>
      <c r="AP1361">
        <v>1</v>
      </c>
      <c r="AQ1361">
        <v>793.1</v>
      </c>
      <c r="AR1361">
        <v>44</v>
      </c>
      <c r="AX1361" t="s">
        <v>401</v>
      </c>
    </row>
    <row r="1362" spans="1:50" x14ac:dyDescent="0.45">
      <c r="A1362">
        <v>20157</v>
      </c>
      <c r="B1362">
        <v>1</v>
      </c>
      <c r="C1362">
        <v>58</v>
      </c>
      <c r="D1362">
        <v>0</v>
      </c>
      <c r="E1362">
        <v>0</v>
      </c>
      <c r="F1362">
        <v>0</v>
      </c>
      <c r="G1362">
        <v>0</v>
      </c>
      <c r="H1362">
        <v>0</v>
      </c>
      <c r="I1362">
        <v>0</v>
      </c>
      <c r="J1362">
        <v>6</v>
      </c>
      <c r="K1362">
        <v>31</v>
      </c>
      <c r="L1362">
        <v>5</v>
      </c>
      <c r="M1362">
        <v>0</v>
      </c>
      <c r="N1362">
        <v>0</v>
      </c>
      <c r="O1362">
        <v>0</v>
      </c>
      <c r="P1362">
        <v>0</v>
      </c>
      <c r="Q1362">
        <v>0</v>
      </c>
      <c r="R1362">
        <v>0</v>
      </c>
      <c r="S1362">
        <v>0</v>
      </c>
      <c r="T1362">
        <v>0</v>
      </c>
      <c r="U1362">
        <v>0</v>
      </c>
      <c r="V1362">
        <v>1</v>
      </c>
      <c r="X1362">
        <v>75</v>
      </c>
      <c r="Y1362">
        <v>0</v>
      </c>
      <c r="Z1362">
        <v>1</v>
      </c>
      <c r="AA1362">
        <v>0</v>
      </c>
      <c r="AB1362">
        <v>0</v>
      </c>
      <c r="AC1362">
        <v>1</v>
      </c>
      <c r="AD1362">
        <v>600</v>
      </c>
      <c r="AE1362">
        <v>0.25</v>
      </c>
      <c r="AI1362">
        <v>0</v>
      </c>
      <c r="AO1362">
        <v>13.680000000000001</v>
      </c>
      <c r="AP1362">
        <v>1</v>
      </c>
      <c r="AQ1362">
        <v>793.1</v>
      </c>
      <c r="AR1362">
        <v>48</v>
      </c>
      <c r="AX1362" t="s">
        <v>401</v>
      </c>
    </row>
    <row r="1363" spans="1:50" x14ac:dyDescent="0.45">
      <c r="A1363">
        <v>20158</v>
      </c>
      <c r="B1363">
        <v>1</v>
      </c>
      <c r="C1363">
        <v>63.3</v>
      </c>
      <c r="D1363">
        <v>0</v>
      </c>
      <c r="E1363">
        <v>0</v>
      </c>
      <c r="F1363">
        <v>0</v>
      </c>
      <c r="G1363">
        <v>0</v>
      </c>
      <c r="H1363">
        <v>0</v>
      </c>
      <c r="I1363">
        <v>0</v>
      </c>
      <c r="J1363">
        <v>7</v>
      </c>
      <c r="K1363">
        <v>29</v>
      </c>
      <c r="L1363">
        <v>0</v>
      </c>
      <c r="M1363">
        <v>0</v>
      </c>
      <c r="N1363">
        <v>0</v>
      </c>
      <c r="O1363">
        <v>0</v>
      </c>
      <c r="P1363">
        <v>0</v>
      </c>
      <c r="Q1363">
        <v>0</v>
      </c>
      <c r="R1363">
        <v>0</v>
      </c>
      <c r="S1363">
        <v>0</v>
      </c>
      <c r="T1363">
        <v>0.7</v>
      </c>
      <c r="U1363">
        <v>0</v>
      </c>
      <c r="V1363">
        <v>1</v>
      </c>
      <c r="X1363">
        <v>70</v>
      </c>
      <c r="Y1363">
        <v>0</v>
      </c>
      <c r="Z1363">
        <v>0</v>
      </c>
      <c r="AA1363">
        <v>1</v>
      </c>
      <c r="AB1363">
        <v>0</v>
      </c>
      <c r="AC1363">
        <v>1</v>
      </c>
      <c r="AD1363">
        <v>1000</v>
      </c>
      <c r="AE1363">
        <v>6</v>
      </c>
      <c r="AI1363">
        <v>0</v>
      </c>
      <c r="AO1363">
        <v>8.120000000000001</v>
      </c>
      <c r="AP1363">
        <v>1.2366666666666668</v>
      </c>
      <c r="AQ1363">
        <v>919.80000000000007</v>
      </c>
      <c r="AR1363">
        <v>65</v>
      </c>
      <c r="AS1363">
        <v>1000</v>
      </c>
      <c r="AX1363" t="s">
        <v>423</v>
      </c>
    </row>
    <row r="1364" spans="1:50" x14ac:dyDescent="0.45">
      <c r="A1364">
        <v>20159</v>
      </c>
      <c r="B1364">
        <v>1</v>
      </c>
      <c r="C1364">
        <v>61.9</v>
      </c>
      <c r="D1364">
        <v>0</v>
      </c>
      <c r="E1364">
        <v>0</v>
      </c>
      <c r="F1364">
        <v>0</v>
      </c>
      <c r="G1364">
        <v>0</v>
      </c>
      <c r="H1364">
        <v>0</v>
      </c>
      <c r="I1364">
        <v>0</v>
      </c>
      <c r="J1364">
        <v>9.1999999999999993</v>
      </c>
      <c r="K1364">
        <v>23.2</v>
      </c>
      <c r="L1364">
        <v>0</v>
      </c>
      <c r="M1364">
        <v>5.7</v>
      </c>
      <c r="N1364">
        <v>0</v>
      </c>
      <c r="O1364">
        <v>0</v>
      </c>
      <c r="P1364">
        <v>0</v>
      </c>
      <c r="Q1364">
        <v>0</v>
      </c>
      <c r="R1364">
        <v>0</v>
      </c>
      <c r="S1364">
        <v>0</v>
      </c>
      <c r="T1364">
        <v>0</v>
      </c>
      <c r="U1364">
        <v>0</v>
      </c>
      <c r="V1364">
        <v>0</v>
      </c>
      <c r="Y1364">
        <v>1</v>
      </c>
      <c r="Z1364">
        <v>0</v>
      </c>
      <c r="AA1364">
        <v>0</v>
      </c>
      <c r="AB1364">
        <v>0</v>
      </c>
      <c r="AC1364">
        <v>1</v>
      </c>
      <c r="AD1364">
        <v>1150</v>
      </c>
      <c r="AE1364">
        <v>24</v>
      </c>
      <c r="AF1364">
        <v>1</v>
      </c>
      <c r="AG1364">
        <v>0</v>
      </c>
      <c r="AH1364">
        <v>0</v>
      </c>
      <c r="AI1364">
        <v>1</v>
      </c>
      <c r="AJ1364">
        <v>1000</v>
      </c>
      <c r="AK1364">
        <v>0.16666666666666666</v>
      </c>
      <c r="AL1364">
        <v>1</v>
      </c>
      <c r="AM1364">
        <v>0</v>
      </c>
      <c r="AN1364">
        <v>0</v>
      </c>
      <c r="AO1364">
        <v>6.4960000000000004</v>
      </c>
      <c r="AP1364">
        <v>3.4333333333333336</v>
      </c>
      <c r="AQ1364">
        <v>842.46</v>
      </c>
      <c r="AR1364">
        <v>48.7</v>
      </c>
      <c r="AX1364" t="s">
        <v>405</v>
      </c>
    </row>
    <row r="1365" spans="1:50" x14ac:dyDescent="0.45">
      <c r="A1365">
        <v>20160</v>
      </c>
      <c r="B1365">
        <v>1</v>
      </c>
      <c r="C1365">
        <v>68</v>
      </c>
      <c r="D1365">
        <v>0</v>
      </c>
      <c r="E1365">
        <v>0</v>
      </c>
      <c r="F1365">
        <v>0</v>
      </c>
      <c r="G1365">
        <v>0</v>
      </c>
      <c r="H1365">
        <v>0</v>
      </c>
      <c r="I1365">
        <v>0</v>
      </c>
      <c r="J1365">
        <v>10</v>
      </c>
      <c r="K1365">
        <v>10.199999999999999</v>
      </c>
      <c r="L1365">
        <v>5.3</v>
      </c>
      <c r="M1365">
        <v>6.5</v>
      </c>
      <c r="N1365">
        <v>0</v>
      </c>
      <c r="O1365">
        <v>0</v>
      </c>
      <c r="P1365">
        <v>0</v>
      </c>
      <c r="Q1365">
        <v>0</v>
      </c>
      <c r="R1365">
        <v>0</v>
      </c>
      <c r="S1365">
        <v>0</v>
      </c>
      <c r="T1365">
        <v>0</v>
      </c>
      <c r="U1365">
        <v>0</v>
      </c>
      <c r="V1365">
        <v>0</v>
      </c>
      <c r="Y1365">
        <v>1</v>
      </c>
      <c r="Z1365">
        <v>0</v>
      </c>
      <c r="AA1365">
        <v>0</v>
      </c>
      <c r="AB1365">
        <v>0</v>
      </c>
      <c r="AC1365">
        <v>0</v>
      </c>
      <c r="AI1365">
        <v>0</v>
      </c>
      <c r="AO1365">
        <v>8.1559999999999988</v>
      </c>
      <c r="AP1365">
        <v>3.833333333333333</v>
      </c>
      <c r="AQ1365">
        <v>789.94999999999993</v>
      </c>
      <c r="AR1365">
        <v>48</v>
      </c>
      <c r="AS1365">
        <v>478</v>
      </c>
      <c r="AT1365">
        <v>715</v>
      </c>
      <c r="AU1365">
        <v>7.6</v>
      </c>
      <c r="AX1365" t="s">
        <v>399</v>
      </c>
    </row>
    <row r="1366" spans="1:50" x14ac:dyDescent="0.45">
      <c r="A1366">
        <v>20161</v>
      </c>
      <c r="B1366">
        <v>1</v>
      </c>
      <c r="C1366">
        <v>69.599999999999994</v>
      </c>
      <c r="D1366">
        <v>0</v>
      </c>
      <c r="E1366">
        <v>0</v>
      </c>
      <c r="F1366">
        <v>0</v>
      </c>
      <c r="G1366">
        <v>0</v>
      </c>
      <c r="H1366">
        <v>0</v>
      </c>
      <c r="I1366">
        <v>0</v>
      </c>
      <c r="J1366">
        <v>9.5</v>
      </c>
      <c r="K1366">
        <v>9.6999999999999993</v>
      </c>
      <c r="L1366">
        <v>5</v>
      </c>
      <c r="M1366">
        <v>6.2</v>
      </c>
      <c r="N1366">
        <v>0</v>
      </c>
      <c r="O1366">
        <v>0</v>
      </c>
      <c r="P1366">
        <v>0</v>
      </c>
      <c r="Q1366">
        <v>0</v>
      </c>
      <c r="R1366">
        <v>0</v>
      </c>
      <c r="S1366">
        <v>0</v>
      </c>
      <c r="T1366">
        <v>0</v>
      </c>
      <c r="U1366">
        <v>0</v>
      </c>
      <c r="V1366">
        <v>0</v>
      </c>
      <c r="Y1366">
        <v>1</v>
      </c>
      <c r="Z1366">
        <v>0</v>
      </c>
      <c r="AA1366">
        <v>0</v>
      </c>
      <c r="AB1366">
        <v>0</v>
      </c>
      <c r="AC1366">
        <v>0</v>
      </c>
      <c r="AI1366">
        <v>0</v>
      </c>
      <c r="AO1366">
        <v>7.7160000000000002</v>
      </c>
      <c r="AP1366">
        <v>3.6500000000000004</v>
      </c>
      <c r="AQ1366">
        <v>794.99</v>
      </c>
      <c r="AR1366">
        <v>54</v>
      </c>
      <c r="AS1366">
        <v>235</v>
      </c>
      <c r="AT1366">
        <v>715</v>
      </c>
      <c r="AU1366">
        <v>12.5</v>
      </c>
      <c r="AX1366" t="s">
        <v>399</v>
      </c>
    </row>
    <row r="1367" spans="1:50" x14ac:dyDescent="0.45">
      <c r="A1367">
        <v>20162</v>
      </c>
      <c r="B1367">
        <v>1</v>
      </c>
      <c r="C1367">
        <v>68.099999999999994</v>
      </c>
      <c r="D1367">
        <v>0</v>
      </c>
      <c r="E1367">
        <v>0</v>
      </c>
      <c r="F1367">
        <v>0</v>
      </c>
      <c r="G1367">
        <v>0</v>
      </c>
      <c r="H1367">
        <v>0</v>
      </c>
      <c r="I1367">
        <v>0</v>
      </c>
      <c r="J1367">
        <v>10</v>
      </c>
      <c r="K1367">
        <v>10.199999999999999</v>
      </c>
      <c r="L1367">
        <v>5.2</v>
      </c>
      <c r="M1367">
        <v>6.5</v>
      </c>
      <c r="N1367">
        <v>0</v>
      </c>
      <c r="O1367">
        <v>0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0</v>
      </c>
      <c r="Y1367">
        <v>1</v>
      </c>
      <c r="Z1367">
        <v>0</v>
      </c>
      <c r="AA1367">
        <v>0</v>
      </c>
      <c r="AB1367">
        <v>0</v>
      </c>
      <c r="AC1367">
        <v>0</v>
      </c>
      <c r="AI1367">
        <v>0</v>
      </c>
      <c r="AO1367">
        <v>8.0560000000000009</v>
      </c>
      <c r="AP1367">
        <v>3.833333333333333</v>
      </c>
      <c r="AQ1367">
        <v>790.9</v>
      </c>
      <c r="AR1367">
        <v>48</v>
      </c>
      <c r="AS1367">
        <v>478</v>
      </c>
      <c r="AT1367">
        <v>715</v>
      </c>
      <c r="AU1367">
        <v>7.6</v>
      </c>
      <c r="AX1367" t="s">
        <v>398</v>
      </c>
    </row>
    <row r="1368" spans="1:50" x14ac:dyDescent="0.45">
      <c r="A1368">
        <v>20163</v>
      </c>
      <c r="B1368">
        <v>1</v>
      </c>
      <c r="C1368">
        <v>68.099999999999994</v>
      </c>
      <c r="D1368">
        <v>0</v>
      </c>
      <c r="E1368">
        <v>0</v>
      </c>
      <c r="F1368">
        <v>0</v>
      </c>
      <c r="G1368">
        <v>0</v>
      </c>
      <c r="H1368">
        <v>0</v>
      </c>
      <c r="I1368">
        <v>0</v>
      </c>
      <c r="J1368">
        <v>10</v>
      </c>
      <c r="K1368">
        <v>10.199999999999999</v>
      </c>
      <c r="L1368">
        <v>5.2</v>
      </c>
      <c r="M1368">
        <v>6.5</v>
      </c>
      <c r="N1368">
        <v>0</v>
      </c>
      <c r="O1368">
        <v>0</v>
      </c>
      <c r="P1368">
        <v>0</v>
      </c>
      <c r="Q1368">
        <v>0</v>
      </c>
      <c r="R1368">
        <v>0</v>
      </c>
      <c r="S1368">
        <v>0</v>
      </c>
      <c r="T1368">
        <v>0</v>
      </c>
      <c r="U1368">
        <v>0</v>
      </c>
      <c r="V1368">
        <v>0</v>
      </c>
      <c r="Y1368">
        <v>1</v>
      </c>
      <c r="Z1368">
        <v>0</v>
      </c>
      <c r="AA1368">
        <v>0</v>
      </c>
      <c r="AB1368">
        <v>0</v>
      </c>
      <c r="AC1368">
        <v>1</v>
      </c>
      <c r="AD1368">
        <v>950</v>
      </c>
      <c r="AE1368">
        <v>2</v>
      </c>
      <c r="AF1368">
        <v>1</v>
      </c>
      <c r="AG1368">
        <v>0</v>
      </c>
      <c r="AH1368">
        <v>0</v>
      </c>
      <c r="AI1368">
        <v>0</v>
      </c>
      <c r="AO1368">
        <v>8.0560000000000009</v>
      </c>
      <c r="AP1368">
        <v>3.833333333333333</v>
      </c>
      <c r="AQ1368">
        <v>790.9</v>
      </c>
      <c r="AR1368">
        <v>43</v>
      </c>
      <c r="AS1368">
        <v>408</v>
      </c>
      <c r="AT1368">
        <v>577</v>
      </c>
      <c r="AU1368">
        <v>6.7</v>
      </c>
      <c r="AX1368" t="s">
        <v>398</v>
      </c>
    </row>
    <row r="1369" spans="1:50" x14ac:dyDescent="0.45">
      <c r="A1369">
        <v>20164</v>
      </c>
      <c r="B1369">
        <v>1</v>
      </c>
      <c r="C1369">
        <v>69.599999999999994</v>
      </c>
      <c r="D1369">
        <v>0</v>
      </c>
      <c r="E1369">
        <v>0</v>
      </c>
      <c r="F1369">
        <v>0</v>
      </c>
      <c r="G1369">
        <v>0</v>
      </c>
      <c r="H1369">
        <v>0</v>
      </c>
      <c r="I1369">
        <v>0</v>
      </c>
      <c r="J1369">
        <v>9.5</v>
      </c>
      <c r="K1369">
        <v>9.6999999999999993</v>
      </c>
      <c r="L1369">
        <v>5</v>
      </c>
      <c r="M1369">
        <v>6.2</v>
      </c>
      <c r="N1369">
        <v>0</v>
      </c>
      <c r="O1369">
        <v>0</v>
      </c>
      <c r="P1369">
        <v>0</v>
      </c>
      <c r="Q1369">
        <v>0</v>
      </c>
      <c r="R1369">
        <v>0</v>
      </c>
      <c r="S1369">
        <v>0</v>
      </c>
      <c r="T1369">
        <v>0</v>
      </c>
      <c r="U1369">
        <v>0</v>
      </c>
      <c r="V1369">
        <v>0</v>
      </c>
      <c r="Y1369">
        <v>1</v>
      </c>
      <c r="Z1369">
        <v>0</v>
      </c>
      <c r="AA1369">
        <v>0</v>
      </c>
      <c r="AB1369">
        <v>0</v>
      </c>
      <c r="AC1369">
        <v>0</v>
      </c>
      <c r="AI1369">
        <v>0</v>
      </c>
      <c r="AO1369">
        <v>7.7160000000000002</v>
      </c>
      <c r="AP1369">
        <v>3.6500000000000004</v>
      </c>
      <c r="AQ1369">
        <v>794.99</v>
      </c>
      <c r="AR1369">
        <v>54</v>
      </c>
      <c r="AX1369" t="s">
        <v>373</v>
      </c>
    </row>
    <row r="1370" spans="1:50" x14ac:dyDescent="0.45">
      <c r="A1370">
        <v>20165</v>
      </c>
      <c r="B1370">
        <v>1</v>
      </c>
      <c r="C1370">
        <v>65.599999999999994</v>
      </c>
      <c r="D1370">
        <v>0</v>
      </c>
      <c r="E1370">
        <v>0</v>
      </c>
      <c r="F1370">
        <v>0</v>
      </c>
      <c r="G1370">
        <v>0</v>
      </c>
      <c r="H1370">
        <v>0</v>
      </c>
      <c r="I1370">
        <v>0</v>
      </c>
      <c r="J1370">
        <v>9.3000000000000007</v>
      </c>
      <c r="K1370">
        <v>14.2</v>
      </c>
      <c r="L1370">
        <v>4.9000000000000004</v>
      </c>
      <c r="M1370">
        <v>6</v>
      </c>
      <c r="N1370">
        <v>0</v>
      </c>
      <c r="O1370">
        <v>0</v>
      </c>
      <c r="P1370">
        <v>0</v>
      </c>
      <c r="Q1370">
        <v>0</v>
      </c>
      <c r="R1370">
        <v>0</v>
      </c>
      <c r="S1370">
        <v>0</v>
      </c>
      <c r="T1370">
        <v>0</v>
      </c>
      <c r="U1370">
        <v>0</v>
      </c>
      <c r="V1370">
        <v>0</v>
      </c>
      <c r="Y1370">
        <v>1</v>
      </c>
      <c r="Z1370">
        <v>0</v>
      </c>
      <c r="AA1370">
        <v>0</v>
      </c>
      <c r="AB1370">
        <v>0</v>
      </c>
      <c r="AC1370">
        <v>0</v>
      </c>
      <c r="AI1370">
        <v>0</v>
      </c>
      <c r="AO1370">
        <v>8.8760000000000012</v>
      </c>
      <c r="AP1370">
        <v>3.55</v>
      </c>
      <c r="AQ1370">
        <v>796.48000000000013</v>
      </c>
      <c r="AR1370">
        <v>56</v>
      </c>
      <c r="AS1370">
        <v>566</v>
      </c>
      <c r="AT1370">
        <v>701</v>
      </c>
      <c r="AU1370">
        <v>13.6</v>
      </c>
      <c r="AX1370" t="s">
        <v>399</v>
      </c>
    </row>
    <row r="1371" spans="1:50" x14ac:dyDescent="0.45">
      <c r="A1371">
        <v>20166</v>
      </c>
      <c r="B1371">
        <v>1</v>
      </c>
      <c r="C1371">
        <v>65.599999999999994</v>
      </c>
      <c r="D1371">
        <v>0</v>
      </c>
      <c r="E1371">
        <v>0</v>
      </c>
      <c r="F1371">
        <v>0</v>
      </c>
      <c r="G1371">
        <v>0</v>
      </c>
      <c r="H1371">
        <v>0</v>
      </c>
      <c r="I1371">
        <v>0</v>
      </c>
      <c r="J1371">
        <v>9.3000000000000007</v>
      </c>
      <c r="K1371">
        <v>14.2</v>
      </c>
      <c r="L1371">
        <v>4.9000000000000004</v>
      </c>
      <c r="M1371">
        <v>6</v>
      </c>
      <c r="N1371">
        <v>0</v>
      </c>
      <c r="O1371">
        <v>0</v>
      </c>
      <c r="P1371">
        <v>0</v>
      </c>
      <c r="Q1371">
        <v>0</v>
      </c>
      <c r="R1371">
        <v>0</v>
      </c>
      <c r="S1371">
        <v>0</v>
      </c>
      <c r="T1371">
        <v>0</v>
      </c>
      <c r="U1371">
        <v>0</v>
      </c>
      <c r="V1371">
        <v>0</v>
      </c>
      <c r="Y1371">
        <v>1</v>
      </c>
      <c r="Z1371">
        <v>0</v>
      </c>
      <c r="AA1371">
        <v>0</v>
      </c>
      <c r="AB1371">
        <v>0</v>
      </c>
      <c r="AC1371">
        <v>0</v>
      </c>
      <c r="AI1371">
        <v>0</v>
      </c>
      <c r="AO1371">
        <v>8.8760000000000012</v>
      </c>
      <c r="AP1371">
        <v>3.55</v>
      </c>
      <c r="AQ1371">
        <v>796.48000000000013</v>
      </c>
      <c r="AR1371">
        <v>56</v>
      </c>
      <c r="AX1371" t="s">
        <v>373</v>
      </c>
    </row>
    <row r="1372" spans="1:50" x14ac:dyDescent="0.45">
      <c r="A1372">
        <v>20167</v>
      </c>
      <c r="B1372">
        <v>1</v>
      </c>
      <c r="C1372">
        <v>61.7</v>
      </c>
      <c r="D1372">
        <v>0</v>
      </c>
      <c r="E1372">
        <v>0</v>
      </c>
      <c r="F1372">
        <v>0</v>
      </c>
      <c r="G1372">
        <v>0</v>
      </c>
      <c r="H1372">
        <v>0</v>
      </c>
      <c r="I1372">
        <v>0</v>
      </c>
      <c r="J1372">
        <v>9.1</v>
      </c>
      <c r="K1372">
        <v>18.5</v>
      </c>
      <c r="L1372">
        <v>4.8</v>
      </c>
      <c r="M1372">
        <v>5.9</v>
      </c>
      <c r="N1372">
        <v>0</v>
      </c>
      <c r="O1372">
        <v>0</v>
      </c>
      <c r="P1372">
        <v>0</v>
      </c>
      <c r="Q1372">
        <v>0</v>
      </c>
      <c r="R1372">
        <v>0</v>
      </c>
      <c r="S1372">
        <v>0</v>
      </c>
      <c r="T1372">
        <v>0</v>
      </c>
      <c r="U1372">
        <v>0</v>
      </c>
      <c r="V1372">
        <v>0</v>
      </c>
      <c r="Y1372">
        <v>1</v>
      </c>
      <c r="Z1372">
        <v>0</v>
      </c>
      <c r="AA1372">
        <v>0</v>
      </c>
      <c r="AB1372">
        <v>0</v>
      </c>
      <c r="AC1372">
        <v>0</v>
      </c>
      <c r="AI1372">
        <v>0</v>
      </c>
      <c r="AO1372">
        <v>9.98</v>
      </c>
      <c r="AP1372">
        <v>3.4833333333333334</v>
      </c>
      <c r="AQ1372">
        <v>798.39</v>
      </c>
      <c r="AR1372">
        <v>72</v>
      </c>
      <c r="AS1372">
        <v>499</v>
      </c>
      <c r="AT1372">
        <v>519</v>
      </c>
      <c r="AU1372">
        <v>6.4</v>
      </c>
      <c r="AX1372" t="s">
        <v>399</v>
      </c>
    </row>
    <row r="1373" spans="1:50" x14ac:dyDescent="0.45">
      <c r="A1373">
        <v>20168</v>
      </c>
      <c r="B1373">
        <v>1</v>
      </c>
      <c r="C1373">
        <v>61.7</v>
      </c>
      <c r="D1373">
        <v>0</v>
      </c>
      <c r="E1373">
        <v>0</v>
      </c>
      <c r="F1373">
        <v>0</v>
      </c>
      <c r="G1373">
        <v>0</v>
      </c>
      <c r="H1373">
        <v>0</v>
      </c>
      <c r="I1373">
        <v>0</v>
      </c>
      <c r="J1373">
        <v>9.1</v>
      </c>
      <c r="K1373">
        <v>18.5</v>
      </c>
      <c r="L1373">
        <v>4.8</v>
      </c>
      <c r="M1373">
        <v>5.9</v>
      </c>
      <c r="N1373">
        <v>0</v>
      </c>
      <c r="O1373">
        <v>0</v>
      </c>
      <c r="P1373">
        <v>0</v>
      </c>
      <c r="Q1373">
        <v>0</v>
      </c>
      <c r="R1373">
        <v>0</v>
      </c>
      <c r="S1373">
        <v>0</v>
      </c>
      <c r="T1373">
        <v>0</v>
      </c>
      <c r="U1373">
        <v>0</v>
      </c>
      <c r="V1373">
        <v>0</v>
      </c>
      <c r="Y1373">
        <v>1</v>
      </c>
      <c r="Z1373">
        <v>0</v>
      </c>
      <c r="AA1373">
        <v>0</v>
      </c>
      <c r="AB1373">
        <v>0</v>
      </c>
      <c r="AC1373">
        <v>0</v>
      </c>
      <c r="AI1373">
        <v>0</v>
      </c>
      <c r="AO1373">
        <v>9.98</v>
      </c>
      <c r="AP1373">
        <v>3.4833333333333334</v>
      </c>
      <c r="AQ1373">
        <v>798.39</v>
      </c>
      <c r="AR1373">
        <v>73</v>
      </c>
      <c r="AX1373" t="s">
        <v>373</v>
      </c>
    </row>
    <row r="1374" spans="1:50" x14ac:dyDescent="0.45">
      <c r="A1374">
        <v>20169</v>
      </c>
      <c r="B1374">
        <v>1</v>
      </c>
      <c r="C1374">
        <v>57.7</v>
      </c>
      <c r="D1374">
        <v>0</v>
      </c>
      <c r="E1374">
        <v>0</v>
      </c>
      <c r="F1374">
        <v>0</v>
      </c>
      <c r="G1374">
        <v>0</v>
      </c>
      <c r="H1374">
        <v>0</v>
      </c>
      <c r="I1374">
        <v>0</v>
      </c>
      <c r="J1374">
        <v>6.8</v>
      </c>
      <c r="K1374">
        <v>32.5</v>
      </c>
      <c r="L1374">
        <v>0</v>
      </c>
      <c r="M1374">
        <v>0</v>
      </c>
      <c r="N1374">
        <v>0</v>
      </c>
      <c r="O1374">
        <v>0</v>
      </c>
      <c r="P1374">
        <v>0</v>
      </c>
      <c r="Q1374">
        <v>0</v>
      </c>
      <c r="R1374">
        <v>0</v>
      </c>
      <c r="S1374">
        <v>0</v>
      </c>
      <c r="T1374">
        <v>0</v>
      </c>
      <c r="U1374">
        <v>0</v>
      </c>
      <c r="V1374">
        <v>1</v>
      </c>
      <c r="Y1374">
        <v>0</v>
      </c>
      <c r="Z1374">
        <v>0</v>
      </c>
      <c r="AA1374">
        <v>1</v>
      </c>
      <c r="AB1374">
        <v>0</v>
      </c>
      <c r="AC1374">
        <v>1</v>
      </c>
      <c r="AD1374">
        <v>1000</v>
      </c>
      <c r="AE1374">
        <v>1</v>
      </c>
      <c r="AF1374">
        <v>1</v>
      </c>
      <c r="AG1374">
        <v>0</v>
      </c>
      <c r="AH1374">
        <v>0</v>
      </c>
      <c r="AI1374">
        <v>0</v>
      </c>
      <c r="AO1374">
        <v>9.1000000000000014</v>
      </c>
      <c r="AP1374">
        <v>1.1333333333333333</v>
      </c>
      <c r="AQ1374">
        <v>835.08</v>
      </c>
      <c r="AR1374">
        <v>66.900000000000006</v>
      </c>
      <c r="AT1374">
        <v>829</v>
      </c>
      <c r="AU1374">
        <v>15.4</v>
      </c>
      <c r="AX1374" t="s">
        <v>424</v>
      </c>
    </row>
    <row r="1375" spans="1:50" x14ac:dyDescent="0.45">
      <c r="A1375">
        <v>20170</v>
      </c>
      <c r="B1375">
        <v>1</v>
      </c>
      <c r="C1375">
        <v>57.7</v>
      </c>
      <c r="D1375">
        <v>0</v>
      </c>
      <c r="E1375">
        <v>0</v>
      </c>
      <c r="F1375">
        <v>0</v>
      </c>
      <c r="G1375">
        <v>0</v>
      </c>
      <c r="H1375">
        <v>0</v>
      </c>
      <c r="I1375">
        <v>0</v>
      </c>
      <c r="J1375">
        <v>6.8</v>
      </c>
      <c r="K1375">
        <v>32.5</v>
      </c>
      <c r="L1375">
        <v>0</v>
      </c>
      <c r="M1375">
        <v>0</v>
      </c>
      <c r="N1375">
        <v>0</v>
      </c>
      <c r="O1375">
        <v>0</v>
      </c>
      <c r="P1375">
        <v>0</v>
      </c>
      <c r="Q1375">
        <v>0</v>
      </c>
      <c r="R1375">
        <v>0</v>
      </c>
      <c r="S1375">
        <v>0</v>
      </c>
      <c r="T1375">
        <v>0</v>
      </c>
      <c r="U1375">
        <v>0</v>
      </c>
      <c r="V1375">
        <v>1</v>
      </c>
      <c r="X1375">
        <v>50</v>
      </c>
      <c r="Y1375">
        <v>0</v>
      </c>
      <c r="Z1375">
        <v>1</v>
      </c>
      <c r="AA1375">
        <v>1</v>
      </c>
      <c r="AB1375">
        <v>0</v>
      </c>
      <c r="AC1375">
        <v>1</v>
      </c>
      <c r="AD1375">
        <v>1000</v>
      </c>
      <c r="AE1375">
        <v>1</v>
      </c>
      <c r="AF1375">
        <v>1</v>
      </c>
      <c r="AG1375">
        <v>0</v>
      </c>
      <c r="AH1375">
        <v>0</v>
      </c>
      <c r="AI1375">
        <v>0</v>
      </c>
      <c r="AO1375">
        <v>9.1000000000000014</v>
      </c>
      <c r="AP1375">
        <v>1.1333333333333333</v>
      </c>
      <c r="AQ1375">
        <v>835.08</v>
      </c>
      <c r="AR1375">
        <v>60.7</v>
      </c>
      <c r="AT1375">
        <v>942</v>
      </c>
      <c r="AU1375">
        <v>13.8</v>
      </c>
      <c r="AX1375" t="s">
        <v>424</v>
      </c>
    </row>
    <row r="1376" spans="1:50" x14ac:dyDescent="0.45">
      <c r="A1376">
        <v>20171</v>
      </c>
      <c r="B1376">
        <v>1</v>
      </c>
      <c r="C1376">
        <v>57.7</v>
      </c>
      <c r="D1376">
        <v>0</v>
      </c>
      <c r="E1376">
        <v>0</v>
      </c>
      <c r="F1376">
        <v>0</v>
      </c>
      <c r="G1376">
        <v>0</v>
      </c>
      <c r="H1376">
        <v>0</v>
      </c>
      <c r="I1376">
        <v>0</v>
      </c>
      <c r="J1376">
        <v>6.8</v>
      </c>
      <c r="K1376">
        <v>32.5</v>
      </c>
      <c r="L1376">
        <v>0</v>
      </c>
      <c r="M1376">
        <v>0</v>
      </c>
      <c r="N1376">
        <v>0</v>
      </c>
      <c r="O1376">
        <v>0</v>
      </c>
      <c r="P1376">
        <v>0</v>
      </c>
      <c r="Q1376">
        <v>0</v>
      </c>
      <c r="R1376">
        <v>0</v>
      </c>
      <c r="S1376">
        <v>0</v>
      </c>
      <c r="T1376">
        <v>0</v>
      </c>
      <c r="U1376">
        <v>0</v>
      </c>
      <c r="V1376">
        <v>1</v>
      </c>
      <c r="X1376">
        <v>90</v>
      </c>
      <c r="Y1376">
        <v>0</v>
      </c>
      <c r="Z1376">
        <v>1</v>
      </c>
      <c r="AA1376">
        <v>1</v>
      </c>
      <c r="AB1376">
        <v>0</v>
      </c>
      <c r="AC1376">
        <v>1</v>
      </c>
      <c r="AD1376">
        <v>1000</v>
      </c>
      <c r="AE1376">
        <v>1</v>
      </c>
      <c r="AF1376">
        <v>1</v>
      </c>
      <c r="AG1376">
        <v>0</v>
      </c>
      <c r="AH1376">
        <v>0</v>
      </c>
      <c r="AI1376">
        <v>0</v>
      </c>
      <c r="AO1376">
        <v>9.1000000000000014</v>
      </c>
      <c r="AP1376">
        <v>1.1333333333333333</v>
      </c>
      <c r="AQ1376">
        <v>835.08</v>
      </c>
      <c r="AR1376">
        <v>55.3</v>
      </c>
      <c r="AT1376">
        <v>1093</v>
      </c>
      <c r="AU1376">
        <v>12.6</v>
      </c>
      <c r="AX1376" t="s">
        <v>424</v>
      </c>
    </row>
    <row r="1377" spans="1:50" x14ac:dyDescent="0.45">
      <c r="A1377">
        <v>20172</v>
      </c>
      <c r="B1377">
        <v>1</v>
      </c>
      <c r="C1377">
        <v>64.3</v>
      </c>
      <c r="D1377">
        <v>0</v>
      </c>
      <c r="E1377">
        <v>0</v>
      </c>
      <c r="F1377">
        <v>0</v>
      </c>
      <c r="G1377">
        <v>0</v>
      </c>
      <c r="H1377">
        <v>0</v>
      </c>
      <c r="I1377">
        <v>0</v>
      </c>
      <c r="J1377">
        <v>5.7</v>
      </c>
      <c r="K1377">
        <v>14.6</v>
      </c>
      <c r="L1377">
        <v>0</v>
      </c>
      <c r="M1377">
        <v>9.9</v>
      </c>
      <c r="N1377">
        <v>0</v>
      </c>
      <c r="O1377">
        <v>5.5</v>
      </c>
      <c r="P1377">
        <v>0</v>
      </c>
      <c r="Q1377">
        <v>0</v>
      </c>
      <c r="R1377">
        <v>0</v>
      </c>
      <c r="S1377">
        <v>0</v>
      </c>
      <c r="T1377">
        <v>0</v>
      </c>
      <c r="U1377">
        <v>0</v>
      </c>
      <c r="V1377">
        <v>0</v>
      </c>
      <c r="Y1377">
        <v>1</v>
      </c>
      <c r="Z1377">
        <v>0</v>
      </c>
      <c r="AA1377">
        <v>0</v>
      </c>
      <c r="AB1377">
        <v>0</v>
      </c>
      <c r="AC1377">
        <v>0</v>
      </c>
      <c r="AI1377">
        <v>0</v>
      </c>
      <c r="AO1377">
        <v>5.298</v>
      </c>
      <c r="AP1377">
        <v>4.25</v>
      </c>
      <c r="AQ1377">
        <v>884.25</v>
      </c>
      <c r="AR1377">
        <v>52.2</v>
      </c>
      <c r="AX1377" t="s">
        <v>405</v>
      </c>
    </row>
    <row r="1378" spans="1:50" x14ac:dyDescent="0.45">
      <c r="A1378">
        <v>20173</v>
      </c>
      <c r="B1378">
        <v>1</v>
      </c>
      <c r="C1378">
        <v>69.900000000000006</v>
      </c>
      <c r="D1378">
        <v>0</v>
      </c>
      <c r="E1378">
        <v>0</v>
      </c>
      <c r="F1378">
        <v>0</v>
      </c>
      <c r="G1378">
        <v>0</v>
      </c>
      <c r="H1378">
        <v>0</v>
      </c>
      <c r="I1378">
        <v>0</v>
      </c>
      <c r="J1378">
        <v>5.0999999999999996</v>
      </c>
      <c r="K1378">
        <v>20.5</v>
      </c>
      <c r="L1378">
        <v>0</v>
      </c>
      <c r="M1378">
        <v>0</v>
      </c>
      <c r="N1378">
        <v>0</v>
      </c>
      <c r="O1378">
        <v>4.5</v>
      </c>
      <c r="P1378">
        <v>0</v>
      </c>
      <c r="Q1378">
        <v>0</v>
      </c>
      <c r="R1378">
        <v>0</v>
      </c>
      <c r="S1378">
        <v>0</v>
      </c>
      <c r="T1378">
        <v>0</v>
      </c>
      <c r="U1378">
        <v>0</v>
      </c>
      <c r="V1378">
        <v>0</v>
      </c>
      <c r="Y1378">
        <v>1</v>
      </c>
      <c r="Z1378">
        <v>0</v>
      </c>
      <c r="AA1378">
        <v>0</v>
      </c>
      <c r="AB1378">
        <v>0</v>
      </c>
      <c r="AC1378">
        <v>0</v>
      </c>
      <c r="AI1378">
        <v>0</v>
      </c>
      <c r="AO1378">
        <v>6.73</v>
      </c>
      <c r="AP1378">
        <v>0.85</v>
      </c>
      <c r="AQ1378">
        <v>846.81</v>
      </c>
      <c r="AR1378">
        <v>50</v>
      </c>
      <c r="AX1378" t="s">
        <v>373</v>
      </c>
    </row>
    <row r="1379" spans="1:50" x14ac:dyDescent="0.45">
      <c r="A1379">
        <v>20174</v>
      </c>
      <c r="B1379">
        <v>1</v>
      </c>
      <c r="C1379">
        <v>68.7</v>
      </c>
      <c r="D1379">
        <v>0</v>
      </c>
      <c r="E1379">
        <v>0</v>
      </c>
      <c r="F1379">
        <v>0</v>
      </c>
      <c r="G1379">
        <v>0</v>
      </c>
      <c r="H1379">
        <v>0</v>
      </c>
      <c r="I1379">
        <v>0</v>
      </c>
      <c r="J1379">
        <v>5.0999999999999996</v>
      </c>
      <c r="K1379">
        <v>24.2</v>
      </c>
      <c r="L1379">
        <v>0</v>
      </c>
      <c r="M1379">
        <v>0</v>
      </c>
      <c r="N1379">
        <v>0</v>
      </c>
      <c r="O1379">
        <v>2</v>
      </c>
      <c r="P1379">
        <v>0</v>
      </c>
      <c r="Q1379">
        <v>0</v>
      </c>
      <c r="R1379">
        <v>0</v>
      </c>
      <c r="S1379">
        <v>0</v>
      </c>
      <c r="T1379">
        <v>0</v>
      </c>
      <c r="U1379">
        <v>0</v>
      </c>
      <c r="V1379">
        <v>0</v>
      </c>
      <c r="Y1379">
        <v>1</v>
      </c>
      <c r="Z1379">
        <v>0</v>
      </c>
      <c r="AA1379">
        <v>0</v>
      </c>
      <c r="AB1379">
        <v>0</v>
      </c>
      <c r="AC1379">
        <v>0</v>
      </c>
      <c r="AI1379">
        <v>0</v>
      </c>
      <c r="AO1379">
        <v>7.2160000000000011</v>
      </c>
      <c r="AP1379">
        <v>0.85</v>
      </c>
      <c r="AQ1379">
        <v>846.81</v>
      </c>
      <c r="AR1379">
        <v>48</v>
      </c>
      <c r="AX1379" t="s">
        <v>425</v>
      </c>
    </row>
    <row r="1380" spans="1:50" x14ac:dyDescent="0.45">
      <c r="A1380">
        <v>20175</v>
      </c>
      <c r="B1380">
        <v>1</v>
      </c>
      <c r="C1380">
        <v>70</v>
      </c>
      <c r="D1380">
        <v>0</v>
      </c>
      <c r="E1380">
        <v>0</v>
      </c>
      <c r="F1380">
        <v>0</v>
      </c>
      <c r="G1380">
        <v>0</v>
      </c>
      <c r="H1380">
        <v>0</v>
      </c>
      <c r="I1380">
        <v>0</v>
      </c>
      <c r="J1380">
        <v>3</v>
      </c>
      <c r="K1380">
        <v>25</v>
      </c>
      <c r="L1380">
        <v>0</v>
      </c>
      <c r="M1380">
        <v>0</v>
      </c>
      <c r="N1380">
        <v>0</v>
      </c>
      <c r="O1380">
        <v>2</v>
      </c>
      <c r="P1380">
        <v>0</v>
      </c>
      <c r="Q1380">
        <v>0</v>
      </c>
      <c r="R1380">
        <v>0</v>
      </c>
      <c r="S1380">
        <v>0</v>
      </c>
      <c r="T1380">
        <v>0</v>
      </c>
      <c r="U1380">
        <v>0</v>
      </c>
      <c r="V1380">
        <v>1</v>
      </c>
      <c r="X1380">
        <v>90</v>
      </c>
      <c r="Y1380">
        <v>0</v>
      </c>
      <c r="Z1380">
        <v>1</v>
      </c>
      <c r="AA1380">
        <v>0</v>
      </c>
      <c r="AB1380">
        <v>0</v>
      </c>
      <c r="AC1380">
        <v>1</v>
      </c>
      <c r="AD1380">
        <v>650</v>
      </c>
      <c r="AE1380">
        <v>0.16666666666666666</v>
      </c>
      <c r="AF1380">
        <v>0</v>
      </c>
      <c r="AG1380">
        <v>1</v>
      </c>
      <c r="AH1380">
        <v>0</v>
      </c>
      <c r="AI1380">
        <v>0</v>
      </c>
      <c r="AO1380">
        <v>7.4400000000000013</v>
      </c>
      <c r="AP1380">
        <v>0.5</v>
      </c>
      <c r="AQ1380">
        <v>861.3</v>
      </c>
      <c r="AR1380">
        <v>75.2</v>
      </c>
      <c r="AT1380">
        <v>864</v>
      </c>
      <c r="AU1380">
        <v>1.25</v>
      </c>
      <c r="AX1380" t="s">
        <v>414</v>
      </c>
    </row>
    <row r="1381" spans="1:50" x14ac:dyDescent="0.45">
      <c r="A1381">
        <v>20176</v>
      </c>
      <c r="B1381">
        <v>1</v>
      </c>
      <c r="C1381">
        <v>65</v>
      </c>
      <c r="D1381">
        <v>0</v>
      </c>
      <c r="E1381">
        <v>0</v>
      </c>
      <c r="F1381">
        <v>0</v>
      </c>
      <c r="G1381">
        <v>0</v>
      </c>
      <c r="H1381">
        <v>0</v>
      </c>
      <c r="I1381">
        <v>0</v>
      </c>
      <c r="J1381">
        <v>3</v>
      </c>
      <c r="K1381">
        <v>30</v>
      </c>
      <c r="L1381">
        <v>0</v>
      </c>
      <c r="M1381">
        <v>0</v>
      </c>
      <c r="N1381">
        <v>0</v>
      </c>
      <c r="O1381">
        <v>2</v>
      </c>
      <c r="P1381">
        <v>0</v>
      </c>
      <c r="Q1381">
        <v>0</v>
      </c>
      <c r="R1381">
        <v>0</v>
      </c>
      <c r="S1381">
        <v>0</v>
      </c>
      <c r="T1381">
        <v>0</v>
      </c>
      <c r="U1381">
        <v>0</v>
      </c>
      <c r="V1381">
        <v>1</v>
      </c>
      <c r="X1381">
        <v>90</v>
      </c>
      <c r="Y1381">
        <v>0</v>
      </c>
      <c r="Z1381">
        <v>1</v>
      </c>
      <c r="AA1381">
        <v>0</v>
      </c>
      <c r="AB1381">
        <v>0</v>
      </c>
      <c r="AC1381">
        <v>1</v>
      </c>
      <c r="AD1381">
        <v>650</v>
      </c>
      <c r="AE1381">
        <v>0.16666666666666666</v>
      </c>
      <c r="AF1381">
        <v>0</v>
      </c>
      <c r="AG1381">
        <v>1</v>
      </c>
      <c r="AH1381">
        <v>0</v>
      </c>
      <c r="AI1381">
        <v>0</v>
      </c>
      <c r="AO1381">
        <v>8.84</v>
      </c>
      <c r="AP1381">
        <v>0.5</v>
      </c>
      <c r="AQ1381">
        <v>861.3</v>
      </c>
      <c r="AR1381">
        <v>57.1</v>
      </c>
      <c r="AT1381">
        <v>663</v>
      </c>
      <c r="AU1381">
        <v>17.5</v>
      </c>
      <c r="AX1381" t="s">
        <v>414</v>
      </c>
    </row>
    <row r="1382" spans="1:50" x14ac:dyDescent="0.45">
      <c r="A1382">
        <v>20177</v>
      </c>
      <c r="B1382">
        <v>1</v>
      </c>
      <c r="C1382">
        <v>60</v>
      </c>
      <c r="D1382">
        <v>0</v>
      </c>
      <c r="E1382">
        <v>0</v>
      </c>
      <c r="F1382">
        <v>0</v>
      </c>
      <c r="G1382">
        <v>0</v>
      </c>
      <c r="H1382">
        <v>0</v>
      </c>
      <c r="I1382">
        <v>0</v>
      </c>
      <c r="J1382">
        <v>3</v>
      </c>
      <c r="K1382">
        <v>35</v>
      </c>
      <c r="L1382">
        <v>0</v>
      </c>
      <c r="M1382">
        <v>0</v>
      </c>
      <c r="N1382">
        <v>0</v>
      </c>
      <c r="O1382">
        <v>2</v>
      </c>
      <c r="P1382">
        <v>0</v>
      </c>
      <c r="Q1382">
        <v>0</v>
      </c>
      <c r="R1382">
        <v>0</v>
      </c>
      <c r="S1382">
        <v>0</v>
      </c>
      <c r="T1382">
        <v>0</v>
      </c>
      <c r="U1382">
        <v>0</v>
      </c>
      <c r="V1382">
        <v>1</v>
      </c>
      <c r="X1382">
        <v>90</v>
      </c>
      <c r="Y1382">
        <v>0</v>
      </c>
      <c r="Z1382">
        <v>1</v>
      </c>
      <c r="AA1382">
        <v>0</v>
      </c>
      <c r="AB1382">
        <v>0</v>
      </c>
      <c r="AC1382">
        <v>1</v>
      </c>
      <c r="AD1382">
        <v>650</v>
      </c>
      <c r="AE1382">
        <v>0.16666666666666666</v>
      </c>
      <c r="AF1382">
        <v>0</v>
      </c>
      <c r="AG1382">
        <v>1</v>
      </c>
      <c r="AH1382">
        <v>0</v>
      </c>
      <c r="AI1382">
        <v>0</v>
      </c>
      <c r="AO1382">
        <v>10.24</v>
      </c>
      <c r="AP1382">
        <v>0.5</v>
      </c>
      <c r="AQ1382">
        <v>861.3</v>
      </c>
      <c r="AR1382">
        <v>52</v>
      </c>
      <c r="AT1382">
        <v>431</v>
      </c>
      <c r="AU1382">
        <v>18.8</v>
      </c>
      <c r="AX1382" t="s">
        <v>414</v>
      </c>
    </row>
    <row r="1383" spans="1:50" x14ac:dyDescent="0.45">
      <c r="A1383">
        <v>20178</v>
      </c>
      <c r="B1383">
        <v>1</v>
      </c>
      <c r="C1383">
        <v>52.099999999999994</v>
      </c>
      <c r="D1383">
        <v>0</v>
      </c>
      <c r="E1383">
        <v>0</v>
      </c>
      <c r="F1383">
        <v>0</v>
      </c>
      <c r="G1383">
        <v>0</v>
      </c>
      <c r="H1383">
        <v>0</v>
      </c>
      <c r="I1383">
        <v>0</v>
      </c>
      <c r="J1383">
        <v>7.2</v>
      </c>
      <c r="K1383">
        <v>35</v>
      </c>
      <c r="L1383">
        <v>0</v>
      </c>
      <c r="M1383">
        <v>0</v>
      </c>
      <c r="N1383">
        <v>0</v>
      </c>
      <c r="O1383">
        <v>5.7</v>
      </c>
      <c r="P1383">
        <v>0</v>
      </c>
      <c r="Q1383">
        <v>0</v>
      </c>
      <c r="R1383">
        <v>0</v>
      </c>
      <c r="S1383">
        <v>0</v>
      </c>
      <c r="T1383">
        <v>0</v>
      </c>
      <c r="U1383">
        <v>0</v>
      </c>
      <c r="V1383">
        <v>0</v>
      </c>
      <c r="Y1383">
        <v>1</v>
      </c>
      <c r="Z1383">
        <v>0</v>
      </c>
      <c r="AA1383">
        <v>0</v>
      </c>
      <c r="AB1383">
        <v>0</v>
      </c>
      <c r="AC1383">
        <v>0</v>
      </c>
      <c r="AI1383">
        <v>0</v>
      </c>
      <c r="AO1383">
        <v>11.054</v>
      </c>
      <c r="AP1383">
        <v>1.2</v>
      </c>
      <c r="AQ1383">
        <v>832.31999999999994</v>
      </c>
      <c r="AR1383">
        <v>57</v>
      </c>
      <c r="AX1383" t="s">
        <v>410</v>
      </c>
    </row>
    <row r="1384" spans="1:50" x14ac:dyDescent="0.45">
      <c r="A1384">
        <v>20179</v>
      </c>
      <c r="B1384">
        <v>1</v>
      </c>
      <c r="C1384">
        <v>53</v>
      </c>
      <c r="D1384">
        <v>0</v>
      </c>
      <c r="E1384">
        <v>0</v>
      </c>
      <c r="F1384">
        <v>0</v>
      </c>
      <c r="G1384">
        <v>0</v>
      </c>
      <c r="H1384">
        <v>0</v>
      </c>
      <c r="I1384">
        <v>0</v>
      </c>
      <c r="J1384">
        <v>7</v>
      </c>
      <c r="K1384">
        <v>35</v>
      </c>
      <c r="L1384">
        <v>0</v>
      </c>
      <c r="M1384">
        <v>0</v>
      </c>
      <c r="N1384">
        <v>0</v>
      </c>
      <c r="O1384">
        <v>5</v>
      </c>
      <c r="P1384">
        <v>0</v>
      </c>
      <c r="Q1384">
        <v>0</v>
      </c>
      <c r="R1384">
        <v>0</v>
      </c>
      <c r="S1384">
        <v>0</v>
      </c>
      <c r="T1384">
        <v>0</v>
      </c>
      <c r="U1384">
        <v>0</v>
      </c>
      <c r="V1384">
        <v>0</v>
      </c>
      <c r="Y1384">
        <v>1</v>
      </c>
      <c r="Z1384">
        <v>0</v>
      </c>
      <c r="AA1384">
        <v>0</v>
      </c>
      <c r="AB1384">
        <v>0</v>
      </c>
      <c r="AC1384">
        <v>0</v>
      </c>
      <c r="AI1384">
        <v>0</v>
      </c>
      <c r="AO1384">
        <v>10.9</v>
      </c>
      <c r="AP1384">
        <v>1.1666666666666667</v>
      </c>
      <c r="AQ1384">
        <v>833.7</v>
      </c>
      <c r="AR1384">
        <v>55</v>
      </c>
      <c r="AX1384" t="s">
        <v>426</v>
      </c>
    </row>
    <row r="1385" spans="1:50" x14ac:dyDescent="0.45">
      <c r="A1385">
        <v>20180</v>
      </c>
      <c r="B1385">
        <v>1</v>
      </c>
      <c r="C1385">
        <v>51.44</v>
      </c>
      <c r="D1385">
        <v>0</v>
      </c>
      <c r="E1385">
        <v>0</v>
      </c>
      <c r="F1385">
        <v>0</v>
      </c>
      <c r="G1385">
        <v>0</v>
      </c>
      <c r="H1385">
        <v>0</v>
      </c>
      <c r="I1385">
        <v>0</v>
      </c>
      <c r="J1385">
        <v>7.3</v>
      </c>
      <c r="K1385">
        <v>35.5</v>
      </c>
      <c r="L1385">
        <v>0</v>
      </c>
      <c r="M1385">
        <v>0</v>
      </c>
      <c r="N1385">
        <v>0</v>
      </c>
      <c r="O1385">
        <v>5.7</v>
      </c>
      <c r="P1385">
        <v>0</v>
      </c>
      <c r="Q1385">
        <v>0</v>
      </c>
      <c r="R1385">
        <v>0</v>
      </c>
      <c r="S1385">
        <v>0</v>
      </c>
      <c r="T1385">
        <v>0.06</v>
      </c>
      <c r="U1385">
        <v>0</v>
      </c>
      <c r="V1385">
        <v>1</v>
      </c>
      <c r="W1385">
        <v>1100</v>
      </c>
      <c r="Y1385">
        <v>0</v>
      </c>
      <c r="Z1385">
        <v>0</v>
      </c>
      <c r="AA1385">
        <v>1</v>
      </c>
      <c r="AB1385">
        <v>0</v>
      </c>
      <c r="AC1385">
        <v>1</v>
      </c>
      <c r="AD1385">
        <v>1400</v>
      </c>
      <c r="AE1385">
        <v>2</v>
      </c>
      <c r="AF1385">
        <v>0</v>
      </c>
      <c r="AG1385">
        <v>0</v>
      </c>
      <c r="AH1385">
        <v>1</v>
      </c>
      <c r="AI1385">
        <v>0</v>
      </c>
      <c r="AO1385">
        <v>11.194000000000001</v>
      </c>
      <c r="AP1385">
        <v>1.2226666666666666</v>
      </c>
      <c r="AQ1385">
        <v>839.01</v>
      </c>
      <c r="AR1385">
        <v>63</v>
      </c>
      <c r="AS1385">
        <v>447</v>
      </c>
      <c r="AT1385">
        <v>545</v>
      </c>
      <c r="AU1385">
        <v>21</v>
      </c>
      <c r="AV1385">
        <v>164</v>
      </c>
      <c r="AX1385" t="s">
        <v>427</v>
      </c>
    </row>
    <row r="1386" spans="1:50" x14ac:dyDescent="0.45">
      <c r="A1386">
        <v>20181</v>
      </c>
      <c r="B1386">
        <v>1</v>
      </c>
      <c r="C1386">
        <v>49.44</v>
      </c>
      <c r="D1386">
        <v>0</v>
      </c>
      <c r="E1386">
        <v>0</v>
      </c>
      <c r="F1386">
        <v>0</v>
      </c>
      <c r="G1386">
        <v>0</v>
      </c>
      <c r="H1386">
        <v>2</v>
      </c>
      <c r="I1386">
        <v>0</v>
      </c>
      <c r="J1386">
        <v>7.3</v>
      </c>
      <c r="K1386">
        <v>35.5</v>
      </c>
      <c r="L1386">
        <v>0</v>
      </c>
      <c r="M1386">
        <v>0</v>
      </c>
      <c r="N1386">
        <v>0</v>
      </c>
      <c r="O1386">
        <v>5.7</v>
      </c>
      <c r="P1386">
        <v>0</v>
      </c>
      <c r="Q1386">
        <v>0</v>
      </c>
      <c r="R1386">
        <v>0</v>
      </c>
      <c r="S1386">
        <v>0</v>
      </c>
      <c r="T1386">
        <v>0.06</v>
      </c>
      <c r="U1386">
        <v>0</v>
      </c>
      <c r="V1386">
        <v>1</v>
      </c>
      <c r="W1386">
        <v>1100</v>
      </c>
      <c r="Y1386">
        <v>0</v>
      </c>
      <c r="Z1386">
        <v>0</v>
      </c>
      <c r="AA1386">
        <v>1</v>
      </c>
      <c r="AB1386">
        <v>0</v>
      </c>
      <c r="AC1386">
        <v>1</v>
      </c>
      <c r="AD1386">
        <v>1400</v>
      </c>
      <c r="AE1386">
        <v>2</v>
      </c>
      <c r="AF1386">
        <v>0</v>
      </c>
      <c r="AG1386">
        <v>0</v>
      </c>
      <c r="AH1386">
        <v>1</v>
      </c>
      <c r="AI1386">
        <v>0</v>
      </c>
      <c r="AO1386">
        <v>16.994</v>
      </c>
      <c r="AP1386">
        <v>1.2226666666666666</v>
      </c>
      <c r="AQ1386">
        <v>808.21</v>
      </c>
      <c r="AR1386">
        <v>107</v>
      </c>
      <c r="AS1386">
        <v>817</v>
      </c>
      <c r="AT1386">
        <v>1130</v>
      </c>
      <c r="AU1386">
        <v>28</v>
      </c>
      <c r="AV1386">
        <v>321</v>
      </c>
      <c r="AX1386" t="s">
        <v>427</v>
      </c>
    </row>
    <row r="1387" spans="1:50" x14ac:dyDescent="0.45">
      <c r="A1387">
        <v>20182</v>
      </c>
      <c r="B1387">
        <v>1</v>
      </c>
      <c r="C1387">
        <v>49.15</v>
      </c>
      <c r="D1387">
        <v>0</v>
      </c>
      <c r="E1387">
        <v>0</v>
      </c>
      <c r="F1387">
        <v>0</v>
      </c>
      <c r="G1387">
        <v>0</v>
      </c>
      <c r="H1387">
        <v>2</v>
      </c>
      <c r="I1387">
        <v>0</v>
      </c>
      <c r="J1387">
        <v>7.3</v>
      </c>
      <c r="K1387">
        <v>35.5</v>
      </c>
      <c r="L1387">
        <v>0</v>
      </c>
      <c r="M1387">
        <v>0</v>
      </c>
      <c r="N1387">
        <v>0</v>
      </c>
      <c r="O1387">
        <v>5.7</v>
      </c>
      <c r="P1387">
        <v>0</v>
      </c>
      <c r="Q1387">
        <v>0</v>
      </c>
      <c r="R1387">
        <v>0</v>
      </c>
      <c r="S1387">
        <v>0</v>
      </c>
      <c r="T1387">
        <v>0.35</v>
      </c>
      <c r="U1387">
        <v>0</v>
      </c>
      <c r="V1387">
        <v>1</v>
      </c>
      <c r="W1387">
        <v>1100</v>
      </c>
      <c r="Y1387">
        <v>0</v>
      </c>
      <c r="Z1387">
        <v>0</v>
      </c>
      <c r="AA1387">
        <v>1</v>
      </c>
      <c r="AB1387">
        <v>0</v>
      </c>
      <c r="AC1387">
        <v>1</v>
      </c>
      <c r="AD1387">
        <v>1400</v>
      </c>
      <c r="AE1387">
        <v>2</v>
      </c>
      <c r="AF1387">
        <v>0</v>
      </c>
      <c r="AG1387">
        <v>0</v>
      </c>
      <c r="AH1387">
        <v>1</v>
      </c>
      <c r="AI1387">
        <v>0</v>
      </c>
      <c r="AO1387">
        <v>16.994</v>
      </c>
      <c r="AP1387">
        <v>1.2516666666666665</v>
      </c>
      <c r="AQ1387">
        <v>843.88</v>
      </c>
      <c r="AR1387">
        <v>80</v>
      </c>
      <c r="AS1387">
        <v>1017</v>
      </c>
      <c r="AT1387">
        <v>1217</v>
      </c>
      <c r="AU1387">
        <v>21</v>
      </c>
      <c r="AV1387">
        <v>335</v>
      </c>
      <c r="AX1387" t="s">
        <v>427</v>
      </c>
    </row>
    <row r="1388" spans="1:50" x14ac:dyDescent="0.45">
      <c r="A1388">
        <v>20183</v>
      </c>
      <c r="B1388">
        <v>1</v>
      </c>
      <c r="C1388">
        <v>48.84</v>
      </c>
      <c r="D1388">
        <v>0</v>
      </c>
      <c r="E1388">
        <v>0</v>
      </c>
      <c r="F1388">
        <v>0</v>
      </c>
      <c r="G1388">
        <v>0</v>
      </c>
      <c r="H1388">
        <v>2</v>
      </c>
      <c r="I1388">
        <v>0</v>
      </c>
      <c r="J1388">
        <v>7.3</v>
      </c>
      <c r="K1388">
        <v>35.5</v>
      </c>
      <c r="L1388">
        <v>0</v>
      </c>
      <c r="M1388">
        <v>0</v>
      </c>
      <c r="N1388">
        <v>0</v>
      </c>
      <c r="O1388">
        <v>5.7</v>
      </c>
      <c r="P1388">
        <v>0</v>
      </c>
      <c r="Q1388">
        <v>0</v>
      </c>
      <c r="R1388">
        <v>0</v>
      </c>
      <c r="S1388">
        <v>0</v>
      </c>
      <c r="T1388">
        <v>0.66</v>
      </c>
      <c r="U1388">
        <v>0</v>
      </c>
      <c r="V1388">
        <v>0</v>
      </c>
      <c r="Y1388">
        <v>1</v>
      </c>
      <c r="Z1388">
        <v>0</v>
      </c>
      <c r="AA1388">
        <v>0</v>
      </c>
      <c r="AB1388">
        <v>0</v>
      </c>
      <c r="AC1388">
        <v>1</v>
      </c>
      <c r="AD1388">
        <v>1400</v>
      </c>
      <c r="AE1388">
        <v>2</v>
      </c>
      <c r="AF1388">
        <v>0</v>
      </c>
      <c r="AG1388">
        <v>0</v>
      </c>
      <c r="AH1388">
        <v>1</v>
      </c>
      <c r="AI1388">
        <v>0</v>
      </c>
      <c r="AO1388">
        <v>16.994</v>
      </c>
      <c r="AP1388">
        <v>1.2826666666666666</v>
      </c>
      <c r="AQ1388">
        <v>882.01</v>
      </c>
      <c r="AR1388">
        <v>109</v>
      </c>
      <c r="AV1388">
        <v>371</v>
      </c>
      <c r="AX1388" t="s">
        <v>427</v>
      </c>
    </row>
    <row r="1389" spans="1:50" x14ac:dyDescent="0.45">
      <c r="A1389">
        <v>20184</v>
      </c>
      <c r="B1389">
        <v>0</v>
      </c>
      <c r="C1389">
        <v>48.9</v>
      </c>
      <c r="D1389">
        <v>0</v>
      </c>
      <c r="E1389">
        <v>0</v>
      </c>
      <c r="F1389">
        <v>0</v>
      </c>
      <c r="G1389">
        <v>0</v>
      </c>
      <c r="H1389">
        <v>2</v>
      </c>
      <c r="I1389">
        <v>0</v>
      </c>
      <c r="J1389">
        <v>7.3</v>
      </c>
      <c r="K1389">
        <v>35.5</v>
      </c>
      <c r="L1389">
        <v>0</v>
      </c>
      <c r="M1389">
        <v>0</v>
      </c>
      <c r="N1389">
        <v>0</v>
      </c>
      <c r="O1389">
        <v>5.7</v>
      </c>
      <c r="P1389">
        <v>0</v>
      </c>
      <c r="Q1389">
        <v>0.25</v>
      </c>
      <c r="R1389">
        <v>0</v>
      </c>
      <c r="S1389">
        <v>0</v>
      </c>
      <c r="T1389">
        <v>0.35</v>
      </c>
      <c r="U1389">
        <v>0</v>
      </c>
      <c r="V1389">
        <v>0</v>
      </c>
      <c r="Y1389">
        <v>1</v>
      </c>
      <c r="Z1389">
        <v>0</v>
      </c>
      <c r="AA1389">
        <v>0</v>
      </c>
      <c r="AB1389">
        <v>0</v>
      </c>
      <c r="AC1389">
        <v>1</v>
      </c>
      <c r="AD1389">
        <v>1400</v>
      </c>
      <c r="AE1389">
        <v>2</v>
      </c>
      <c r="AF1389">
        <v>0</v>
      </c>
      <c r="AG1389">
        <v>0</v>
      </c>
      <c r="AH1389">
        <v>1</v>
      </c>
      <c r="AI1389">
        <v>0</v>
      </c>
      <c r="AO1389">
        <v>16.994</v>
      </c>
      <c r="AP1389">
        <v>1.2516666666666665</v>
      </c>
      <c r="AQ1389">
        <v>849.70500000000004</v>
      </c>
      <c r="AR1389">
        <v>87</v>
      </c>
      <c r="AS1389">
        <v>1085</v>
      </c>
      <c r="AT1389">
        <v>1373</v>
      </c>
      <c r="AU1389">
        <v>24</v>
      </c>
      <c r="AV1389">
        <v>337</v>
      </c>
      <c r="AX1389" t="s">
        <v>427</v>
      </c>
    </row>
    <row r="1390" spans="1:50" x14ac:dyDescent="0.45">
      <c r="A1390">
        <v>20185</v>
      </c>
      <c r="B1390">
        <v>0</v>
      </c>
      <c r="C1390">
        <v>48.59</v>
      </c>
      <c r="D1390">
        <v>0</v>
      </c>
      <c r="E1390">
        <v>0</v>
      </c>
      <c r="F1390">
        <v>0</v>
      </c>
      <c r="G1390">
        <v>0</v>
      </c>
      <c r="H1390">
        <v>2</v>
      </c>
      <c r="I1390">
        <v>0</v>
      </c>
      <c r="J1390">
        <v>7.3</v>
      </c>
      <c r="K1390">
        <v>35.5</v>
      </c>
      <c r="L1390">
        <v>0</v>
      </c>
      <c r="M1390">
        <v>0</v>
      </c>
      <c r="N1390">
        <v>0</v>
      </c>
      <c r="O1390">
        <v>5.7</v>
      </c>
      <c r="P1390">
        <v>0</v>
      </c>
      <c r="Q1390">
        <v>0.25</v>
      </c>
      <c r="R1390">
        <v>0</v>
      </c>
      <c r="S1390">
        <v>0</v>
      </c>
      <c r="T1390">
        <v>0.66</v>
      </c>
      <c r="U1390">
        <v>0</v>
      </c>
      <c r="V1390">
        <v>0</v>
      </c>
      <c r="Y1390">
        <v>1</v>
      </c>
      <c r="Z1390">
        <v>0</v>
      </c>
      <c r="AA1390">
        <v>0</v>
      </c>
      <c r="AB1390">
        <v>0</v>
      </c>
      <c r="AC1390">
        <v>1</v>
      </c>
      <c r="AD1390">
        <v>1400</v>
      </c>
      <c r="AE1390">
        <v>2</v>
      </c>
      <c r="AF1390">
        <v>0</v>
      </c>
      <c r="AG1390">
        <v>0</v>
      </c>
      <c r="AH1390">
        <v>1</v>
      </c>
      <c r="AI1390">
        <v>0</v>
      </c>
      <c r="AO1390">
        <v>16.994</v>
      </c>
      <c r="AP1390">
        <v>1.2826666666666666</v>
      </c>
      <c r="AQ1390">
        <v>887.83500000000004</v>
      </c>
      <c r="AR1390">
        <v>94</v>
      </c>
      <c r="AV1390">
        <v>390</v>
      </c>
      <c r="AX1390" t="s">
        <v>427</v>
      </c>
    </row>
    <row r="1391" spans="1:50" x14ac:dyDescent="0.45">
      <c r="A1391">
        <v>20186</v>
      </c>
      <c r="B1391">
        <v>0</v>
      </c>
      <c r="C1391">
        <v>49.19</v>
      </c>
      <c r="D1391">
        <v>0</v>
      </c>
      <c r="E1391">
        <v>0</v>
      </c>
      <c r="F1391">
        <v>0</v>
      </c>
      <c r="G1391">
        <v>0</v>
      </c>
      <c r="H1391">
        <v>2</v>
      </c>
      <c r="I1391">
        <v>0</v>
      </c>
      <c r="J1391">
        <v>7.3</v>
      </c>
      <c r="K1391">
        <v>35.5</v>
      </c>
      <c r="L1391">
        <v>0</v>
      </c>
      <c r="M1391">
        <v>0</v>
      </c>
      <c r="N1391">
        <v>0</v>
      </c>
      <c r="O1391">
        <v>5.7</v>
      </c>
      <c r="P1391">
        <v>0</v>
      </c>
      <c r="Q1391">
        <v>0.25</v>
      </c>
      <c r="R1391">
        <v>0</v>
      </c>
      <c r="S1391">
        <v>0</v>
      </c>
      <c r="T1391">
        <v>0.06</v>
      </c>
      <c r="U1391">
        <v>0</v>
      </c>
      <c r="V1391">
        <v>0</v>
      </c>
      <c r="Y1391">
        <v>1</v>
      </c>
      <c r="Z1391">
        <v>0</v>
      </c>
      <c r="AA1391">
        <v>0</v>
      </c>
      <c r="AB1391">
        <v>0</v>
      </c>
      <c r="AC1391">
        <v>1</v>
      </c>
      <c r="AD1391">
        <v>1400</v>
      </c>
      <c r="AE1391">
        <v>2</v>
      </c>
      <c r="AF1391">
        <v>0</v>
      </c>
      <c r="AG1391">
        <v>0</v>
      </c>
      <c r="AH1391">
        <v>1</v>
      </c>
      <c r="AI1391">
        <v>0</v>
      </c>
      <c r="AO1391">
        <v>16.994</v>
      </c>
      <c r="AP1391">
        <v>1.2226666666666666</v>
      </c>
      <c r="AQ1391">
        <v>814.03500000000008</v>
      </c>
      <c r="AR1391">
        <v>85</v>
      </c>
      <c r="AV1391">
        <v>328</v>
      </c>
      <c r="AX1391" t="s">
        <v>427</v>
      </c>
    </row>
    <row r="1392" spans="1:50" x14ac:dyDescent="0.45">
      <c r="A1392">
        <v>20187</v>
      </c>
      <c r="B1392">
        <v>1</v>
      </c>
      <c r="C1392">
        <v>54.55</v>
      </c>
      <c r="D1392">
        <v>0</v>
      </c>
      <c r="E1392">
        <v>0</v>
      </c>
      <c r="F1392">
        <v>0</v>
      </c>
      <c r="G1392">
        <v>0</v>
      </c>
      <c r="H1392">
        <v>0</v>
      </c>
      <c r="I1392">
        <v>0</v>
      </c>
      <c r="J1392">
        <v>8.92</v>
      </c>
      <c r="K1392">
        <v>19.649999999999999</v>
      </c>
      <c r="L1392">
        <v>6.52</v>
      </c>
      <c r="M1392">
        <v>0</v>
      </c>
      <c r="N1392">
        <v>0</v>
      </c>
      <c r="O1392">
        <v>10.36</v>
      </c>
      <c r="P1392">
        <v>0</v>
      </c>
      <c r="Q1392">
        <v>0</v>
      </c>
      <c r="R1392">
        <v>0</v>
      </c>
      <c r="S1392">
        <v>0</v>
      </c>
      <c r="T1392">
        <v>0</v>
      </c>
      <c r="U1392">
        <v>0</v>
      </c>
      <c r="V1392">
        <v>0</v>
      </c>
      <c r="Y1392">
        <v>1</v>
      </c>
      <c r="Z1392">
        <v>0</v>
      </c>
      <c r="AA1392">
        <v>0</v>
      </c>
      <c r="AB1392">
        <v>0</v>
      </c>
      <c r="AC1392">
        <v>1</v>
      </c>
      <c r="AD1392">
        <v>1200</v>
      </c>
      <c r="AE1392">
        <v>30</v>
      </c>
      <c r="AF1392">
        <v>1</v>
      </c>
      <c r="AG1392">
        <v>0</v>
      </c>
      <c r="AH1392">
        <v>0</v>
      </c>
      <c r="AI1392">
        <v>0</v>
      </c>
      <c r="AO1392">
        <v>14.301199999999998</v>
      </c>
      <c r="AP1392">
        <v>1.4866666666666666</v>
      </c>
      <c r="AQ1392">
        <v>758.51199999999994</v>
      </c>
      <c r="AR1392">
        <v>86.53</v>
      </c>
      <c r="AX1392" t="s">
        <v>415</v>
      </c>
    </row>
    <row r="1393" spans="1:50" x14ac:dyDescent="0.45">
      <c r="A1393">
        <v>20188</v>
      </c>
      <c r="B1393">
        <v>1</v>
      </c>
      <c r="C1393">
        <v>51.15</v>
      </c>
      <c r="D1393">
        <v>0</v>
      </c>
      <c r="E1393">
        <v>0</v>
      </c>
      <c r="F1393">
        <v>0</v>
      </c>
      <c r="G1393">
        <v>0</v>
      </c>
      <c r="H1393">
        <v>0</v>
      </c>
      <c r="I1393">
        <v>0</v>
      </c>
      <c r="J1393">
        <v>7.3</v>
      </c>
      <c r="K1393">
        <v>35.5</v>
      </c>
      <c r="L1393">
        <v>0</v>
      </c>
      <c r="M1393">
        <v>0</v>
      </c>
      <c r="N1393">
        <v>0</v>
      </c>
      <c r="O1393">
        <v>5.7</v>
      </c>
      <c r="P1393">
        <v>0</v>
      </c>
      <c r="Q1393">
        <v>0</v>
      </c>
      <c r="R1393">
        <v>0</v>
      </c>
      <c r="S1393">
        <v>0</v>
      </c>
      <c r="T1393">
        <v>0.35</v>
      </c>
      <c r="U1393">
        <v>0</v>
      </c>
      <c r="V1393">
        <v>1</v>
      </c>
      <c r="W1393">
        <v>1100</v>
      </c>
      <c r="Y1393">
        <v>0</v>
      </c>
      <c r="Z1393">
        <v>0</v>
      </c>
      <c r="AA1393">
        <v>1</v>
      </c>
      <c r="AB1393">
        <v>0</v>
      </c>
      <c r="AC1393">
        <v>1</v>
      </c>
      <c r="AD1393">
        <v>1400</v>
      </c>
      <c r="AE1393">
        <v>2</v>
      </c>
      <c r="AF1393">
        <v>0</v>
      </c>
      <c r="AG1393">
        <v>0</v>
      </c>
      <c r="AH1393">
        <v>1</v>
      </c>
      <c r="AI1393">
        <v>0</v>
      </c>
      <c r="AO1393">
        <v>11.194000000000001</v>
      </c>
      <c r="AP1393">
        <v>1.2516666666666665</v>
      </c>
      <c r="AQ1393">
        <v>874.68</v>
      </c>
      <c r="AR1393">
        <v>79</v>
      </c>
      <c r="AS1393">
        <v>587</v>
      </c>
      <c r="AT1393">
        <v>719</v>
      </c>
      <c r="AU1393">
        <v>27</v>
      </c>
      <c r="AV1393">
        <v>236</v>
      </c>
      <c r="AX1393" t="s">
        <v>427</v>
      </c>
    </row>
    <row r="1394" spans="1:50" x14ac:dyDescent="0.45">
      <c r="A1394">
        <v>20189</v>
      </c>
      <c r="B1394">
        <v>1</v>
      </c>
      <c r="C1394">
        <v>50.84</v>
      </c>
      <c r="D1394">
        <v>0</v>
      </c>
      <c r="E1394">
        <v>0</v>
      </c>
      <c r="F1394">
        <v>0</v>
      </c>
      <c r="G1394">
        <v>0</v>
      </c>
      <c r="H1394">
        <v>0</v>
      </c>
      <c r="I1394">
        <v>0</v>
      </c>
      <c r="J1394">
        <v>7.3</v>
      </c>
      <c r="K1394">
        <v>35.5</v>
      </c>
      <c r="L1394">
        <v>0</v>
      </c>
      <c r="M1394">
        <v>0</v>
      </c>
      <c r="N1394">
        <v>0</v>
      </c>
      <c r="O1394">
        <v>5.7</v>
      </c>
      <c r="P1394">
        <v>0</v>
      </c>
      <c r="Q1394">
        <v>0</v>
      </c>
      <c r="R1394">
        <v>0</v>
      </c>
      <c r="S1394">
        <v>0</v>
      </c>
      <c r="T1394">
        <v>0.66</v>
      </c>
      <c r="U1394">
        <v>0</v>
      </c>
      <c r="V1394">
        <v>1</v>
      </c>
      <c r="W1394">
        <v>1100</v>
      </c>
      <c r="Y1394">
        <v>0</v>
      </c>
      <c r="Z1394">
        <v>0</v>
      </c>
      <c r="AA1394">
        <v>1</v>
      </c>
      <c r="AB1394">
        <v>0</v>
      </c>
      <c r="AC1394">
        <v>1</v>
      </c>
      <c r="AD1394">
        <v>1400</v>
      </c>
      <c r="AE1394">
        <v>2</v>
      </c>
      <c r="AF1394">
        <v>0</v>
      </c>
      <c r="AG1394">
        <v>0</v>
      </c>
      <c r="AH1394">
        <v>1</v>
      </c>
      <c r="AI1394">
        <v>0</v>
      </c>
      <c r="AO1394">
        <v>11.194000000000001</v>
      </c>
      <c r="AP1394">
        <v>1.2826666666666666</v>
      </c>
      <c r="AQ1394">
        <v>912.81</v>
      </c>
      <c r="AR1394">
        <v>81</v>
      </c>
      <c r="AS1394">
        <v>860</v>
      </c>
      <c r="AT1394">
        <v>903</v>
      </c>
      <c r="AU1394">
        <v>16</v>
      </c>
      <c r="AV1394">
        <v>270</v>
      </c>
      <c r="AX1394" t="s">
        <v>427</v>
      </c>
    </row>
    <row r="1395" spans="1:50" x14ac:dyDescent="0.45">
      <c r="A1395">
        <v>20190</v>
      </c>
      <c r="B1395">
        <v>1</v>
      </c>
      <c r="C1395">
        <v>52.55</v>
      </c>
      <c r="D1395">
        <v>0</v>
      </c>
      <c r="E1395">
        <v>0</v>
      </c>
      <c r="F1395">
        <v>0</v>
      </c>
      <c r="G1395">
        <v>0</v>
      </c>
      <c r="H1395">
        <v>0</v>
      </c>
      <c r="I1395">
        <v>0</v>
      </c>
      <c r="J1395">
        <v>7.2</v>
      </c>
      <c r="K1395">
        <v>35</v>
      </c>
      <c r="L1395">
        <v>0</v>
      </c>
      <c r="M1395">
        <v>0</v>
      </c>
      <c r="N1395">
        <v>0</v>
      </c>
      <c r="O1395">
        <v>4.9000000000000004</v>
      </c>
      <c r="P1395">
        <v>0</v>
      </c>
      <c r="Q1395">
        <v>0</v>
      </c>
      <c r="R1395">
        <v>0</v>
      </c>
      <c r="S1395">
        <v>0</v>
      </c>
      <c r="T1395">
        <v>0.35</v>
      </c>
      <c r="U1395">
        <v>0</v>
      </c>
      <c r="V1395">
        <v>0</v>
      </c>
      <c r="Y1395">
        <v>1</v>
      </c>
      <c r="Z1395">
        <v>0</v>
      </c>
      <c r="AA1395">
        <v>0</v>
      </c>
      <c r="AB1395">
        <v>0</v>
      </c>
      <c r="AC1395">
        <v>1</v>
      </c>
      <c r="AD1395">
        <v>750</v>
      </c>
      <c r="AE1395">
        <v>8</v>
      </c>
      <c r="AF1395">
        <v>1</v>
      </c>
      <c r="AG1395">
        <v>0</v>
      </c>
      <c r="AH1395">
        <v>0</v>
      </c>
      <c r="AI1395">
        <v>0</v>
      </c>
      <c r="AO1395">
        <v>10.878</v>
      </c>
      <c r="AP1395">
        <v>1.2349999999999999</v>
      </c>
      <c r="AQ1395">
        <v>875.36999999999989</v>
      </c>
      <c r="AR1395">
        <v>41.5</v>
      </c>
      <c r="AS1395">
        <v>857</v>
      </c>
      <c r="AT1395">
        <v>876</v>
      </c>
      <c r="AU1395">
        <v>14.2</v>
      </c>
      <c r="AX1395" t="s">
        <v>428</v>
      </c>
    </row>
    <row r="1396" spans="1:50" x14ac:dyDescent="0.45">
      <c r="A1396">
        <v>20191</v>
      </c>
      <c r="B1396">
        <v>1</v>
      </c>
      <c r="C1396">
        <v>52.55</v>
      </c>
      <c r="D1396">
        <v>0</v>
      </c>
      <c r="E1396">
        <v>0</v>
      </c>
      <c r="F1396">
        <v>0</v>
      </c>
      <c r="G1396">
        <v>0</v>
      </c>
      <c r="H1396">
        <v>0</v>
      </c>
      <c r="I1396">
        <v>0</v>
      </c>
      <c r="J1396">
        <v>7.2</v>
      </c>
      <c r="K1396">
        <v>35</v>
      </c>
      <c r="L1396">
        <v>0</v>
      </c>
      <c r="M1396">
        <v>0</v>
      </c>
      <c r="N1396">
        <v>0</v>
      </c>
      <c r="O1396">
        <v>4.9000000000000004</v>
      </c>
      <c r="P1396">
        <v>0</v>
      </c>
      <c r="Q1396">
        <v>0</v>
      </c>
      <c r="R1396">
        <v>0</v>
      </c>
      <c r="S1396">
        <v>0</v>
      </c>
      <c r="T1396">
        <v>0.35</v>
      </c>
      <c r="U1396">
        <v>0</v>
      </c>
      <c r="V1396">
        <v>0</v>
      </c>
      <c r="Y1396">
        <v>1</v>
      </c>
      <c r="Z1396">
        <v>0</v>
      </c>
      <c r="AA1396">
        <v>0</v>
      </c>
      <c r="AB1396">
        <v>0</v>
      </c>
      <c r="AC1396">
        <v>1</v>
      </c>
      <c r="AD1396">
        <v>750</v>
      </c>
      <c r="AE1396">
        <v>8</v>
      </c>
      <c r="AF1396">
        <v>1</v>
      </c>
      <c r="AG1396">
        <v>0</v>
      </c>
      <c r="AH1396">
        <v>0</v>
      </c>
      <c r="AI1396">
        <v>1</v>
      </c>
      <c r="AJ1396">
        <v>300</v>
      </c>
      <c r="AK1396">
        <v>8</v>
      </c>
      <c r="AL1396">
        <v>1</v>
      </c>
      <c r="AM1396">
        <v>0</v>
      </c>
      <c r="AN1396">
        <v>0</v>
      </c>
      <c r="AO1396">
        <v>10.878</v>
      </c>
      <c r="AP1396">
        <v>1.2349999999999999</v>
      </c>
      <c r="AQ1396">
        <v>875.36999999999989</v>
      </c>
      <c r="AR1396">
        <v>45.8</v>
      </c>
      <c r="AS1396">
        <v>923</v>
      </c>
      <c r="AT1396">
        <v>969</v>
      </c>
      <c r="AU1396">
        <v>15.6</v>
      </c>
      <c r="AX1396" t="s">
        <v>429</v>
      </c>
    </row>
    <row r="1397" spans="1:50" x14ac:dyDescent="0.45">
      <c r="A1397">
        <v>20192</v>
      </c>
      <c r="B1397">
        <v>1</v>
      </c>
      <c r="C1397">
        <v>52.55</v>
      </c>
      <c r="D1397">
        <v>0</v>
      </c>
      <c r="E1397">
        <v>0</v>
      </c>
      <c r="F1397">
        <v>0</v>
      </c>
      <c r="G1397">
        <v>0</v>
      </c>
      <c r="H1397">
        <v>0</v>
      </c>
      <c r="I1397">
        <v>0</v>
      </c>
      <c r="J1397">
        <v>7.2</v>
      </c>
      <c r="K1397">
        <v>35</v>
      </c>
      <c r="L1397">
        <v>0</v>
      </c>
      <c r="M1397">
        <v>0</v>
      </c>
      <c r="N1397">
        <v>0</v>
      </c>
      <c r="O1397">
        <v>4.9000000000000004</v>
      </c>
      <c r="P1397">
        <v>0</v>
      </c>
      <c r="Q1397">
        <v>0</v>
      </c>
      <c r="R1397">
        <v>0</v>
      </c>
      <c r="S1397">
        <v>0</v>
      </c>
      <c r="T1397">
        <v>0.35</v>
      </c>
      <c r="U1397">
        <v>0</v>
      </c>
      <c r="V1397">
        <v>0</v>
      </c>
      <c r="Y1397">
        <v>1</v>
      </c>
      <c r="Z1397">
        <v>0</v>
      </c>
      <c r="AA1397">
        <v>0</v>
      </c>
      <c r="AB1397">
        <v>0</v>
      </c>
      <c r="AC1397">
        <v>1</v>
      </c>
      <c r="AD1397">
        <v>750</v>
      </c>
      <c r="AE1397">
        <v>8</v>
      </c>
      <c r="AF1397">
        <v>1</v>
      </c>
      <c r="AG1397">
        <v>0</v>
      </c>
      <c r="AH1397">
        <v>0</v>
      </c>
      <c r="AI1397">
        <v>1</v>
      </c>
      <c r="AJ1397">
        <v>350</v>
      </c>
      <c r="AK1397">
        <v>16</v>
      </c>
      <c r="AL1397">
        <v>1</v>
      </c>
      <c r="AM1397">
        <v>0</v>
      </c>
      <c r="AN1397">
        <v>0</v>
      </c>
      <c r="AO1397">
        <v>10.878</v>
      </c>
      <c r="AP1397">
        <v>1.2349999999999999</v>
      </c>
      <c r="AQ1397">
        <v>875.36999999999989</v>
      </c>
      <c r="AR1397">
        <v>43.5</v>
      </c>
      <c r="AS1397">
        <v>966</v>
      </c>
      <c r="AT1397">
        <v>1015</v>
      </c>
      <c r="AU1397">
        <v>13.7</v>
      </c>
      <c r="AX1397" t="s">
        <v>429</v>
      </c>
    </row>
    <row r="1398" spans="1:50" x14ac:dyDescent="0.45">
      <c r="A1398">
        <v>20193</v>
      </c>
      <c r="B1398">
        <v>1</v>
      </c>
      <c r="C1398">
        <v>52.55</v>
      </c>
      <c r="D1398">
        <v>0</v>
      </c>
      <c r="E1398">
        <v>0</v>
      </c>
      <c r="F1398">
        <v>0</v>
      </c>
      <c r="G1398">
        <v>0</v>
      </c>
      <c r="H1398">
        <v>0</v>
      </c>
      <c r="I1398">
        <v>0</v>
      </c>
      <c r="J1398">
        <v>7.2</v>
      </c>
      <c r="K1398">
        <v>35</v>
      </c>
      <c r="L1398">
        <v>0</v>
      </c>
      <c r="M1398">
        <v>0</v>
      </c>
      <c r="N1398">
        <v>0</v>
      </c>
      <c r="O1398">
        <v>4.9000000000000004</v>
      </c>
      <c r="P1398">
        <v>0</v>
      </c>
      <c r="Q1398">
        <v>0</v>
      </c>
      <c r="R1398">
        <v>0</v>
      </c>
      <c r="S1398">
        <v>0</v>
      </c>
      <c r="T1398">
        <v>0.35</v>
      </c>
      <c r="U1398">
        <v>0</v>
      </c>
      <c r="V1398">
        <v>0</v>
      </c>
      <c r="Y1398">
        <v>1</v>
      </c>
      <c r="Z1398">
        <v>0</v>
      </c>
      <c r="AA1398">
        <v>0</v>
      </c>
      <c r="AB1398">
        <v>0</v>
      </c>
      <c r="AC1398">
        <v>1</v>
      </c>
      <c r="AD1398">
        <v>750</v>
      </c>
      <c r="AE1398">
        <v>8</v>
      </c>
      <c r="AF1398">
        <v>1</v>
      </c>
      <c r="AG1398">
        <v>0</v>
      </c>
      <c r="AH1398">
        <v>0</v>
      </c>
      <c r="AI1398">
        <v>1</v>
      </c>
      <c r="AJ1398">
        <v>400</v>
      </c>
      <c r="AK1398">
        <v>8</v>
      </c>
      <c r="AL1398">
        <v>1</v>
      </c>
      <c r="AM1398">
        <v>0</v>
      </c>
      <c r="AN1398">
        <v>0</v>
      </c>
      <c r="AO1398">
        <v>10.878</v>
      </c>
      <c r="AP1398">
        <v>1.2349999999999999</v>
      </c>
      <c r="AQ1398">
        <v>875.36999999999989</v>
      </c>
      <c r="AR1398">
        <v>42.8</v>
      </c>
      <c r="AS1398">
        <v>939</v>
      </c>
      <c r="AT1398">
        <v>983</v>
      </c>
      <c r="AU1398">
        <v>5.3</v>
      </c>
      <c r="AX1398" t="s">
        <v>429</v>
      </c>
    </row>
    <row r="1399" spans="1:50" x14ac:dyDescent="0.45">
      <c r="A1399">
        <v>20194</v>
      </c>
      <c r="B1399">
        <v>1</v>
      </c>
      <c r="C1399">
        <v>52.55</v>
      </c>
      <c r="D1399">
        <v>0</v>
      </c>
      <c r="E1399">
        <v>0</v>
      </c>
      <c r="F1399">
        <v>0</v>
      </c>
      <c r="G1399">
        <v>0</v>
      </c>
      <c r="H1399">
        <v>0</v>
      </c>
      <c r="I1399">
        <v>0</v>
      </c>
      <c r="J1399">
        <v>7.2</v>
      </c>
      <c r="K1399">
        <v>35</v>
      </c>
      <c r="L1399">
        <v>0</v>
      </c>
      <c r="M1399">
        <v>0</v>
      </c>
      <c r="N1399">
        <v>0</v>
      </c>
      <c r="O1399">
        <v>4.9000000000000004</v>
      </c>
      <c r="P1399">
        <v>0</v>
      </c>
      <c r="Q1399">
        <v>0</v>
      </c>
      <c r="R1399">
        <v>0</v>
      </c>
      <c r="S1399">
        <v>0</v>
      </c>
      <c r="T1399">
        <v>0.35</v>
      </c>
      <c r="U1399">
        <v>0</v>
      </c>
      <c r="V1399">
        <v>0</v>
      </c>
      <c r="Y1399">
        <v>1</v>
      </c>
      <c r="Z1399">
        <v>0</v>
      </c>
      <c r="AA1399">
        <v>0</v>
      </c>
      <c r="AB1399">
        <v>0</v>
      </c>
      <c r="AC1399">
        <v>1</v>
      </c>
      <c r="AD1399">
        <v>750</v>
      </c>
      <c r="AE1399">
        <v>8</v>
      </c>
      <c r="AF1399">
        <v>1</v>
      </c>
      <c r="AG1399">
        <v>0</v>
      </c>
      <c r="AH1399">
        <v>0</v>
      </c>
      <c r="AI1399">
        <v>1</v>
      </c>
      <c r="AJ1399">
        <v>450</v>
      </c>
      <c r="AK1399">
        <v>32</v>
      </c>
      <c r="AL1399">
        <v>1</v>
      </c>
      <c r="AM1399">
        <v>0</v>
      </c>
      <c r="AN1399">
        <v>0</v>
      </c>
      <c r="AO1399">
        <v>10.878</v>
      </c>
      <c r="AP1399">
        <v>1.2349999999999999</v>
      </c>
      <c r="AQ1399">
        <v>875.36999999999989</v>
      </c>
      <c r="AR1399">
        <v>44.7</v>
      </c>
      <c r="AS1399">
        <v>864</v>
      </c>
      <c r="AT1399">
        <v>908</v>
      </c>
      <c r="AU1399">
        <v>3.4</v>
      </c>
      <c r="AX1399" t="s">
        <v>429</v>
      </c>
    </row>
    <row r="1400" spans="1:50" x14ac:dyDescent="0.45">
      <c r="A1400">
        <v>20195</v>
      </c>
      <c r="B1400">
        <v>1</v>
      </c>
      <c r="C1400">
        <v>52.55</v>
      </c>
      <c r="D1400">
        <v>0</v>
      </c>
      <c r="E1400">
        <v>0</v>
      </c>
      <c r="F1400">
        <v>0</v>
      </c>
      <c r="G1400">
        <v>0</v>
      </c>
      <c r="H1400">
        <v>0</v>
      </c>
      <c r="I1400">
        <v>0</v>
      </c>
      <c r="J1400">
        <v>7.2</v>
      </c>
      <c r="K1400">
        <v>35</v>
      </c>
      <c r="L1400">
        <v>0</v>
      </c>
      <c r="M1400">
        <v>0</v>
      </c>
      <c r="N1400">
        <v>0</v>
      </c>
      <c r="O1400">
        <v>4.9000000000000004</v>
      </c>
      <c r="P1400">
        <v>0</v>
      </c>
      <c r="Q1400">
        <v>0</v>
      </c>
      <c r="R1400">
        <v>0</v>
      </c>
      <c r="S1400">
        <v>0</v>
      </c>
      <c r="T1400">
        <v>0.35</v>
      </c>
      <c r="U1400">
        <v>0</v>
      </c>
      <c r="V1400">
        <v>0</v>
      </c>
      <c r="Y1400">
        <v>1</v>
      </c>
      <c r="Z1400">
        <v>0</v>
      </c>
      <c r="AA1400">
        <v>0</v>
      </c>
      <c r="AB1400">
        <v>0</v>
      </c>
      <c r="AC1400">
        <v>1</v>
      </c>
      <c r="AD1400">
        <v>750</v>
      </c>
      <c r="AE1400">
        <v>8</v>
      </c>
      <c r="AF1400">
        <v>1</v>
      </c>
      <c r="AG1400">
        <v>0</v>
      </c>
      <c r="AH1400">
        <v>0</v>
      </c>
      <c r="AI1400">
        <v>1</v>
      </c>
      <c r="AJ1400">
        <v>500</v>
      </c>
      <c r="AK1400">
        <v>8</v>
      </c>
      <c r="AL1400">
        <v>1</v>
      </c>
      <c r="AM1400">
        <v>0</v>
      </c>
      <c r="AN1400">
        <v>0</v>
      </c>
      <c r="AO1400">
        <v>10.878</v>
      </c>
      <c r="AP1400">
        <v>1.2349999999999999</v>
      </c>
      <c r="AQ1400">
        <v>875.36999999999989</v>
      </c>
      <c r="AR1400">
        <v>44.2</v>
      </c>
      <c r="AS1400">
        <v>902</v>
      </c>
      <c r="AT1400">
        <v>911</v>
      </c>
      <c r="AU1400">
        <v>4.5</v>
      </c>
      <c r="AX1400" t="s">
        <v>429</v>
      </c>
    </row>
    <row r="1401" spans="1:50" x14ac:dyDescent="0.45">
      <c r="A1401">
        <v>20196</v>
      </c>
      <c r="B1401">
        <v>1</v>
      </c>
      <c r="C1401">
        <v>52.55</v>
      </c>
      <c r="D1401">
        <v>0</v>
      </c>
      <c r="E1401">
        <v>0</v>
      </c>
      <c r="F1401">
        <v>0</v>
      </c>
      <c r="G1401">
        <v>0</v>
      </c>
      <c r="H1401">
        <v>0</v>
      </c>
      <c r="I1401">
        <v>0</v>
      </c>
      <c r="J1401">
        <v>7.2</v>
      </c>
      <c r="K1401">
        <v>35</v>
      </c>
      <c r="L1401">
        <v>0</v>
      </c>
      <c r="M1401">
        <v>0</v>
      </c>
      <c r="N1401">
        <v>0</v>
      </c>
      <c r="O1401">
        <v>4.9000000000000004</v>
      </c>
      <c r="P1401">
        <v>0</v>
      </c>
      <c r="Q1401">
        <v>0</v>
      </c>
      <c r="R1401">
        <v>0</v>
      </c>
      <c r="S1401">
        <v>0</v>
      </c>
      <c r="T1401">
        <v>0.35</v>
      </c>
      <c r="U1401">
        <v>0</v>
      </c>
      <c r="V1401">
        <v>0</v>
      </c>
      <c r="Y1401">
        <v>1</v>
      </c>
      <c r="Z1401">
        <v>0</v>
      </c>
      <c r="AA1401">
        <v>0</v>
      </c>
      <c r="AB1401">
        <v>0</v>
      </c>
      <c r="AC1401">
        <v>1</v>
      </c>
      <c r="AD1401">
        <v>750</v>
      </c>
      <c r="AE1401">
        <v>8</v>
      </c>
      <c r="AF1401">
        <v>1</v>
      </c>
      <c r="AG1401">
        <v>0</v>
      </c>
      <c r="AH1401">
        <v>0</v>
      </c>
      <c r="AI1401">
        <v>1</v>
      </c>
      <c r="AJ1401">
        <v>550</v>
      </c>
      <c r="AK1401">
        <v>4</v>
      </c>
      <c r="AL1401">
        <v>1</v>
      </c>
      <c r="AM1401">
        <v>0</v>
      </c>
      <c r="AN1401">
        <v>0</v>
      </c>
      <c r="AO1401">
        <v>10.878</v>
      </c>
      <c r="AP1401">
        <v>1.2349999999999999</v>
      </c>
      <c r="AQ1401">
        <v>875.36999999999989</v>
      </c>
      <c r="AR1401">
        <v>43.3</v>
      </c>
      <c r="AS1401">
        <v>905</v>
      </c>
      <c r="AT1401">
        <v>911</v>
      </c>
      <c r="AU1401">
        <v>2.2000000000000002</v>
      </c>
      <c r="AX1401" t="s">
        <v>429</v>
      </c>
    </row>
    <row r="1402" spans="1:50" x14ac:dyDescent="0.45">
      <c r="A1402">
        <v>20197</v>
      </c>
      <c r="B1402">
        <v>0</v>
      </c>
      <c r="C1402">
        <v>50.9</v>
      </c>
      <c r="D1402">
        <v>0</v>
      </c>
      <c r="E1402">
        <v>0</v>
      </c>
      <c r="F1402">
        <v>0</v>
      </c>
      <c r="G1402">
        <v>0</v>
      </c>
      <c r="H1402">
        <v>0</v>
      </c>
      <c r="I1402">
        <v>0</v>
      </c>
      <c r="J1402">
        <v>7.3</v>
      </c>
      <c r="K1402">
        <v>35.5</v>
      </c>
      <c r="L1402">
        <v>0</v>
      </c>
      <c r="M1402">
        <v>0</v>
      </c>
      <c r="N1402">
        <v>0</v>
      </c>
      <c r="O1402">
        <v>5.7</v>
      </c>
      <c r="P1402">
        <v>0</v>
      </c>
      <c r="Q1402">
        <v>0.25</v>
      </c>
      <c r="R1402">
        <v>0</v>
      </c>
      <c r="S1402">
        <v>0</v>
      </c>
      <c r="T1402">
        <v>0.35</v>
      </c>
      <c r="U1402">
        <v>0</v>
      </c>
      <c r="V1402">
        <v>1</v>
      </c>
      <c r="W1402">
        <v>1100</v>
      </c>
      <c r="Y1402">
        <v>0</v>
      </c>
      <c r="Z1402">
        <v>0</v>
      </c>
      <c r="AA1402">
        <v>1</v>
      </c>
      <c r="AB1402">
        <v>0</v>
      </c>
      <c r="AC1402">
        <v>1</v>
      </c>
      <c r="AD1402">
        <v>1400</v>
      </c>
      <c r="AE1402">
        <v>2</v>
      </c>
      <c r="AF1402">
        <v>0</v>
      </c>
      <c r="AG1402">
        <v>0</v>
      </c>
      <c r="AH1402">
        <v>1</v>
      </c>
      <c r="AI1402">
        <v>0</v>
      </c>
      <c r="AO1402">
        <v>11.194000000000001</v>
      </c>
      <c r="AP1402">
        <v>1.2516666666666665</v>
      </c>
      <c r="AQ1402">
        <v>880.505</v>
      </c>
      <c r="AR1402">
        <v>82</v>
      </c>
      <c r="AV1402">
        <v>263</v>
      </c>
      <c r="AX1402" t="s">
        <v>427</v>
      </c>
    </row>
    <row r="1403" spans="1:50" x14ac:dyDescent="0.45">
      <c r="A1403">
        <v>20198</v>
      </c>
      <c r="B1403">
        <v>0</v>
      </c>
      <c r="C1403">
        <v>51.19</v>
      </c>
      <c r="D1403">
        <v>0</v>
      </c>
      <c r="E1403">
        <v>0</v>
      </c>
      <c r="F1403">
        <v>0</v>
      </c>
      <c r="G1403">
        <v>0</v>
      </c>
      <c r="H1403">
        <v>0</v>
      </c>
      <c r="I1403">
        <v>0</v>
      </c>
      <c r="J1403">
        <v>7.3</v>
      </c>
      <c r="K1403">
        <v>35.5</v>
      </c>
      <c r="L1403">
        <v>0</v>
      </c>
      <c r="M1403">
        <v>0</v>
      </c>
      <c r="N1403">
        <v>0</v>
      </c>
      <c r="O1403">
        <v>5.7</v>
      </c>
      <c r="P1403">
        <v>0</v>
      </c>
      <c r="Q1403">
        <v>0.25</v>
      </c>
      <c r="R1403">
        <v>0</v>
      </c>
      <c r="S1403">
        <v>0</v>
      </c>
      <c r="T1403">
        <v>0.06</v>
      </c>
      <c r="U1403">
        <v>0</v>
      </c>
      <c r="V1403">
        <v>1</v>
      </c>
      <c r="W1403">
        <v>1100</v>
      </c>
      <c r="Y1403">
        <v>0</v>
      </c>
      <c r="Z1403">
        <v>0</v>
      </c>
      <c r="AA1403">
        <v>1</v>
      </c>
      <c r="AB1403">
        <v>0</v>
      </c>
      <c r="AC1403">
        <v>1</v>
      </c>
      <c r="AD1403">
        <v>1400</v>
      </c>
      <c r="AE1403">
        <v>2</v>
      </c>
      <c r="AF1403">
        <v>0</v>
      </c>
      <c r="AG1403">
        <v>0</v>
      </c>
      <c r="AH1403">
        <v>1</v>
      </c>
      <c r="AI1403">
        <v>0</v>
      </c>
      <c r="AO1403">
        <v>11.194000000000001</v>
      </c>
      <c r="AP1403">
        <v>1.2226666666666666</v>
      </c>
      <c r="AQ1403">
        <v>844.83500000000004</v>
      </c>
      <c r="AR1403">
        <v>65</v>
      </c>
      <c r="AS1403">
        <v>629</v>
      </c>
      <c r="AT1403">
        <v>716</v>
      </c>
      <c r="AU1403">
        <v>13</v>
      </c>
      <c r="AV1403">
        <v>219</v>
      </c>
      <c r="AX1403" t="s">
        <v>427</v>
      </c>
    </row>
    <row r="1404" spans="1:50" x14ac:dyDescent="0.45">
      <c r="A1404">
        <v>20199</v>
      </c>
      <c r="B1404">
        <v>0</v>
      </c>
      <c r="C1404">
        <v>50.59</v>
      </c>
      <c r="D1404">
        <v>0</v>
      </c>
      <c r="E1404">
        <v>0</v>
      </c>
      <c r="F1404">
        <v>0</v>
      </c>
      <c r="G1404">
        <v>0</v>
      </c>
      <c r="H1404">
        <v>0</v>
      </c>
      <c r="I1404">
        <v>0</v>
      </c>
      <c r="J1404">
        <v>7.3</v>
      </c>
      <c r="K1404">
        <v>35.5</v>
      </c>
      <c r="L1404">
        <v>0</v>
      </c>
      <c r="M1404">
        <v>0</v>
      </c>
      <c r="N1404">
        <v>0</v>
      </c>
      <c r="O1404">
        <v>5.7</v>
      </c>
      <c r="P1404">
        <v>0</v>
      </c>
      <c r="Q1404">
        <v>0.25</v>
      </c>
      <c r="R1404">
        <v>0</v>
      </c>
      <c r="S1404">
        <v>0</v>
      </c>
      <c r="T1404">
        <v>0.66</v>
      </c>
      <c r="U1404">
        <v>0</v>
      </c>
      <c r="V1404">
        <v>1</v>
      </c>
      <c r="W1404">
        <v>1100</v>
      </c>
      <c r="Y1404">
        <v>0</v>
      </c>
      <c r="Z1404">
        <v>0</v>
      </c>
      <c r="AA1404">
        <v>1</v>
      </c>
      <c r="AB1404">
        <v>0</v>
      </c>
      <c r="AC1404">
        <v>1</v>
      </c>
      <c r="AD1404">
        <v>1400</v>
      </c>
      <c r="AE1404">
        <v>2</v>
      </c>
      <c r="AF1404">
        <v>0</v>
      </c>
      <c r="AG1404">
        <v>0</v>
      </c>
      <c r="AH1404">
        <v>1</v>
      </c>
      <c r="AI1404">
        <v>0</v>
      </c>
      <c r="AO1404">
        <v>11.194000000000001</v>
      </c>
      <c r="AP1404">
        <v>1.2826666666666666</v>
      </c>
      <c r="AQ1404">
        <v>918.63499999999999</v>
      </c>
      <c r="AR1404">
        <v>87</v>
      </c>
      <c r="AS1404">
        <v>885</v>
      </c>
      <c r="AT1404">
        <v>1099</v>
      </c>
      <c r="AU1404">
        <v>22</v>
      </c>
      <c r="AV1404">
        <v>294</v>
      </c>
      <c r="AX1404" t="s">
        <v>427</v>
      </c>
    </row>
    <row r="1405" spans="1:50" x14ac:dyDescent="0.45">
      <c r="A1405">
        <v>20200</v>
      </c>
      <c r="B1405">
        <v>1</v>
      </c>
      <c r="C1405">
        <v>90</v>
      </c>
      <c r="D1405">
        <v>0</v>
      </c>
      <c r="E1405">
        <v>0</v>
      </c>
      <c r="F1405">
        <v>0</v>
      </c>
      <c r="G1405">
        <v>0</v>
      </c>
      <c r="H1405">
        <v>0</v>
      </c>
      <c r="I1405">
        <v>0</v>
      </c>
      <c r="J1405">
        <v>0</v>
      </c>
      <c r="K1405">
        <v>0</v>
      </c>
      <c r="L1405">
        <v>0</v>
      </c>
      <c r="M1405">
        <v>10</v>
      </c>
      <c r="N1405">
        <v>0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0</v>
      </c>
      <c r="U1405">
        <v>0</v>
      </c>
      <c r="V1405">
        <v>0</v>
      </c>
      <c r="Y1405">
        <v>1</v>
      </c>
      <c r="Z1405">
        <v>0</v>
      </c>
      <c r="AA1405">
        <v>0</v>
      </c>
      <c r="AB1405">
        <v>0</v>
      </c>
      <c r="AC1405">
        <v>0</v>
      </c>
      <c r="AI1405">
        <v>0</v>
      </c>
      <c r="AO1405">
        <v>0</v>
      </c>
      <c r="AP1405">
        <v>3.3333333333333335</v>
      </c>
      <c r="AQ1405">
        <v>924</v>
      </c>
      <c r="AR1405">
        <v>106</v>
      </c>
      <c r="AT1405">
        <v>1180</v>
      </c>
      <c r="AX1405" t="s">
        <v>426</v>
      </c>
    </row>
    <row r="1406" spans="1:50" x14ac:dyDescent="0.45">
      <c r="A1406">
        <v>20201</v>
      </c>
      <c r="B1406">
        <v>1</v>
      </c>
      <c r="C1406">
        <v>85</v>
      </c>
      <c r="D1406">
        <v>0</v>
      </c>
      <c r="E1406">
        <v>0</v>
      </c>
      <c r="F1406">
        <v>0</v>
      </c>
      <c r="G1406">
        <v>0</v>
      </c>
      <c r="H1406">
        <v>0</v>
      </c>
      <c r="I1406">
        <v>0</v>
      </c>
      <c r="J1406">
        <v>0</v>
      </c>
      <c r="K1406">
        <v>0</v>
      </c>
      <c r="L1406">
        <v>0</v>
      </c>
      <c r="M1406">
        <v>15</v>
      </c>
      <c r="N1406">
        <v>0</v>
      </c>
      <c r="O1406">
        <v>0</v>
      </c>
      <c r="P1406">
        <v>0</v>
      </c>
      <c r="Q1406">
        <v>0</v>
      </c>
      <c r="R1406">
        <v>0</v>
      </c>
      <c r="S1406">
        <v>0</v>
      </c>
      <c r="T1406">
        <v>0</v>
      </c>
      <c r="U1406">
        <v>0</v>
      </c>
      <c r="V1406">
        <v>0</v>
      </c>
      <c r="Y1406">
        <v>1</v>
      </c>
      <c r="Z1406">
        <v>0</v>
      </c>
      <c r="AA1406">
        <v>0</v>
      </c>
      <c r="AB1406">
        <v>0</v>
      </c>
      <c r="AC1406">
        <v>0</v>
      </c>
      <c r="AI1406">
        <v>0</v>
      </c>
      <c r="AO1406">
        <v>0</v>
      </c>
      <c r="AP1406">
        <v>5</v>
      </c>
      <c r="AQ1406">
        <v>945</v>
      </c>
      <c r="AR1406">
        <v>128</v>
      </c>
      <c r="AT1406">
        <v>1325</v>
      </c>
      <c r="AX1406" t="s">
        <v>426</v>
      </c>
    </row>
    <row r="1407" spans="1:50" x14ac:dyDescent="0.45">
      <c r="A1407">
        <v>20202</v>
      </c>
      <c r="B1407">
        <v>1</v>
      </c>
      <c r="C1407">
        <v>80</v>
      </c>
      <c r="D1407">
        <v>0</v>
      </c>
      <c r="E1407">
        <v>0</v>
      </c>
      <c r="F1407">
        <v>0</v>
      </c>
      <c r="G1407">
        <v>0</v>
      </c>
      <c r="H1407">
        <v>0</v>
      </c>
      <c r="I1407">
        <v>0</v>
      </c>
      <c r="J1407">
        <v>0</v>
      </c>
      <c r="K1407">
        <v>0</v>
      </c>
      <c r="L1407">
        <v>0</v>
      </c>
      <c r="M1407">
        <v>20</v>
      </c>
      <c r="N1407">
        <v>0</v>
      </c>
      <c r="O1407">
        <v>0</v>
      </c>
      <c r="P1407">
        <v>0</v>
      </c>
      <c r="Q1407">
        <v>0</v>
      </c>
      <c r="R1407">
        <v>0</v>
      </c>
      <c r="S1407">
        <v>0</v>
      </c>
      <c r="T1407">
        <v>0</v>
      </c>
      <c r="U1407">
        <v>0</v>
      </c>
      <c r="V1407">
        <v>0</v>
      </c>
      <c r="Y1407">
        <v>1</v>
      </c>
      <c r="Z1407">
        <v>0</v>
      </c>
      <c r="AA1407">
        <v>0</v>
      </c>
      <c r="AB1407">
        <v>0</v>
      </c>
      <c r="AC1407">
        <v>0</v>
      </c>
      <c r="AI1407">
        <v>0</v>
      </c>
      <c r="AO1407">
        <v>0</v>
      </c>
      <c r="AP1407">
        <v>6.666666666666667</v>
      </c>
      <c r="AQ1407">
        <v>966</v>
      </c>
      <c r="AR1407">
        <v>146</v>
      </c>
      <c r="AT1407">
        <v>1525</v>
      </c>
      <c r="AX1407" t="s">
        <v>426</v>
      </c>
    </row>
    <row r="1408" spans="1:50" x14ac:dyDescent="0.45">
      <c r="A1408">
        <v>20203</v>
      </c>
      <c r="B1408">
        <v>1</v>
      </c>
      <c r="C1408">
        <v>95</v>
      </c>
      <c r="D1408">
        <v>0</v>
      </c>
      <c r="E1408">
        <v>0</v>
      </c>
      <c r="F1408">
        <v>0</v>
      </c>
      <c r="G1408">
        <v>0</v>
      </c>
      <c r="H1408">
        <v>0</v>
      </c>
      <c r="I1408">
        <v>0</v>
      </c>
      <c r="J1408">
        <v>0</v>
      </c>
      <c r="K1408">
        <v>0</v>
      </c>
      <c r="L1408">
        <v>0</v>
      </c>
      <c r="M1408">
        <v>5</v>
      </c>
      <c r="N1408">
        <v>0</v>
      </c>
      <c r="O1408">
        <v>0</v>
      </c>
      <c r="P1408">
        <v>0</v>
      </c>
      <c r="Q1408">
        <v>0</v>
      </c>
      <c r="R1408">
        <v>0</v>
      </c>
      <c r="S1408">
        <v>0</v>
      </c>
      <c r="T1408">
        <v>0</v>
      </c>
      <c r="U1408">
        <v>0</v>
      </c>
      <c r="V1408">
        <v>0</v>
      </c>
      <c r="Y1408">
        <v>1</v>
      </c>
      <c r="Z1408">
        <v>0</v>
      </c>
      <c r="AA1408">
        <v>0</v>
      </c>
      <c r="AB1408">
        <v>0</v>
      </c>
      <c r="AC1408">
        <v>0</v>
      </c>
      <c r="AI1408">
        <v>0</v>
      </c>
      <c r="AO1408">
        <v>0</v>
      </c>
      <c r="AP1408">
        <v>1.6666666666666667</v>
      </c>
      <c r="AQ1408">
        <v>903</v>
      </c>
      <c r="AR1408">
        <v>98</v>
      </c>
      <c r="AT1408">
        <v>990</v>
      </c>
      <c r="AX1408" t="s">
        <v>426</v>
      </c>
    </row>
    <row r="1409" spans="1:50" x14ac:dyDescent="0.45">
      <c r="A1409">
        <v>20204</v>
      </c>
      <c r="B1409">
        <v>0</v>
      </c>
      <c r="C1409">
        <v>76.900000000000006</v>
      </c>
      <c r="D1409">
        <v>0</v>
      </c>
      <c r="E1409">
        <v>0.42</v>
      </c>
      <c r="F1409">
        <v>0.03</v>
      </c>
      <c r="G1409">
        <v>0</v>
      </c>
      <c r="H1409">
        <v>0.05</v>
      </c>
      <c r="I1409">
        <v>0.06</v>
      </c>
      <c r="J1409">
        <v>0</v>
      </c>
      <c r="K1409">
        <v>4.92</v>
      </c>
      <c r="L1409">
        <v>5.25</v>
      </c>
      <c r="M1409">
        <v>12.2</v>
      </c>
      <c r="N1409">
        <v>0</v>
      </c>
      <c r="O1409">
        <v>0</v>
      </c>
      <c r="P1409">
        <v>0</v>
      </c>
      <c r="Q1409">
        <v>0.04</v>
      </c>
      <c r="R1409">
        <v>0</v>
      </c>
      <c r="S1409">
        <v>0</v>
      </c>
      <c r="T1409">
        <v>0</v>
      </c>
      <c r="U1409">
        <v>0</v>
      </c>
      <c r="V1409">
        <v>0</v>
      </c>
      <c r="Y1409">
        <v>1</v>
      </c>
      <c r="Z1409">
        <v>0</v>
      </c>
      <c r="AA1409">
        <v>0</v>
      </c>
      <c r="AB1409">
        <v>0</v>
      </c>
      <c r="AC1409">
        <v>1</v>
      </c>
      <c r="AD1409">
        <v>1100</v>
      </c>
      <c r="AE1409">
        <v>7</v>
      </c>
      <c r="AI1409">
        <v>0</v>
      </c>
      <c r="AO1409">
        <v>7.1019999999999994</v>
      </c>
      <c r="AP1409">
        <v>4.0666666666666664</v>
      </c>
      <c r="AQ1409">
        <v>878.20799999999997</v>
      </c>
      <c r="AR1409">
        <v>92.8</v>
      </c>
      <c r="AV1409">
        <v>397</v>
      </c>
      <c r="AX1409" t="s">
        <v>372</v>
      </c>
    </row>
    <row r="1410" spans="1:50" x14ac:dyDescent="0.45">
      <c r="A1410">
        <v>20205</v>
      </c>
      <c r="B1410">
        <v>1</v>
      </c>
      <c r="C1410">
        <v>65</v>
      </c>
      <c r="D1410">
        <v>0</v>
      </c>
      <c r="E1410">
        <v>0</v>
      </c>
      <c r="F1410">
        <v>0</v>
      </c>
      <c r="G1410">
        <v>0</v>
      </c>
      <c r="H1410">
        <v>0</v>
      </c>
      <c r="I1410">
        <v>0</v>
      </c>
      <c r="J1410">
        <v>11.4</v>
      </c>
      <c r="K1410">
        <v>11.6</v>
      </c>
      <c r="L1410">
        <v>0</v>
      </c>
      <c r="M1410">
        <v>12</v>
      </c>
      <c r="N1410">
        <v>0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0</v>
      </c>
      <c r="U1410">
        <v>0</v>
      </c>
      <c r="V1410">
        <v>0</v>
      </c>
      <c r="Y1410">
        <v>1</v>
      </c>
      <c r="Z1410">
        <v>0</v>
      </c>
      <c r="AA1410">
        <v>0</v>
      </c>
      <c r="AB1410">
        <v>0</v>
      </c>
      <c r="AC1410">
        <v>1</v>
      </c>
      <c r="AD1410">
        <v>1200</v>
      </c>
      <c r="AE1410">
        <v>24</v>
      </c>
      <c r="AF1410">
        <v>1</v>
      </c>
      <c r="AG1410">
        <v>0</v>
      </c>
      <c r="AH1410">
        <v>0</v>
      </c>
      <c r="AI1410">
        <v>1</v>
      </c>
      <c r="AJ1410">
        <v>900</v>
      </c>
      <c r="AK1410">
        <v>0.16666666666666666</v>
      </c>
      <c r="AL1410">
        <v>1</v>
      </c>
      <c r="AM1410">
        <v>0</v>
      </c>
      <c r="AN1410">
        <v>0</v>
      </c>
      <c r="AO1410">
        <v>3.2480000000000002</v>
      </c>
      <c r="AP1410">
        <v>5.9</v>
      </c>
      <c r="AQ1410">
        <v>853.74</v>
      </c>
      <c r="AR1410">
        <v>42.1</v>
      </c>
      <c r="AX1410" t="s">
        <v>401</v>
      </c>
    </row>
    <row r="1411" spans="1:50" x14ac:dyDescent="0.45">
      <c r="A1411">
        <v>20206</v>
      </c>
      <c r="B1411">
        <v>1</v>
      </c>
      <c r="C1411">
        <v>65</v>
      </c>
      <c r="D1411">
        <v>0</v>
      </c>
      <c r="E1411">
        <v>0</v>
      </c>
      <c r="F1411">
        <v>0</v>
      </c>
      <c r="G1411">
        <v>0</v>
      </c>
      <c r="H1411">
        <v>0</v>
      </c>
      <c r="I1411">
        <v>0</v>
      </c>
      <c r="J1411">
        <v>9.8000000000000007</v>
      </c>
      <c r="K1411">
        <v>10.7</v>
      </c>
      <c r="L1411">
        <v>0</v>
      </c>
      <c r="M1411">
        <v>14.5</v>
      </c>
      <c r="N1411">
        <v>0</v>
      </c>
      <c r="O1411">
        <v>0</v>
      </c>
      <c r="P1411">
        <v>0</v>
      </c>
      <c r="Q1411">
        <v>0</v>
      </c>
      <c r="R1411">
        <v>0</v>
      </c>
      <c r="S1411">
        <v>0</v>
      </c>
      <c r="T1411">
        <v>0</v>
      </c>
      <c r="U1411">
        <v>0</v>
      </c>
      <c r="V1411">
        <v>1</v>
      </c>
      <c r="W1411">
        <v>1000</v>
      </c>
      <c r="Y1411">
        <v>0</v>
      </c>
      <c r="Z1411">
        <v>1</v>
      </c>
      <c r="AA1411">
        <v>0</v>
      </c>
      <c r="AB1411">
        <v>0</v>
      </c>
      <c r="AC1411">
        <v>1</v>
      </c>
      <c r="AD1411">
        <v>1200</v>
      </c>
      <c r="AE1411">
        <v>24</v>
      </c>
      <c r="AF1411">
        <v>1</v>
      </c>
      <c r="AG1411">
        <v>0</v>
      </c>
      <c r="AH1411">
        <v>0</v>
      </c>
      <c r="AI1411">
        <v>1</v>
      </c>
      <c r="AJ1411">
        <v>900</v>
      </c>
      <c r="AK1411">
        <v>0.16666666666666666</v>
      </c>
      <c r="AL1411">
        <v>1</v>
      </c>
      <c r="AM1411">
        <v>0</v>
      </c>
      <c r="AN1411">
        <v>0</v>
      </c>
      <c r="AO1411">
        <v>2.996</v>
      </c>
      <c r="AP1411">
        <v>6.4666666666666668</v>
      </c>
      <c r="AQ1411">
        <v>875.28</v>
      </c>
      <c r="AR1411">
        <v>61.4</v>
      </c>
      <c r="AX1411" t="s">
        <v>401</v>
      </c>
    </row>
    <row r="1412" spans="1:50" x14ac:dyDescent="0.45">
      <c r="A1412">
        <v>20207</v>
      </c>
      <c r="B1412">
        <v>1</v>
      </c>
      <c r="C1412">
        <v>67</v>
      </c>
      <c r="D1412">
        <v>0</v>
      </c>
      <c r="E1412">
        <v>0</v>
      </c>
      <c r="F1412">
        <v>0</v>
      </c>
      <c r="G1412">
        <v>0</v>
      </c>
      <c r="H1412">
        <v>0</v>
      </c>
      <c r="I1412">
        <v>0</v>
      </c>
      <c r="J1412">
        <v>11.4</v>
      </c>
      <c r="K1412">
        <v>9.8000000000000007</v>
      </c>
      <c r="L1412">
        <v>0</v>
      </c>
      <c r="M1412">
        <v>11.8</v>
      </c>
      <c r="N1412">
        <v>0</v>
      </c>
      <c r="O1412">
        <v>0</v>
      </c>
      <c r="P1412">
        <v>0</v>
      </c>
      <c r="Q1412">
        <v>0</v>
      </c>
      <c r="R1412">
        <v>0</v>
      </c>
      <c r="S1412">
        <v>0</v>
      </c>
      <c r="T1412">
        <v>0</v>
      </c>
      <c r="U1412">
        <v>0</v>
      </c>
      <c r="V1412">
        <v>0</v>
      </c>
      <c r="Y1412">
        <v>1</v>
      </c>
      <c r="Z1412">
        <v>0</v>
      </c>
      <c r="AA1412">
        <v>0</v>
      </c>
      <c r="AB1412">
        <v>0</v>
      </c>
      <c r="AC1412">
        <v>1</v>
      </c>
      <c r="AD1412">
        <v>1200</v>
      </c>
      <c r="AE1412">
        <v>24</v>
      </c>
      <c r="AF1412">
        <v>1</v>
      </c>
      <c r="AG1412">
        <v>0</v>
      </c>
      <c r="AH1412">
        <v>0</v>
      </c>
      <c r="AI1412">
        <v>1</v>
      </c>
      <c r="AJ1412">
        <v>900</v>
      </c>
      <c r="AK1412">
        <v>0.16666666666666666</v>
      </c>
      <c r="AL1412">
        <v>1</v>
      </c>
      <c r="AM1412">
        <v>0</v>
      </c>
      <c r="AN1412">
        <v>0</v>
      </c>
      <c r="AO1412">
        <v>2.7440000000000007</v>
      </c>
      <c r="AP1412">
        <v>5.8333333333333339</v>
      </c>
      <c r="AQ1412">
        <v>852.9</v>
      </c>
      <c r="AR1412">
        <v>57.2</v>
      </c>
      <c r="AX1412" t="s">
        <v>401</v>
      </c>
    </row>
    <row r="1413" spans="1:50" x14ac:dyDescent="0.45">
      <c r="A1413">
        <v>20208</v>
      </c>
      <c r="B1413">
        <v>1</v>
      </c>
      <c r="C1413">
        <v>65.599999999999994</v>
      </c>
      <c r="D1413">
        <v>0</v>
      </c>
      <c r="E1413">
        <v>0</v>
      </c>
      <c r="F1413">
        <v>0</v>
      </c>
      <c r="G1413">
        <v>0</v>
      </c>
      <c r="H1413">
        <v>0</v>
      </c>
      <c r="I1413">
        <v>0</v>
      </c>
      <c r="J1413">
        <v>11.6</v>
      </c>
      <c r="K1413">
        <v>5.7</v>
      </c>
      <c r="L1413">
        <v>5.3</v>
      </c>
      <c r="M1413">
        <v>11.8</v>
      </c>
      <c r="N1413">
        <v>0</v>
      </c>
      <c r="O1413">
        <v>0</v>
      </c>
      <c r="P1413">
        <v>0</v>
      </c>
      <c r="Q1413">
        <v>0</v>
      </c>
      <c r="R1413">
        <v>0</v>
      </c>
      <c r="S1413">
        <v>0</v>
      </c>
      <c r="T1413">
        <v>0</v>
      </c>
      <c r="U1413">
        <v>0</v>
      </c>
      <c r="V1413">
        <v>0</v>
      </c>
      <c r="Y1413">
        <v>1</v>
      </c>
      <c r="Z1413">
        <v>0</v>
      </c>
      <c r="AA1413">
        <v>0</v>
      </c>
      <c r="AB1413">
        <v>0</v>
      </c>
      <c r="AC1413">
        <v>0</v>
      </c>
      <c r="AI1413">
        <v>0</v>
      </c>
      <c r="AO1413">
        <v>6.8959999999999999</v>
      </c>
      <c r="AP1413">
        <v>5.8666666666666671</v>
      </c>
      <c r="AQ1413">
        <v>801.17000000000007</v>
      </c>
      <c r="AR1413">
        <v>68.8</v>
      </c>
      <c r="AX1413" t="s">
        <v>405</v>
      </c>
    </row>
    <row r="1414" spans="1:50" x14ac:dyDescent="0.45">
      <c r="A1414">
        <v>20209</v>
      </c>
      <c r="B1414">
        <v>1</v>
      </c>
      <c r="C1414">
        <v>67</v>
      </c>
      <c r="D1414">
        <v>0</v>
      </c>
      <c r="E1414">
        <v>0</v>
      </c>
      <c r="F1414">
        <v>0</v>
      </c>
      <c r="G1414">
        <v>0</v>
      </c>
      <c r="H1414">
        <v>0</v>
      </c>
      <c r="I1414">
        <v>0</v>
      </c>
      <c r="J1414">
        <v>12.2</v>
      </c>
      <c r="K1414">
        <v>5.9</v>
      </c>
      <c r="L1414">
        <v>1.7</v>
      </c>
      <c r="M1414">
        <v>12.4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0</v>
      </c>
      <c r="U1414">
        <v>0</v>
      </c>
      <c r="V1414">
        <v>0</v>
      </c>
      <c r="Y1414">
        <v>1</v>
      </c>
      <c r="Z1414">
        <v>0</v>
      </c>
      <c r="AA1414">
        <v>0</v>
      </c>
      <c r="AB1414">
        <v>0</v>
      </c>
      <c r="AC1414">
        <v>1</v>
      </c>
      <c r="AD1414">
        <v>1200</v>
      </c>
      <c r="AE1414">
        <v>24</v>
      </c>
      <c r="AF1414">
        <v>1</v>
      </c>
      <c r="AG1414">
        <v>0</v>
      </c>
      <c r="AH1414">
        <v>0</v>
      </c>
      <c r="AI1414">
        <v>1</v>
      </c>
      <c r="AJ1414">
        <v>900</v>
      </c>
      <c r="AK1414">
        <v>0.16666666666666666</v>
      </c>
      <c r="AL1414">
        <v>1</v>
      </c>
      <c r="AM1414">
        <v>0</v>
      </c>
      <c r="AN1414">
        <v>0</v>
      </c>
      <c r="AO1414">
        <v>3.3520000000000003</v>
      </c>
      <c r="AP1414">
        <v>6.166666666666667</v>
      </c>
      <c r="AQ1414">
        <v>833.75000000000011</v>
      </c>
      <c r="AR1414">
        <v>79.8</v>
      </c>
      <c r="AX1414" t="s">
        <v>401</v>
      </c>
    </row>
    <row r="1415" spans="1:50" x14ac:dyDescent="0.45">
      <c r="A1415">
        <v>20210</v>
      </c>
      <c r="B1415">
        <v>1</v>
      </c>
      <c r="C1415">
        <v>65.599999999999994</v>
      </c>
      <c r="D1415">
        <v>0</v>
      </c>
      <c r="E1415">
        <v>0</v>
      </c>
      <c r="F1415">
        <v>0</v>
      </c>
      <c r="G1415">
        <v>0</v>
      </c>
      <c r="H1415">
        <v>0</v>
      </c>
      <c r="I1415">
        <v>0</v>
      </c>
      <c r="J1415">
        <v>11.6</v>
      </c>
      <c r="K1415">
        <v>5.7</v>
      </c>
      <c r="L1415">
        <v>5.3</v>
      </c>
      <c r="M1415">
        <v>11.8</v>
      </c>
      <c r="N1415">
        <v>0</v>
      </c>
      <c r="O1415">
        <v>0</v>
      </c>
      <c r="P1415">
        <v>0</v>
      </c>
      <c r="Q1415">
        <v>0</v>
      </c>
      <c r="R1415">
        <v>0</v>
      </c>
      <c r="S1415">
        <v>0</v>
      </c>
      <c r="T1415">
        <v>0</v>
      </c>
      <c r="U1415">
        <v>0</v>
      </c>
      <c r="V1415">
        <v>0</v>
      </c>
      <c r="Y1415">
        <v>1</v>
      </c>
      <c r="Z1415">
        <v>0</v>
      </c>
      <c r="AA1415">
        <v>0</v>
      </c>
      <c r="AB1415">
        <v>0</v>
      </c>
      <c r="AC1415">
        <v>1</v>
      </c>
      <c r="AD1415">
        <v>1200</v>
      </c>
      <c r="AE1415">
        <v>24</v>
      </c>
      <c r="AF1415">
        <v>1</v>
      </c>
      <c r="AG1415">
        <v>0</v>
      </c>
      <c r="AH1415">
        <v>0</v>
      </c>
      <c r="AI1415">
        <v>1</v>
      </c>
      <c r="AJ1415">
        <v>900</v>
      </c>
      <c r="AK1415">
        <v>0.16666666666666666</v>
      </c>
      <c r="AL1415">
        <v>1</v>
      </c>
      <c r="AM1415">
        <v>0</v>
      </c>
      <c r="AN1415">
        <v>0</v>
      </c>
      <c r="AO1415">
        <v>6.8959999999999999</v>
      </c>
      <c r="AP1415">
        <v>5.8666666666666671</v>
      </c>
      <c r="AQ1415">
        <v>801.17000000000007</v>
      </c>
      <c r="AR1415">
        <v>69.3</v>
      </c>
      <c r="AX1415" t="s">
        <v>401</v>
      </c>
    </row>
    <row r="1416" spans="1:50" x14ac:dyDescent="0.45">
      <c r="A1416">
        <v>20211</v>
      </c>
      <c r="B1416">
        <v>1</v>
      </c>
      <c r="C1416">
        <v>70</v>
      </c>
      <c r="D1416">
        <v>0</v>
      </c>
      <c r="E1416">
        <v>0</v>
      </c>
      <c r="F1416">
        <v>0</v>
      </c>
      <c r="G1416">
        <v>0</v>
      </c>
      <c r="H1416">
        <v>0</v>
      </c>
      <c r="I1416">
        <v>0</v>
      </c>
      <c r="J1416">
        <v>0</v>
      </c>
      <c r="K1416">
        <v>0</v>
      </c>
      <c r="L1416">
        <v>0</v>
      </c>
      <c r="M1416">
        <v>0</v>
      </c>
      <c r="N1416">
        <v>0</v>
      </c>
      <c r="O1416">
        <v>30</v>
      </c>
      <c r="P1416">
        <v>0</v>
      </c>
      <c r="Q1416">
        <v>0</v>
      </c>
      <c r="R1416">
        <v>0</v>
      </c>
      <c r="S1416">
        <v>0</v>
      </c>
      <c r="T1416">
        <v>0</v>
      </c>
      <c r="U1416">
        <v>0</v>
      </c>
      <c r="V1416">
        <v>0</v>
      </c>
      <c r="Y1416">
        <v>1</v>
      </c>
      <c r="Z1416">
        <v>0</v>
      </c>
      <c r="AA1416">
        <v>0</v>
      </c>
      <c r="AB1416">
        <v>0</v>
      </c>
      <c r="AC1416">
        <v>0</v>
      </c>
      <c r="AI1416">
        <v>0</v>
      </c>
      <c r="AO1416">
        <v>6.6</v>
      </c>
      <c r="AP1416">
        <v>0</v>
      </c>
      <c r="AQ1416">
        <v>882</v>
      </c>
      <c r="AR1416">
        <v>50</v>
      </c>
      <c r="AX1416" t="s">
        <v>430</v>
      </c>
    </row>
    <row r="1417" spans="1:50" x14ac:dyDescent="0.45">
      <c r="A1417">
        <v>20212</v>
      </c>
      <c r="B1417">
        <v>1</v>
      </c>
      <c r="C1417">
        <v>51.81</v>
      </c>
      <c r="D1417">
        <v>0</v>
      </c>
      <c r="E1417">
        <v>0</v>
      </c>
      <c r="F1417">
        <v>0</v>
      </c>
      <c r="G1417">
        <v>0</v>
      </c>
      <c r="H1417">
        <v>0</v>
      </c>
      <c r="I1417">
        <v>0</v>
      </c>
      <c r="J1417">
        <v>0</v>
      </c>
      <c r="K1417">
        <v>0</v>
      </c>
      <c r="L1417">
        <v>0</v>
      </c>
      <c r="M1417">
        <v>0</v>
      </c>
      <c r="N1417">
        <v>0</v>
      </c>
      <c r="O1417">
        <v>48.19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0</v>
      </c>
      <c r="V1417">
        <v>0</v>
      </c>
      <c r="Y1417">
        <v>1</v>
      </c>
      <c r="Z1417">
        <v>0</v>
      </c>
      <c r="AA1417">
        <v>0</v>
      </c>
      <c r="AB1417">
        <v>0</v>
      </c>
      <c r="AC1417">
        <v>0</v>
      </c>
      <c r="AI1417">
        <v>0</v>
      </c>
      <c r="AO1417">
        <v>10.601799999999999</v>
      </c>
      <c r="AP1417">
        <v>0</v>
      </c>
      <c r="AQ1417">
        <v>882</v>
      </c>
      <c r="AR1417">
        <v>75.77</v>
      </c>
      <c r="AS1417">
        <v>883</v>
      </c>
      <c r="AT1417">
        <v>944</v>
      </c>
      <c r="AU1417">
        <v>11.72</v>
      </c>
      <c r="AX1417" t="s">
        <v>430</v>
      </c>
    </row>
    <row r="1418" spans="1:50" x14ac:dyDescent="0.45">
      <c r="A1418">
        <v>20213</v>
      </c>
      <c r="B1418">
        <v>1</v>
      </c>
      <c r="C1418">
        <v>48</v>
      </c>
      <c r="D1418">
        <v>0</v>
      </c>
      <c r="E1418">
        <v>0</v>
      </c>
      <c r="F1418">
        <v>0</v>
      </c>
      <c r="G1418">
        <v>0</v>
      </c>
      <c r="H1418">
        <v>0</v>
      </c>
      <c r="I1418">
        <v>0</v>
      </c>
      <c r="J1418">
        <v>0</v>
      </c>
      <c r="K1418">
        <v>0</v>
      </c>
      <c r="L1418">
        <v>0</v>
      </c>
      <c r="M1418">
        <v>0</v>
      </c>
      <c r="N1418">
        <v>0</v>
      </c>
      <c r="O1418">
        <v>52</v>
      </c>
      <c r="P1418">
        <v>0</v>
      </c>
      <c r="Q1418">
        <v>0</v>
      </c>
      <c r="R1418">
        <v>0</v>
      </c>
      <c r="S1418">
        <v>0</v>
      </c>
      <c r="T1418">
        <v>0</v>
      </c>
      <c r="U1418">
        <v>0</v>
      </c>
      <c r="V1418">
        <v>0</v>
      </c>
      <c r="Y1418">
        <v>1</v>
      </c>
      <c r="Z1418">
        <v>0</v>
      </c>
      <c r="AA1418">
        <v>0</v>
      </c>
      <c r="AB1418">
        <v>0</v>
      </c>
      <c r="AC1418">
        <v>0</v>
      </c>
      <c r="AI1418">
        <v>0</v>
      </c>
      <c r="AO1418">
        <v>11.44</v>
      </c>
      <c r="AP1418">
        <v>0</v>
      </c>
      <c r="AQ1418">
        <v>882</v>
      </c>
      <c r="AR1418">
        <v>32</v>
      </c>
      <c r="AX1418" t="s">
        <v>430</v>
      </c>
    </row>
    <row r="1419" spans="1:50" x14ac:dyDescent="0.45">
      <c r="A1419">
        <v>20214</v>
      </c>
      <c r="B1419">
        <v>1</v>
      </c>
      <c r="C1419">
        <v>30</v>
      </c>
      <c r="D1419">
        <v>0</v>
      </c>
      <c r="E1419">
        <v>0</v>
      </c>
      <c r="F1419">
        <v>0</v>
      </c>
      <c r="G1419">
        <v>0</v>
      </c>
      <c r="H1419">
        <v>0</v>
      </c>
      <c r="I1419">
        <v>0</v>
      </c>
      <c r="J1419">
        <v>0</v>
      </c>
      <c r="K1419">
        <v>0</v>
      </c>
      <c r="L1419">
        <v>0</v>
      </c>
      <c r="M1419">
        <v>0</v>
      </c>
      <c r="N1419">
        <v>0</v>
      </c>
      <c r="O1419">
        <v>70</v>
      </c>
      <c r="P1419">
        <v>0</v>
      </c>
      <c r="Q1419">
        <v>0</v>
      </c>
      <c r="R1419">
        <v>0</v>
      </c>
      <c r="S1419">
        <v>0</v>
      </c>
      <c r="T1419">
        <v>0</v>
      </c>
      <c r="U1419">
        <v>0</v>
      </c>
      <c r="V1419">
        <v>1</v>
      </c>
      <c r="X1419">
        <v>80</v>
      </c>
      <c r="Y1419">
        <v>0</v>
      </c>
      <c r="Z1419">
        <v>1</v>
      </c>
      <c r="AA1419">
        <v>0</v>
      </c>
      <c r="AB1419">
        <v>0</v>
      </c>
      <c r="AC1419">
        <v>1</v>
      </c>
      <c r="AD1419">
        <v>900</v>
      </c>
      <c r="AE1419">
        <v>6</v>
      </c>
      <c r="AF1419">
        <v>1</v>
      </c>
      <c r="AG1419">
        <v>0</v>
      </c>
      <c r="AH1419">
        <v>0</v>
      </c>
      <c r="AI1419">
        <v>1</v>
      </c>
      <c r="AJ1419">
        <v>950</v>
      </c>
      <c r="AK1419">
        <v>1</v>
      </c>
      <c r="AO1419">
        <v>15.4</v>
      </c>
      <c r="AP1419">
        <v>0</v>
      </c>
      <c r="AQ1419">
        <v>882</v>
      </c>
      <c r="AR1419">
        <v>67</v>
      </c>
      <c r="AT1419">
        <v>600</v>
      </c>
      <c r="AV1419">
        <v>227</v>
      </c>
      <c r="AX1419" t="s">
        <v>431</v>
      </c>
    </row>
    <row r="1420" spans="1:50" x14ac:dyDescent="0.45">
      <c r="A1420">
        <v>20215</v>
      </c>
      <c r="B1420">
        <v>1</v>
      </c>
      <c r="C1420">
        <v>50</v>
      </c>
      <c r="D1420">
        <v>0</v>
      </c>
      <c r="E1420">
        <v>0</v>
      </c>
      <c r="F1420">
        <v>0</v>
      </c>
      <c r="G1420">
        <v>0</v>
      </c>
      <c r="H1420">
        <v>0</v>
      </c>
      <c r="I1420">
        <v>0</v>
      </c>
      <c r="J1420">
        <v>0</v>
      </c>
      <c r="K1420">
        <v>25</v>
      </c>
      <c r="L1420">
        <v>0</v>
      </c>
      <c r="M1420">
        <v>0</v>
      </c>
      <c r="N1420">
        <v>0</v>
      </c>
      <c r="O1420">
        <v>25</v>
      </c>
      <c r="P1420">
        <v>0</v>
      </c>
      <c r="Q1420">
        <v>0</v>
      </c>
      <c r="R1420">
        <v>0</v>
      </c>
      <c r="S1420">
        <v>0</v>
      </c>
      <c r="T1420">
        <v>0</v>
      </c>
      <c r="U1420">
        <v>0</v>
      </c>
      <c r="V1420">
        <v>1</v>
      </c>
      <c r="X1420">
        <v>80</v>
      </c>
      <c r="Y1420">
        <v>0</v>
      </c>
      <c r="Z1420">
        <v>1</v>
      </c>
      <c r="AA1420">
        <v>0</v>
      </c>
      <c r="AB1420">
        <v>0</v>
      </c>
      <c r="AC1420">
        <v>1</v>
      </c>
      <c r="AD1420">
        <v>950</v>
      </c>
      <c r="AE1420">
        <v>20</v>
      </c>
      <c r="AF1420">
        <v>1</v>
      </c>
      <c r="AG1420">
        <v>0</v>
      </c>
      <c r="AH1420">
        <v>0</v>
      </c>
      <c r="AI1420">
        <v>0</v>
      </c>
      <c r="AO1420">
        <v>12.5</v>
      </c>
      <c r="AP1420">
        <v>0</v>
      </c>
      <c r="AQ1420">
        <v>882</v>
      </c>
      <c r="AR1420">
        <v>55</v>
      </c>
      <c r="AT1420">
        <v>530</v>
      </c>
      <c r="AV1420">
        <v>145</v>
      </c>
      <c r="AX1420" t="s">
        <v>406</v>
      </c>
    </row>
    <row r="1421" spans="1:50" x14ac:dyDescent="0.45">
      <c r="A1421">
        <v>20216</v>
      </c>
      <c r="B1421">
        <v>1</v>
      </c>
      <c r="C1421">
        <v>82.698999999999998</v>
      </c>
      <c r="D1421">
        <v>0</v>
      </c>
      <c r="E1421">
        <v>0</v>
      </c>
      <c r="F1421">
        <v>0</v>
      </c>
      <c r="G1421">
        <v>0</v>
      </c>
      <c r="H1421">
        <v>0</v>
      </c>
      <c r="I1421">
        <v>0</v>
      </c>
      <c r="J1421">
        <v>1.49</v>
      </c>
      <c r="K1421">
        <v>0</v>
      </c>
      <c r="L1421">
        <v>0</v>
      </c>
      <c r="M1421">
        <v>0</v>
      </c>
      <c r="N1421">
        <v>0</v>
      </c>
      <c r="O1421">
        <v>15.1</v>
      </c>
      <c r="P1421">
        <v>0</v>
      </c>
      <c r="Q1421">
        <v>0</v>
      </c>
      <c r="R1421">
        <v>0</v>
      </c>
      <c r="S1421">
        <v>3.1E-2</v>
      </c>
      <c r="T1421">
        <v>0.68</v>
      </c>
      <c r="U1421">
        <v>0</v>
      </c>
      <c r="V1421">
        <v>0</v>
      </c>
      <c r="Y1421">
        <v>1</v>
      </c>
      <c r="Z1421">
        <v>0</v>
      </c>
      <c r="AA1421">
        <v>0</v>
      </c>
      <c r="AB1421">
        <v>0</v>
      </c>
      <c r="AC1421">
        <v>0</v>
      </c>
      <c r="AI1421">
        <v>0</v>
      </c>
      <c r="AO1421">
        <v>3.3220000000000001</v>
      </c>
      <c r="AP1421">
        <v>0.31943333333333335</v>
      </c>
      <c r="AQ1421">
        <v>955.35900000000004</v>
      </c>
      <c r="AR1421">
        <v>92.18</v>
      </c>
      <c r="AS1421">
        <v>869</v>
      </c>
      <c r="AT1421">
        <v>890</v>
      </c>
      <c r="AU1421">
        <v>16.11</v>
      </c>
      <c r="AX1421" t="s">
        <v>432</v>
      </c>
    </row>
    <row r="1422" spans="1:50" x14ac:dyDescent="0.45">
      <c r="A1422">
        <v>20217</v>
      </c>
      <c r="B1422">
        <v>1</v>
      </c>
      <c r="C1422">
        <v>78.881</v>
      </c>
      <c r="D1422">
        <v>0</v>
      </c>
      <c r="E1422">
        <v>0</v>
      </c>
      <c r="F1422">
        <v>0</v>
      </c>
      <c r="G1422">
        <v>0</v>
      </c>
      <c r="H1422">
        <v>0</v>
      </c>
      <c r="I1422">
        <v>0</v>
      </c>
      <c r="J1422">
        <v>5.51</v>
      </c>
      <c r="K1422">
        <v>0</v>
      </c>
      <c r="L1422">
        <v>0</v>
      </c>
      <c r="M1422">
        <v>0</v>
      </c>
      <c r="N1422">
        <v>0</v>
      </c>
      <c r="O1422">
        <v>14.9</v>
      </c>
      <c r="P1422">
        <v>0</v>
      </c>
      <c r="Q1422">
        <v>0</v>
      </c>
      <c r="R1422">
        <v>0</v>
      </c>
      <c r="S1422">
        <v>2.9000000000000001E-2</v>
      </c>
      <c r="T1422">
        <v>0.68</v>
      </c>
      <c r="U1422">
        <v>0</v>
      </c>
      <c r="V1422">
        <v>0</v>
      </c>
      <c r="Y1422">
        <v>1</v>
      </c>
      <c r="Z1422">
        <v>0</v>
      </c>
      <c r="AA1422">
        <v>0</v>
      </c>
      <c r="AB1422">
        <v>0</v>
      </c>
      <c r="AC1422">
        <v>0</v>
      </c>
      <c r="AI1422">
        <v>0</v>
      </c>
      <c r="AO1422">
        <v>3.278</v>
      </c>
      <c r="AP1422">
        <v>0.9892333333333333</v>
      </c>
      <c r="AQ1422">
        <v>927.62099999999998</v>
      </c>
      <c r="AR1422">
        <v>71.62</v>
      </c>
      <c r="AS1422">
        <v>925</v>
      </c>
      <c r="AT1422">
        <v>960</v>
      </c>
      <c r="AU1422">
        <v>18.920000000000002</v>
      </c>
      <c r="AX1422" t="s">
        <v>432</v>
      </c>
    </row>
    <row r="1423" spans="1:50" x14ac:dyDescent="0.45">
      <c r="A1423">
        <v>20218</v>
      </c>
      <c r="B1423">
        <v>1</v>
      </c>
      <c r="C1423">
        <v>73.515999999999991</v>
      </c>
      <c r="D1423">
        <v>0</v>
      </c>
      <c r="E1423">
        <v>0</v>
      </c>
      <c r="F1423">
        <v>0</v>
      </c>
      <c r="G1423">
        <v>0</v>
      </c>
      <c r="H1423">
        <v>0</v>
      </c>
      <c r="I1423">
        <v>0</v>
      </c>
      <c r="J1423">
        <v>10.6</v>
      </c>
      <c r="K1423">
        <v>0</v>
      </c>
      <c r="L1423">
        <v>0</v>
      </c>
      <c r="M1423">
        <v>0</v>
      </c>
      <c r="N1423">
        <v>0</v>
      </c>
      <c r="O1423">
        <v>15</v>
      </c>
      <c r="P1423">
        <v>0</v>
      </c>
      <c r="Q1423">
        <v>0</v>
      </c>
      <c r="R1423">
        <v>0</v>
      </c>
      <c r="S1423">
        <v>2.4E-2</v>
      </c>
      <c r="T1423">
        <v>0.86</v>
      </c>
      <c r="U1423">
        <v>0</v>
      </c>
      <c r="V1423">
        <v>0</v>
      </c>
      <c r="Y1423">
        <v>1</v>
      </c>
      <c r="Z1423">
        <v>0</v>
      </c>
      <c r="AA1423">
        <v>0</v>
      </c>
      <c r="AB1423">
        <v>0</v>
      </c>
      <c r="AC1423">
        <v>0</v>
      </c>
      <c r="AI1423">
        <v>0</v>
      </c>
      <c r="AO1423">
        <v>3.3</v>
      </c>
      <c r="AP1423">
        <v>1.8550666666666666</v>
      </c>
      <c r="AQ1423">
        <v>914.64</v>
      </c>
      <c r="AR1423">
        <v>42.93</v>
      </c>
      <c r="AS1423">
        <v>768</v>
      </c>
      <c r="AT1423">
        <v>805</v>
      </c>
      <c r="AU1423">
        <v>15.12</v>
      </c>
      <c r="AX1423" t="s">
        <v>432</v>
      </c>
    </row>
    <row r="1424" spans="1:50" x14ac:dyDescent="0.45">
      <c r="A1424">
        <v>20219</v>
      </c>
      <c r="B1424">
        <v>1</v>
      </c>
      <c r="C1424">
        <v>65.745100000000008</v>
      </c>
      <c r="D1424">
        <v>0</v>
      </c>
      <c r="E1424">
        <v>0</v>
      </c>
      <c r="F1424">
        <v>4.04</v>
      </c>
      <c r="G1424">
        <v>0</v>
      </c>
      <c r="H1424">
        <v>0</v>
      </c>
      <c r="I1424">
        <v>0</v>
      </c>
      <c r="J1424">
        <v>30.08</v>
      </c>
      <c r="K1424">
        <v>0</v>
      </c>
      <c r="L1424">
        <v>0</v>
      </c>
      <c r="M1424">
        <v>0</v>
      </c>
      <c r="N1424">
        <v>0</v>
      </c>
      <c r="O1424">
        <v>0</v>
      </c>
      <c r="P1424">
        <v>0</v>
      </c>
      <c r="Q1424">
        <v>0</v>
      </c>
      <c r="R1424">
        <v>0</v>
      </c>
      <c r="S1424">
        <v>2.7900000000000001E-2</v>
      </c>
      <c r="T1424">
        <v>0.107</v>
      </c>
      <c r="U1424">
        <v>0</v>
      </c>
      <c r="V1424">
        <v>1</v>
      </c>
      <c r="W1424">
        <v>1000</v>
      </c>
      <c r="X1424">
        <v>70</v>
      </c>
      <c r="Y1424">
        <v>0</v>
      </c>
      <c r="Z1424">
        <v>1</v>
      </c>
      <c r="AA1424">
        <v>0</v>
      </c>
      <c r="AB1424">
        <v>0</v>
      </c>
      <c r="AC1424">
        <v>1</v>
      </c>
      <c r="AD1424">
        <v>850</v>
      </c>
      <c r="AE1424">
        <v>1</v>
      </c>
      <c r="AF1424">
        <v>1</v>
      </c>
      <c r="AG1424">
        <v>0</v>
      </c>
      <c r="AH1424">
        <v>0</v>
      </c>
      <c r="AI1424">
        <v>0</v>
      </c>
      <c r="AO1424">
        <v>6.4640000000000004</v>
      </c>
      <c r="AP1424">
        <v>5.0268233333333328</v>
      </c>
      <c r="AQ1424">
        <v>638.72499999999991</v>
      </c>
      <c r="AR1424">
        <v>67</v>
      </c>
      <c r="AS1424">
        <v>525</v>
      </c>
      <c r="AT1424">
        <v>755</v>
      </c>
      <c r="AU1424">
        <v>2.5</v>
      </c>
      <c r="AX1424" t="s">
        <v>433</v>
      </c>
    </row>
    <row r="1425" spans="1:50" x14ac:dyDescent="0.45">
      <c r="A1425">
        <v>20220</v>
      </c>
      <c r="B1425">
        <v>1</v>
      </c>
      <c r="C1425">
        <v>64.550899999999999</v>
      </c>
      <c r="D1425">
        <v>0</v>
      </c>
      <c r="E1425">
        <v>0</v>
      </c>
      <c r="F1425">
        <v>5.1100000000000003</v>
      </c>
      <c r="G1425">
        <v>0</v>
      </c>
      <c r="H1425">
        <v>0</v>
      </c>
      <c r="I1425">
        <v>0</v>
      </c>
      <c r="J1425">
        <v>30.25</v>
      </c>
      <c r="K1425">
        <v>0</v>
      </c>
      <c r="L1425">
        <v>0</v>
      </c>
      <c r="M1425">
        <v>0</v>
      </c>
      <c r="N1425">
        <v>0</v>
      </c>
      <c r="O1425">
        <v>0</v>
      </c>
      <c r="P1425">
        <v>0</v>
      </c>
      <c r="Q1425">
        <v>0</v>
      </c>
      <c r="R1425">
        <v>0</v>
      </c>
      <c r="S1425">
        <v>8.0999999999999996E-3</v>
      </c>
      <c r="T1425">
        <v>8.1000000000000003E-2</v>
      </c>
      <c r="U1425">
        <v>0</v>
      </c>
      <c r="V1425">
        <v>1</v>
      </c>
      <c r="W1425">
        <v>1000</v>
      </c>
      <c r="X1425">
        <v>70</v>
      </c>
      <c r="Y1425">
        <v>0</v>
      </c>
      <c r="Z1425">
        <v>1</v>
      </c>
      <c r="AA1425">
        <v>0</v>
      </c>
      <c r="AB1425">
        <v>0</v>
      </c>
      <c r="AC1425">
        <v>1</v>
      </c>
      <c r="AD1425">
        <v>850</v>
      </c>
      <c r="AE1425">
        <v>1</v>
      </c>
      <c r="AF1425">
        <v>1</v>
      </c>
      <c r="AG1425">
        <v>0</v>
      </c>
      <c r="AH1425">
        <v>0</v>
      </c>
      <c r="AI1425">
        <v>0</v>
      </c>
      <c r="AO1425">
        <v>8.1760000000000002</v>
      </c>
      <c r="AP1425">
        <v>5.0505766666666672</v>
      </c>
      <c r="AQ1425">
        <v>621.40699999999993</v>
      </c>
      <c r="AR1425">
        <v>76</v>
      </c>
      <c r="AS1425">
        <v>855</v>
      </c>
      <c r="AT1425">
        <v>965</v>
      </c>
      <c r="AU1425">
        <v>4.5</v>
      </c>
      <c r="AX1425" t="s">
        <v>433</v>
      </c>
    </row>
    <row r="1426" spans="1:50" x14ac:dyDescent="0.45">
      <c r="A1426">
        <v>20221</v>
      </c>
      <c r="B1426">
        <v>1</v>
      </c>
      <c r="C1426">
        <v>65.745100000000008</v>
      </c>
      <c r="D1426">
        <v>0</v>
      </c>
      <c r="E1426">
        <v>0</v>
      </c>
      <c r="F1426">
        <v>4.04</v>
      </c>
      <c r="G1426">
        <v>0</v>
      </c>
      <c r="H1426">
        <v>0</v>
      </c>
      <c r="I1426">
        <v>0</v>
      </c>
      <c r="J1426">
        <v>30.08</v>
      </c>
      <c r="K1426">
        <v>0</v>
      </c>
      <c r="L1426">
        <v>0</v>
      </c>
      <c r="M1426">
        <v>0</v>
      </c>
      <c r="N1426">
        <v>0</v>
      </c>
      <c r="O1426">
        <v>0</v>
      </c>
      <c r="P1426">
        <v>0</v>
      </c>
      <c r="Q1426">
        <v>0</v>
      </c>
      <c r="R1426">
        <v>0</v>
      </c>
      <c r="S1426">
        <v>2.7900000000000001E-2</v>
      </c>
      <c r="T1426">
        <v>0.107</v>
      </c>
      <c r="U1426">
        <v>0</v>
      </c>
      <c r="V1426">
        <v>1</v>
      </c>
      <c r="W1426">
        <v>1000</v>
      </c>
      <c r="X1426">
        <v>70</v>
      </c>
      <c r="Y1426">
        <v>0</v>
      </c>
      <c r="Z1426">
        <v>1</v>
      </c>
      <c r="AA1426">
        <v>0</v>
      </c>
      <c r="AB1426">
        <v>0</v>
      </c>
      <c r="AC1426">
        <v>1</v>
      </c>
      <c r="AD1426">
        <v>850</v>
      </c>
      <c r="AE1426">
        <v>1</v>
      </c>
      <c r="AF1426">
        <v>1</v>
      </c>
      <c r="AG1426">
        <v>0</v>
      </c>
      <c r="AH1426">
        <v>0</v>
      </c>
      <c r="AI1426">
        <v>0</v>
      </c>
      <c r="AO1426">
        <v>6.4640000000000004</v>
      </c>
      <c r="AP1426">
        <v>5.0268233333333328</v>
      </c>
      <c r="AQ1426">
        <v>638.72499999999991</v>
      </c>
      <c r="AR1426">
        <v>69.400000000000006</v>
      </c>
      <c r="AS1426">
        <v>505</v>
      </c>
      <c r="AT1426">
        <v>690</v>
      </c>
      <c r="AU1426">
        <v>11</v>
      </c>
      <c r="AX1426" t="s">
        <v>433</v>
      </c>
    </row>
    <row r="1427" spans="1:50" x14ac:dyDescent="0.45">
      <c r="A1427">
        <v>20222</v>
      </c>
      <c r="B1427">
        <v>1</v>
      </c>
      <c r="C1427">
        <v>64.550899999999999</v>
      </c>
      <c r="D1427">
        <v>0</v>
      </c>
      <c r="E1427">
        <v>0</v>
      </c>
      <c r="F1427">
        <v>5.1100000000000003</v>
      </c>
      <c r="G1427">
        <v>0</v>
      </c>
      <c r="H1427">
        <v>0</v>
      </c>
      <c r="I1427">
        <v>0</v>
      </c>
      <c r="J1427">
        <v>30.25</v>
      </c>
      <c r="K1427">
        <v>0</v>
      </c>
      <c r="L1427">
        <v>0</v>
      </c>
      <c r="M1427">
        <v>0</v>
      </c>
      <c r="N1427">
        <v>0</v>
      </c>
      <c r="O1427">
        <v>0</v>
      </c>
      <c r="P1427">
        <v>0</v>
      </c>
      <c r="Q1427">
        <v>0</v>
      </c>
      <c r="R1427">
        <v>0</v>
      </c>
      <c r="S1427">
        <v>8.0999999999999996E-3</v>
      </c>
      <c r="T1427">
        <v>8.1000000000000003E-2</v>
      </c>
      <c r="U1427">
        <v>0</v>
      </c>
      <c r="V1427">
        <v>1</v>
      </c>
      <c r="W1427">
        <v>1000</v>
      </c>
      <c r="X1427">
        <v>70</v>
      </c>
      <c r="Y1427">
        <v>0</v>
      </c>
      <c r="Z1427">
        <v>1</v>
      </c>
      <c r="AA1427">
        <v>0</v>
      </c>
      <c r="AB1427">
        <v>0</v>
      </c>
      <c r="AC1427">
        <v>1</v>
      </c>
      <c r="AD1427">
        <v>850</v>
      </c>
      <c r="AE1427">
        <v>1</v>
      </c>
      <c r="AF1427">
        <v>1</v>
      </c>
      <c r="AG1427">
        <v>0</v>
      </c>
      <c r="AH1427">
        <v>0</v>
      </c>
      <c r="AI1427">
        <v>0</v>
      </c>
      <c r="AO1427">
        <v>8.1760000000000002</v>
      </c>
      <c r="AP1427">
        <v>5.0505766666666672</v>
      </c>
      <c r="AQ1427">
        <v>621.40699999999993</v>
      </c>
      <c r="AR1427">
        <v>66.599999999999994</v>
      </c>
      <c r="AS1427">
        <v>820</v>
      </c>
      <c r="AT1427">
        <v>880</v>
      </c>
      <c r="AU1427">
        <v>6</v>
      </c>
      <c r="AX1427" t="s">
        <v>433</v>
      </c>
    </row>
    <row r="1428" spans="1:50" x14ac:dyDescent="0.45">
      <c r="A1428">
        <v>20223</v>
      </c>
      <c r="B1428">
        <v>1</v>
      </c>
      <c r="C1428">
        <v>63.886500000000005</v>
      </c>
      <c r="D1428">
        <v>0</v>
      </c>
      <c r="E1428">
        <v>0</v>
      </c>
      <c r="F1428">
        <v>1.03</v>
      </c>
      <c r="G1428">
        <v>0</v>
      </c>
      <c r="H1428">
        <v>0</v>
      </c>
      <c r="I1428">
        <v>0</v>
      </c>
      <c r="J1428">
        <v>29.95</v>
      </c>
      <c r="K1428">
        <v>0</v>
      </c>
      <c r="L1428">
        <v>5.07</v>
      </c>
      <c r="M1428">
        <v>0</v>
      </c>
      <c r="N1428">
        <v>0</v>
      </c>
      <c r="O1428">
        <v>0</v>
      </c>
      <c r="P1428">
        <v>0</v>
      </c>
      <c r="Q1428">
        <v>0</v>
      </c>
      <c r="R1428">
        <v>0</v>
      </c>
      <c r="S1428">
        <v>7.4999999999999997E-3</v>
      </c>
      <c r="T1428">
        <v>5.6000000000000001E-2</v>
      </c>
      <c r="U1428">
        <v>0</v>
      </c>
      <c r="V1428">
        <v>1</v>
      </c>
      <c r="W1428">
        <v>1000</v>
      </c>
      <c r="X1428">
        <v>70</v>
      </c>
      <c r="Y1428">
        <v>0</v>
      </c>
      <c r="Z1428">
        <v>1</v>
      </c>
      <c r="AA1428">
        <v>0</v>
      </c>
      <c r="AB1428">
        <v>0</v>
      </c>
      <c r="AC1428">
        <v>1</v>
      </c>
      <c r="AD1428">
        <v>850</v>
      </c>
      <c r="AE1428">
        <v>1</v>
      </c>
      <c r="AF1428">
        <v>1</v>
      </c>
      <c r="AG1428">
        <v>0</v>
      </c>
      <c r="AH1428">
        <v>0</v>
      </c>
      <c r="AI1428">
        <v>0</v>
      </c>
      <c r="AO1428">
        <v>6.718</v>
      </c>
      <c r="AP1428">
        <v>4.9980166666666666</v>
      </c>
      <c r="AQ1428">
        <v>621.60500000000013</v>
      </c>
      <c r="AR1428">
        <v>67.5</v>
      </c>
      <c r="AS1428">
        <v>548</v>
      </c>
      <c r="AT1428">
        <v>550</v>
      </c>
      <c r="AU1428">
        <v>11.5</v>
      </c>
      <c r="AX1428" t="s">
        <v>433</v>
      </c>
    </row>
    <row r="1429" spans="1:50" x14ac:dyDescent="0.45">
      <c r="A1429">
        <v>20224</v>
      </c>
      <c r="B1429">
        <v>1</v>
      </c>
      <c r="C1429">
        <v>63.886500000000005</v>
      </c>
      <c r="D1429">
        <v>0</v>
      </c>
      <c r="E1429">
        <v>0</v>
      </c>
      <c r="F1429">
        <v>1.03</v>
      </c>
      <c r="G1429">
        <v>0</v>
      </c>
      <c r="H1429">
        <v>0</v>
      </c>
      <c r="I1429">
        <v>0</v>
      </c>
      <c r="J1429">
        <v>29.95</v>
      </c>
      <c r="K1429">
        <v>0</v>
      </c>
      <c r="L1429">
        <v>5.07</v>
      </c>
      <c r="M1429">
        <v>0</v>
      </c>
      <c r="N1429">
        <v>0</v>
      </c>
      <c r="O1429">
        <v>0</v>
      </c>
      <c r="P1429">
        <v>0</v>
      </c>
      <c r="Q1429">
        <v>0</v>
      </c>
      <c r="R1429">
        <v>0</v>
      </c>
      <c r="S1429">
        <v>7.4999999999999997E-3</v>
      </c>
      <c r="T1429">
        <v>5.6000000000000001E-2</v>
      </c>
      <c r="U1429">
        <v>0</v>
      </c>
      <c r="V1429">
        <v>1</v>
      </c>
      <c r="W1429">
        <v>1000</v>
      </c>
      <c r="X1429">
        <v>70</v>
      </c>
      <c r="Y1429">
        <v>0</v>
      </c>
      <c r="Z1429">
        <v>1</v>
      </c>
      <c r="AA1429">
        <v>0</v>
      </c>
      <c r="AB1429">
        <v>0</v>
      </c>
      <c r="AC1429">
        <v>1</v>
      </c>
      <c r="AD1429">
        <v>850</v>
      </c>
      <c r="AE1429">
        <v>1</v>
      </c>
      <c r="AF1429">
        <v>1</v>
      </c>
      <c r="AG1429">
        <v>0</v>
      </c>
      <c r="AH1429">
        <v>0</v>
      </c>
      <c r="AI1429">
        <v>0</v>
      </c>
      <c r="AO1429">
        <v>6.718</v>
      </c>
      <c r="AP1429">
        <v>4.9980166666666666</v>
      </c>
      <c r="AQ1429">
        <v>621.60500000000013</v>
      </c>
      <c r="AR1429">
        <v>69.099999999999994</v>
      </c>
      <c r="AS1429">
        <v>510</v>
      </c>
      <c r="AT1429">
        <v>512</v>
      </c>
      <c r="AU1429">
        <v>41.5</v>
      </c>
      <c r="AX1429" t="s">
        <v>433</v>
      </c>
    </row>
    <row r="1430" spans="1:50" x14ac:dyDescent="0.45">
      <c r="A1430">
        <v>20225</v>
      </c>
      <c r="B1430">
        <v>1</v>
      </c>
      <c r="C1430">
        <v>64.113200000000006</v>
      </c>
      <c r="D1430">
        <v>0</v>
      </c>
      <c r="E1430">
        <v>0</v>
      </c>
      <c r="F1430">
        <v>2.04</v>
      </c>
      <c r="G1430">
        <v>0</v>
      </c>
      <c r="H1430">
        <v>0</v>
      </c>
      <c r="I1430">
        <v>0</v>
      </c>
      <c r="J1430">
        <v>29.7</v>
      </c>
      <c r="K1430">
        <v>0</v>
      </c>
      <c r="L1430">
        <v>4.08</v>
      </c>
      <c r="M1430">
        <v>0</v>
      </c>
      <c r="N1430">
        <v>0</v>
      </c>
      <c r="O1430">
        <v>0</v>
      </c>
      <c r="P1430">
        <v>0</v>
      </c>
      <c r="Q1430">
        <v>0</v>
      </c>
      <c r="R1430">
        <v>0</v>
      </c>
      <c r="S1430">
        <v>3.8E-3</v>
      </c>
      <c r="T1430">
        <v>6.3E-2</v>
      </c>
      <c r="U1430">
        <v>0</v>
      </c>
      <c r="V1430">
        <v>1</v>
      </c>
      <c r="W1430">
        <v>1000</v>
      </c>
      <c r="X1430">
        <v>70</v>
      </c>
      <c r="Y1430">
        <v>0</v>
      </c>
      <c r="Z1430">
        <v>1</v>
      </c>
      <c r="AA1430">
        <v>0</v>
      </c>
      <c r="AB1430">
        <v>0</v>
      </c>
      <c r="AC1430">
        <v>1</v>
      </c>
      <c r="AD1430">
        <v>850</v>
      </c>
      <c r="AE1430">
        <v>1</v>
      </c>
      <c r="AF1430">
        <v>1</v>
      </c>
      <c r="AG1430">
        <v>0</v>
      </c>
      <c r="AH1430">
        <v>0</v>
      </c>
      <c r="AI1430">
        <v>0</v>
      </c>
      <c r="AO1430">
        <v>7.3440000000000003</v>
      </c>
      <c r="AP1430">
        <v>4.9566800000000004</v>
      </c>
      <c r="AQ1430">
        <v>621.375</v>
      </c>
      <c r="AR1430">
        <v>74</v>
      </c>
      <c r="AS1430">
        <v>610</v>
      </c>
      <c r="AT1430">
        <v>635</v>
      </c>
      <c r="AU1430">
        <v>10.5</v>
      </c>
      <c r="AX1430" t="s">
        <v>433</v>
      </c>
    </row>
    <row r="1431" spans="1:50" x14ac:dyDescent="0.45">
      <c r="A1431">
        <v>20226</v>
      </c>
      <c r="B1431">
        <v>1</v>
      </c>
      <c r="C1431">
        <v>64.113200000000006</v>
      </c>
      <c r="D1431">
        <v>0</v>
      </c>
      <c r="E1431">
        <v>0</v>
      </c>
      <c r="F1431">
        <v>2.04</v>
      </c>
      <c r="G1431">
        <v>0</v>
      </c>
      <c r="H1431">
        <v>0</v>
      </c>
      <c r="I1431">
        <v>0</v>
      </c>
      <c r="J1431">
        <v>29.7</v>
      </c>
      <c r="K1431">
        <v>0</v>
      </c>
      <c r="L1431">
        <v>4.08</v>
      </c>
      <c r="M1431">
        <v>0</v>
      </c>
      <c r="N1431">
        <v>0</v>
      </c>
      <c r="O1431">
        <v>0</v>
      </c>
      <c r="P1431">
        <v>0</v>
      </c>
      <c r="Q1431">
        <v>0</v>
      </c>
      <c r="R1431">
        <v>0</v>
      </c>
      <c r="S1431">
        <v>3.8E-3</v>
      </c>
      <c r="T1431">
        <v>6.3E-2</v>
      </c>
      <c r="U1431">
        <v>0</v>
      </c>
      <c r="V1431">
        <v>1</v>
      </c>
      <c r="W1431">
        <v>1000</v>
      </c>
      <c r="X1431">
        <v>70</v>
      </c>
      <c r="Y1431">
        <v>0</v>
      </c>
      <c r="Z1431">
        <v>1</v>
      </c>
      <c r="AA1431">
        <v>0</v>
      </c>
      <c r="AB1431">
        <v>0</v>
      </c>
      <c r="AC1431">
        <v>1</v>
      </c>
      <c r="AD1431">
        <v>850</v>
      </c>
      <c r="AE1431">
        <v>1</v>
      </c>
      <c r="AF1431">
        <v>1</v>
      </c>
      <c r="AG1431">
        <v>0</v>
      </c>
      <c r="AH1431">
        <v>0</v>
      </c>
      <c r="AI1431">
        <v>0</v>
      </c>
      <c r="AO1431">
        <v>7.3440000000000003</v>
      </c>
      <c r="AP1431">
        <v>4.9566800000000004</v>
      </c>
      <c r="AQ1431">
        <v>621.375</v>
      </c>
      <c r="AR1431">
        <v>64.2</v>
      </c>
      <c r="AS1431">
        <v>590</v>
      </c>
      <c r="AT1431">
        <v>580</v>
      </c>
      <c r="AU1431">
        <v>34</v>
      </c>
      <c r="AX1431" t="s">
        <v>433</v>
      </c>
    </row>
    <row r="1432" spans="1:50" x14ac:dyDescent="0.45">
      <c r="A1432">
        <v>20227</v>
      </c>
      <c r="B1432">
        <v>1</v>
      </c>
      <c r="C1432">
        <v>63.973999999999997</v>
      </c>
      <c r="D1432">
        <v>0</v>
      </c>
      <c r="E1432">
        <v>0</v>
      </c>
      <c r="F1432">
        <v>3.06</v>
      </c>
      <c r="G1432">
        <v>0</v>
      </c>
      <c r="H1432">
        <v>0</v>
      </c>
      <c r="I1432">
        <v>0</v>
      </c>
      <c r="J1432">
        <v>29.85</v>
      </c>
      <c r="K1432">
        <v>0</v>
      </c>
      <c r="L1432">
        <v>3.05</v>
      </c>
      <c r="M1432">
        <v>0</v>
      </c>
      <c r="N1432">
        <v>0</v>
      </c>
      <c r="O1432">
        <v>0</v>
      </c>
      <c r="P1432">
        <v>0</v>
      </c>
      <c r="Q1432">
        <v>0</v>
      </c>
      <c r="R1432">
        <v>0</v>
      </c>
      <c r="S1432">
        <v>6.0000000000000001E-3</v>
      </c>
      <c r="T1432">
        <v>0.06</v>
      </c>
      <c r="U1432">
        <v>0</v>
      </c>
      <c r="V1432">
        <v>1</v>
      </c>
      <c r="W1432">
        <v>1000</v>
      </c>
      <c r="X1432">
        <v>70</v>
      </c>
      <c r="Y1432">
        <v>0</v>
      </c>
      <c r="Z1432">
        <v>1</v>
      </c>
      <c r="AA1432">
        <v>0</v>
      </c>
      <c r="AB1432">
        <v>0</v>
      </c>
      <c r="AC1432">
        <v>1</v>
      </c>
      <c r="AD1432">
        <v>850</v>
      </c>
      <c r="AE1432">
        <v>1</v>
      </c>
      <c r="AF1432">
        <v>1</v>
      </c>
      <c r="AG1432">
        <v>0</v>
      </c>
      <c r="AH1432">
        <v>0</v>
      </c>
      <c r="AI1432">
        <v>0</v>
      </c>
      <c r="AO1432">
        <v>7.9460000000000006</v>
      </c>
      <c r="AP1432">
        <v>4.9816000000000003</v>
      </c>
      <c r="AQ1432">
        <v>617.41399999999999</v>
      </c>
      <c r="AR1432">
        <v>87</v>
      </c>
      <c r="AS1432">
        <v>760</v>
      </c>
      <c r="AT1432">
        <v>752</v>
      </c>
      <c r="AU1432">
        <v>8</v>
      </c>
      <c r="AX1432" t="s">
        <v>433</v>
      </c>
    </row>
    <row r="1433" spans="1:50" x14ac:dyDescent="0.45">
      <c r="A1433">
        <v>20228</v>
      </c>
      <c r="B1433">
        <v>1</v>
      </c>
      <c r="C1433">
        <v>63.973999999999997</v>
      </c>
      <c r="D1433">
        <v>0</v>
      </c>
      <c r="E1433">
        <v>0</v>
      </c>
      <c r="F1433">
        <v>3.06</v>
      </c>
      <c r="G1433">
        <v>0</v>
      </c>
      <c r="H1433">
        <v>0</v>
      </c>
      <c r="I1433">
        <v>0</v>
      </c>
      <c r="J1433">
        <v>29.85</v>
      </c>
      <c r="K1433">
        <v>0</v>
      </c>
      <c r="L1433">
        <v>3.05</v>
      </c>
      <c r="M1433">
        <v>0</v>
      </c>
      <c r="N1433">
        <v>0</v>
      </c>
      <c r="O1433">
        <v>0</v>
      </c>
      <c r="P1433">
        <v>0</v>
      </c>
      <c r="Q1433">
        <v>0</v>
      </c>
      <c r="R1433">
        <v>0</v>
      </c>
      <c r="S1433">
        <v>6.0000000000000001E-3</v>
      </c>
      <c r="T1433">
        <v>0.06</v>
      </c>
      <c r="U1433">
        <v>0</v>
      </c>
      <c r="V1433">
        <v>1</v>
      </c>
      <c r="W1433">
        <v>1000</v>
      </c>
      <c r="X1433">
        <v>70</v>
      </c>
      <c r="Y1433">
        <v>0</v>
      </c>
      <c r="Z1433">
        <v>1</v>
      </c>
      <c r="AA1433">
        <v>0</v>
      </c>
      <c r="AB1433">
        <v>0</v>
      </c>
      <c r="AC1433">
        <v>1</v>
      </c>
      <c r="AD1433">
        <v>850</v>
      </c>
      <c r="AE1433">
        <v>1</v>
      </c>
      <c r="AF1433">
        <v>1</v>
      </c>
      <c r="AG1433">
        <v>0</v>
      </c>
      <c r="AH1433">
        <v>0</v>
      </c>
      <c r="AI1433">
        <v>0</v>
      </c>
      <c r="AO1433">
        <v>7.9460000000000006</v>
      </c>
      <c r="AP1433">
        <v>4.9816000000000003</v>
      </c>
      <c r="AQ1433">
        <v>617.41399999999999</v>
      </c>
      <c r="AR1433">
        <v>68.5</v>
      </c>
      <c r="AS1433">
        <v>646</v>
      </c>
      <c r="AT1433">
        <v>645</v>
      </c>
      <c r="AU1433">
        <v>27.6</v>
      </c>
      <c r="AX1433" t="s">
        <v>433</v>
      </c>
    </row>
    <row r="1434" spans="1:50" x14ac:dyDescent="0.45">
      <c r="A1434">
        <v>20229</v>
      </c>
      <c r="B1434">
        <v>0</v>
      </c>
      <c r="C1434">
        <v>75.75</v>
      </c>
      <c r="D1434">
        <v>0</v>
      </c>
      <c r="E1434">
        <v>0</v>
      </c>
      <c r="F1434">
        <v>0</v>
      </c>
      <c r="G1434">
        <v>0</v>
      </c>
      <c r="H1434">
        <v>0</v>
      </c>
      <c r="I1434">
        <v>0</v>
      </c>
      <c r="J1434">
        <v>13</v>
      </c>
      <c r="K1434">
        <v>0</v>
      </c>
      <c r="L1434">
        <v>10</v>
      </c>
      <c r="M1434">
        <v>0</v>
      </c>
      <c r="N1434">
        <v>0</v>
      </c>
      <c r="O1434">
        <v>0</v>
      </c>
      <c r="P1434">
        <v>0</v>
      </c>
      <c r="Q1434">
        <v>1.25</v>
      </c>
      <c r="R1434">
        <v>0</v>
      </c>
      <c r="S1434">
        <v>0</v>
      </c>
      <c r="T1434">
        <v>0</v>
      </c>
      <c r="U1434">
        <v>0</v>
      </c>
      <c r="V1434">
        <v>0</v>
      </c>
      <c r="Y1434">
        <v>1</v>
      </c>
      <c r="Z1434">
        <v>0</v>
      </c>
      <c r="AA1434">
        <v>0</v>
      </c>
      <c r="AB1434">
        <v>0</v>
      </c>
      <c r="AC1434">
        <v>0</v>
      </c>
      <c r="AI1434">
        <v>0</v>
      </c>
      <c r="AO1434">
        <v>10</v>
      </c>
      <c r="AP1434">
        <v>2.1666666666666665</v>
      </c>
      <c r="AQ1434">
        <v>726.42499999999995</v>
      </c>
      <c r="AR1434">
        <v>32.622999999999998</v>
      </c>
      <c r="AX1434" t="s">
        <v>378</v>
      </c>
    </row>
    <row r="1435" spans="1:50" x14ac:dyDescent="0.45">
      <c r="A1435">
        <v>20230</v>
      </c>
      <c r="B1435">
        <v>1</v>
      </c>
      <c r="C1435">
        <v>76</v>
      </c>
      <c r="D1435">
        <v>0</v>
      </c>
      <c r="E1435">
        <v>0</v>
      </c>
      <c r="F1435">
        <v>0</v>
      </c>
      <c r="G1435">
        <v>0</v>
      </c>
      <c r="H1435">
        <v>0</v>
      </c>
      <c r="I1435">
        <v>0</v>
      </c>
      <c r="J1435">
        <v>18</v>
      </c>
      <c r="K1435">
        <v>6</v>
      </c>
      <c r="L1435">
        <v>0</v>
      </c>
      <c r="M1435">
        <v>0</v>
      </c>
      <c r="N1435">
        <v>0</v>
      </c>
      <c r="O1435">
        <v>0</v>
      </c>
      <c r="P1435">
        <v>0</v>
      </c>
      <c r="Q1435">
        <v>0</v>
      </c>
      <c r="R1435">
        <v>0</v>
      </c>
      <c r="S1435">
        <v>0</v>
      </c>
      <c r="T1435">
        <v>0</v>
      </c>
      <c r="U1435">
        <v>0</v>
      </c>
      <c r="V1435">
        <v>0</v>
      </c>
      <c r="Y1435">
        <v>1</v>
      </c>
      <c r="Z1435">
        <v>0</v>
      </c>
      <c r="AA1435">
        <v>0</v>
      </c>
      <c r="AB1435">
        <v>0</v>
      </c>
      <c r="AC1435">
        <v>1</v>
      </c>
      <c r="AD1435">
        <v>875</v>
      </c>
      <c r="AE1435">
        <v>0.33333333333333331</v>
      </c>
      <c r="AF1435">
        <v>1</v>
      </c>
      <c r="AG1435">
        <v>0</v>
      </c>
      <c r="AH1435">
        <v>0</v>
      </c>
      <c r="AI1435">
        <v>0</v>
      </c>
      <c r="AO1435">
        <v>1.6800000000000002</v>
      </c>
      <c r="AP1435">
        <v>3</v>
      </c>
      <c r="AQ1435">
        <v>757.8</v>
      </c>
      <c r="AR1435">
        <v>85.2</v>
      </c>
      <c r="AS1435">
        <v>659</v>
      </c>
      <c r="AT1435">
        <v>807</v>
      </c>
      <c r="AU1435">
        <v>8</v>
      </c>
      <c r="AX1435" t="s">
        <v>434</v>
      </c>
    </row>
    <row r="1436" spans="1:50" x14ac:dyDescent="0.45">
      <c r="A1436">
        <v>20231</v>
      </c>
      <c r="B1436">
        <v>1</v>
      </c>
      <c r="C1436">
        <v>76</v>
      </c>
      <c r="D1436">
        <v>0</v>
      </c>
      <c r="E1436">
        <v>0</v>
      </c>
      <c r="F1436">
        <v>0</v>
      </c>
      <c r="G1436">
        <v>0</v>
      </c>
      <c r="H1436">
        <v>0</v>
      </c>
      <c r="I1436">
        <v>0</v>
      </c>
      <c r="J1436">
        <v>18</v>
      </c>
      <c r="K1436">
        <v>6</v>
      </c>
      <c r="L1436">
        <v>0</v>
      </c>
      <c r="M1436">
        <v>0</v>
      </c>
      <c r="N1436">
        <v>0</v>
      </c>
      <c r="O1436">
        <v>0</v>
      </c>
      <c r="P1436">
        <v>0</v>
      </c>
      <c r="Q1436">
        <v>0</v>
      </c>
      <c r="R1436">
        <v>0</v>
      </c>
      <c r="S1436">
        <v>0</v>
      </c>
      <c r="T1436">
        <v>0</v>
      </c>
      <c r="U1436">
        <v>0</v>
      </c>
      <c r="V1436">
        <v>0</v>
      </c>
      <c r="Y1436">
        <v>1</v>
      </c>
      <c r="Z1436">
        <v>0</v>
      </c>
      <c r="AA1436">
        <v>0</v>
      </c>
      <c r="AB1436">
        <v>0</v>
      </c>
      <c r="AC1436">
        <v>1</v>
      </c>
      <c r="AD1436">
        <v>875</v>
      </c>
      <c r="AE1436">
        <v>0.5</v>
      </c>
      <c r="AF1436">
        <v>1</v>
      </c>
      <c r="AG1436">
        <v>0</v>
      </c>
      <c r="AH1436">
        <v>0</v>
      </c>
      <c r="AI1436">
        <v>1</v>
      </c>
      <c r="AJ1436">
        <v>500</v>
      </c>
      <c r="AK1436">
        <v>6</v>
      </c>
      <c r="AO1436">
        <v>1.6800000000000002</v>
      </c>
      <c r="AP1436">
        <v>3</v>
      </c>
      <c r="AQ1436">
        <v>757.8</v>
      </c>
      <c r="AR1436">
        <v>86.8</v>
      </c>
      <c r="AS1436">
        <v>733</v>
      </c>
      <c r="AT1436">
        <v>876</v>
      </c>
      <c r="AU1436">
        <v>8</v>
      </c>
      <c r="AX1436" t="s">
        <v>434</v>
      </c>
    </row>
    <row r="1437" spans="1:50" x14ac:dyDescent="0.45">
      <c r="A1437">
        <v>20232</v>
      </c>
      <c r="B1437">
        <v>1</v>
      </c>
      <c r="C1437">
        <v>62.5</v>
      </c>
      <c r="D1437">
        <v>0</v>
      </c>
      <c r="E1437">
        <v>0</v>
      </c>
      <c r="F1437">
        <v>0</v>
      </c>
      <c r="G1437">
        <v>0</v>
      </c>
      <c r="H1437">
        <v>0</v>
      </c>
      <c r="I1437">
        <v>0</v>
      </c>
      <c r="J1437">
        <v>16.100000000000001</v>
      </c>
      <c r="K1437">
        <v>15.3</v>
      </c>
      <c r="L1437">
        <v>0</v>
      </c>
      <c r="M1437">
        <v>6.1</v>
      </c>
      <c r="N1437">
        <v>0</v>
      </c>
      <c r="O1437">
        <v>0</v>
      </c>
      <c r="P1437">
        <v>0</v>
      </c>
      <c r="Q1437">
        <v>0</v>
      </c>
      <c r="R1437">
        <v>0</v>
      </c>
      <c r="S1437">
        <v>0</v>
      </c>
      <c r="T1437">
        <v>0</v>
      </c>
      <c r="U1437">
        <v>0</v>
      </c>
      <c r="V1437">
        <v>1</v>
      </c>
      <c r="W1437">
        <v>1000</v>
      </c>
      <c r="Y1437">
        <v>0</v>
      </c>
      <c r="Z1437">
        <v>1</v>
      </c>
      <c r="AA1437">
        <v>0</v>
      </c>
      <c r="AB1437">
        <v>0</v>
      </c>
      <c r="AC1437">
        <v>1</v>
      </c>
      <c r="AD1437">
        <v>1200</v>
      </c>
      <c r="AE1437">
        <v>24</v>
      </c>
      <c r="AF1437">
        <v>1</v>
      </c>
      <c r="AG1437">
        <v>0</v>
      </c>
      <c r="AH1437">
        <v>0</v>
      </c>
      <c r="AI1437">
        <v>1</v>
      </c>
      <c r="AJ1437">
        <v>900</v>
      </c>
      <c r="AK1437">
        <v>0.16666666666666666</v>
      </c>
      <c r="AL1437">
        <v>1</v>
      </c>
      <c r="AM1437">
        <v>0</v>
      </c>
      <c r="AN1437">
        <v>0</v>
      </c>
      <c r="AO1437">
        <v>4.2840000000000007</v>
      </c>
      <c r="AP1437">
        <v>4.7166666666666668</v>
      </c>
      <c r="AQ1437">
        <v>796.53</v>
      </c>
      <c r="AR1437">
        <v>72.2</v>
      </c>
      <c r="AX1437" t="s">
        <v>401</v>
      </c>
    </row>
    <row r="1438" spans="1:50" x14ac:dyDescent="0.45">
      <c r="A1438">
        <v>20233</v>
      </c>
      <c r="B1438">
        <v>1</v>
      </c>
      <c r="C1438">
        <v>62.5</v>
      </c>
      <c r="D1438">
        <v>0</v>
      </c>
      <c r="E1438">
        <v>0</v>
      </c>
      <c r="F1438">
        <v>0</v>
      </c>
      <c r="G1438">
        <v>0</v>
      </c>
      <c r="H1438">
        <v>0</v>
      </c>
      <c r="I1438">
        <v>0</v>
      </c>
      <c r="J1438">
        <v>16.100000000000001</v>
      </c>
      <c r="K1438">
        <v>15.3</v>
      </c>
      <c r="L1438">
        <v>0</v>
      </c>
      <c r="M1438">
        <v>6.1</v>
      </c>
      <c r="N1438">
        <v>0</v>
      </c>
      <c r="O1438">
        <v>0</v>
      </c>
      <c r="P1438">
        <v>0</v>
      </c>
      <c r="Q1438">
        <v>0</v>
      </c>
      <c r="R1438">
        <v>0</v>
      </c>
      <c r="S1438">
        <v>0</v>
      </c>
      <c r="T1438">
        <v>0</v>
      </c>
      <c r="U1438">
        <v>0</v>
      </c>
      <c r="V1438">
        <v>0</v>
      </c>
      <c r="Y1438">
        <v>1</v>
      </c>
      <c r="Z1438">
        <v>0</v>
      </c>
      <c r="AA1438">
        <v>0</v>
      </c>
      <c r="AB1438">
        <v>0</v>
      </c>
      <c r="AC1438">
        <v>0</v>
      </c>
      <c r="AI1438">
        <v>0</v>
      </c>
      <c r="AO1438">
        <v>4.2840000000000007</v>
      </c>
      <c r="AP1438">
        <v>4.7166666666666668</v>
      </c>
      <c r="AQ1438">
        <v>796.53</v>
      </c>
      <c r="AR1438">
        <v>72</v>
      </c>
      <c r="AX1438" t="s">
        <v>401</v>
      </c>
    </row>
    <row r="1439" spans="1:50" x14ac:dyDescent="0.45">
      <c r="A1439">
        <v>20234</v>
      </c>
      <c r="B1439">
        <v>1</v>
      </c>
      <c r="C1439">
        <v>61.900000000000006</v>
      </c>
      <c r="D1439">
        <v>0</v>
      </c>
      <c r="E1439">
        <v>0</v>
      </c>
      <c r="F1439">
        <v>0</v>
      </c>
      <c r="G1439">
        <v>0</v>
      </c>
      <c r="H1439">
        <v>0</v>
      </c>
      <c r="I1439">
        <v>0</v>
      </c>
      <c r="J1439">
        <v>18.7</v>
      </c>
      <c r="K1439">
        <v>9.6</v>
      </c>
      <c r="L1439">
        <v>0</v>
      </c>
      <c r="M1439">
        <v>9.8000000000000007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1</v>
      </c>
      <c r="W1439">
        <v>1000</v>
      </c>
      <c r="Y1439">
        <v>0</v>
      </c>
      <c r="Z1439">
        <v>1</v>
      </c>
      <c r="AA1439">
        <v>0</v>
      </c>
      <c r="AB1439">
        <v>0</v>
      </c>
      <c r="AC1439">
        <v>1</v>
      </c>
      <c r="AD1439">
        <v>1200</v>
      </c>
      <c r="AE1439">
        <v>24</v>
      </c>
      <c r="AF1439">
        <v>1</v>
      </c>
      <c r="AG1439">
        <v>0</v>
      </c>
      <c r="AH1439">
        <v>0</v>
      </c>
      <c r="AI1439">
        <v>1</v>
      </c>
      <c r="AJ1439">
        <v>900</v>
      </c>
      <c r="AK1439">
        <v>0.16666666666666666</v>
      </c>
      <c r="AL1439">
        <v>1</v>
      </c>
      <c r="AM1439">
        <v>0</v>
      </c>
      <c r="AN1439">
        <v>0</v>
      </c>
      <c r="AO1439">
        <v>2.6880000000000002</v>
      </c>
      <c r="AP1439">
        <v>6.3833333333333337</v>
      </c>
      <c r="AQ1439">
        <v>794.13</v>
      </c>
      <c r="AR1439">
        <v>77.400000000000006</v>
      </c>
      <c r="AX1439" t="s">
        <v>401</v>
      </c>
    </row>
    <row r="1440" spans="1:50" x14ac:dyDescent="0.45">
      <c r="A1440">
        <v>20235</v>
      </c>
      <c r="B1440">
        <v>1</v>
      </c>
      <c r="C1440">
        <v>61.900000000000006</v>
      </c>
      <c r="D1440">
        <v>0</v>
      </c>
      <c r="E1440">
        <v>0</v>
      </c>
      <c r="F1440">
        <v>0</v>
      </c>
      <c r="G1440">
        <v>0</v>
      </c>
      <c r="H1440">
        <v>0</v>
      </c>
      <c r="I1440">
        <v>0</v>
      </c>
      <c r="J1440">
        <v>18.7</v>
      </c>
      <c r="K1440">
        <v>9.6</v>
      </c>
      <c r="L1440">
        <v>0</v>
      </c>
      <c r="M1440">
        <v>9.8000000000000007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  <c r="V1440">
        <v>0</v>
      </c>
      <c r="Y1440">
        <v>1</v>
      </c>
      <c r="Z1440">
        <v>0</v>
      </c>
      <c r="AA1440">
        <v>0</v>
      </c>
      <c r="AB1440">
        <v>0</v>
      </c>
      <c r="AC1440">
        <v>0</v>
      </c>
      <c r="AI1440">
        <v>0</v>
      </c>
      <c r="AO1440">
        <v>2.6880000000000002</v>
      </c>
      <c r="AP1440">
        <v>6.3833333333333337</v>
      </c>
      <c r="AQ1440">
        <v>794.13</v>
      </c>
      <c r="AR1440">
        <v>77.2</v>
      </c>
      <c r="AX1440" t="s">
        <v>405</v>
      </c>
    </row>
    <row r="1441" spans="1:50" x14ac:dyDescent="0.45">
      <c r="A1441">
        <v>20236</v>
      </c>
      <c r="B1441">
        <v>1</v>
      </c>
      <c r="C1441">
        <v>67</v>
      </c>
      <c r="D1441">
        <v>0</v>
      </c>
      <c r="E1441">
        <v>0</v>
      </c>
      <c r="F1441">
        <v>0</v>
      </c>
      <c r="G1441">
        <v>0</v>
      </c>
      <c r="H1441">
        <v>0</v>
      </c>
      <c r="I1441">
        <v>0</v>
      </c>
      <c r="J1441">
        <v>12.1</v>
      </c>
      <c r="K1441">
        <v>6.3</v>
      </c>
      <c r="L1441">
        <v>2.9</v>
      </c>
      <c r="M1441">
        <v>11.7</v>
      </c>
      <c r="N1441">
        <v>0</v>
      </c>
      <c r="O1441">
        <v>0</v>
      </c>
      <c r="P1441">
        <v>0</v>
      </c>
      <c r="Q1441">
        <v>0</v>
      </c>
      <c r="R1441">
        <v>0</v>
      </c>
      <c r="S1441">
        <v>0</v>
      </c>
      <c r="T1441">
        <v>0</v>
      </c>
      <c r="U1441">
        <v>0</v>
      </c>
      <c r="V1441">
        <v>0</v>
      </c>
      <c r="Y1441">
        <v>1</v>
      </c>
      <c r="Z1441">
        <v>0</v>
      </c>
      <c r="AA1441">
        <v>0</v>
      </c>
      <c r="AB1441">
        <v>0</v>
      </c>
      <c r="AC1441">
        <v>1</v>
      </c>
      <c r="AD1441">
        <v>1200</v>
      </c>
      <c r="AE1441">
        <v>24</v>
      </c>
      <c r="AF1441">
        <v>1</v>
      </c>
      <c r="AG1441">
        <v>0</v>
      </c>
      <c r="AH1441">
        <v>0</v>
      </c>
      <c r="AI1441">
        <v>1</v>
      </c>
      <c r="AJ1441">
        <v>900</v>
      </c>
      <c r="AK1441">
        <v>0.16666666666666666</v>
      </c>
      <c r="AL1441">
        <v>1</v>
      </c>
      <c r="AM1441">
        <v>0</v>
      </c>
      <c r="AN1441">
        <v>0</v>
      </c>
      <c r="AO1441">
        <v>4.6639999999999997</v>
      </c>
      <c r="AP1441">
        <v>5.9166666666666661</v>
      </c>
      <c r="AQ1441">
        <v>820.1</v>
      </c>
      <c r="AR1441">
        <v>52.6</v>
      </c>
      <c r="AX1441" t="s">
        <v>401</v>
      </c>
    </row>
    <row r="1442" spans="1:50" x14ac:dyDescent="0.45">
      <c r="A1442">
        <v>20237</v>
      </c>
      <c r="B1442">
        <v>1</v>
      </c>
      <c r="C1442">
        <v>66.8</v>
      </c>
      <c r="D1442">
        <v>0</v>
      </c>
      <c r="E1442">
        <v>0</v>
      </c>
      <c r="F1442">
        <v>0</v>
      </c>
      <c r="G1442">
        <v>0</v>
      </c>
      <c r="H1442">
        <v>0</v>
      </c>
      <c r="I1442">
        <v>0</v>
      </c>
      <c r="J1442">
        <v>11.8</v>
      </c>
      <c r="K1442">
        <v>5.8</v>
      </c>
      <c r="L1442">
        <v>3.9</v>
      </c>
      <c r="M1442">
        <v>11.7</v>
      </c>
      <c r="N1442">
        <v>0</v>
      </c>
      <c r="O1442">
        <v>0</v>
      </c>
      <c r="P1442">
        <v>0</v>
      </c>
      <c r="Q1442">
        <v>0</v>
      </c>
      <c r="R1442">
        <v>0</v>
      </c>
      <c r="S1442">
        <v>0</v>
      </c>
      <c r="T1442">
        <v>0</v>
      </c>
      <c r="U1442">
        <v>0</v>
      </c>
      <c r="V1442">
        <v>0</v>
      </c>
      <c r="Y1442">
        <v>1</v>
      </c>
      <c r="Z1442">
        <v>0</v>
      </c>
      <c r="AA1442">
        <v>0</v>
      </c>
      <c r="AB1442">
        <v>0</v>
      </c>
      <c r="AC1442">
        <v>1</v>
      </c>
      <c r="AD1442">
        <v>1200</v>
      </c>
      <c r="AE1442">
        <v>24</v>
      </c>
      <c r="AF1442">
        <v>1</v>
      </c>
      <c r="AG1442">
        <v>0</v>
      </c>
      <c r="AH1442">
        <v>0</v>
      </c>
      <c r="AI1442">
        <v>1</v>
      </c>
      <c r="AJ1442">
        <v>900</v>
      </c>
      <c r="AK1442">
        <v>0.16666666666666666</v>
      </c>
      <c r="AL1442">
        <v>1</v>
      </c>
      <c r="AM1442">
        <v>0</v>
      </c>
      <c r="AN1442">
        <v>0</v>
      </c>
      <c r="AO1442">
        <v>5.524</v>
      </c>
      <c r="AP1442">
        <v>5.8666666666666671</v>
      </c>
      <c r="AQ1442">
        <v>812.67000000000007</v>
      </c>
      <c r="AR1442">
        <v>66.5</v>
      </c>
      <c r="AX1442" t="s">
        <v>401</v>
      </c>
    </row>
    <row r="1443" spans="1:50" x14ac:dyDescent="0.45">
      <c r="A1443">
        <v>20238</v>
      </c>
      <c r="B1443">
        <v>1</v>
      </c>
      <c r="C1443">
        <v>68.692000000000007</v>
      </c>
      <c r="D1443">
        <v>0</v>
      </c>
      <c r="E1443">
        <v>0</v>
      </c>
      <c r="F1443">
        <v>0</v>
      </c>
      <c r="G1443">
        <v>0</v>
      </c>
      <c r="H1443">
        <v>0</v>
      </c>
      <c r="I1443">
        <v>0</v>
      </c>
      <c r="J1443">
        <v>15.4</v>
      </c>
      <c r="K1443">
        <v>0</v>
      </c>
      <c r="L1443">
        <v>0</v>
      </c>
      <c r="M1443">
        <v>0</v>
      </c>
      <c r="N1443">
        <v>0</v>
      </c>
      <c r="O1443">
        <v>15.1</v>
      </c>
      <c r="P1443">
        <v>0</v>
      </c>
      <c r="Q1443">
        <v>0</v>
      </c>
      <c r="R1443">
        <v>0</v>
      </c>
      <c r="S1443">
        <v>2.8000000000000001E-2</v>
      </c>
      <c r="T1443">
        <v>0.78</v>
      </c>
      <c r="U1443">
        <v>0</v>
      </c>
      <c r="V1443">
        <v>0</v>
      </c>
      <c r="Y1443">
        <v>1</v>
      </c>
      <c r="Z1443">
        <v>0</v>
      </c>
      <c r="AA1443">
        <v>0</v>
      </c>
      <c r="AB1443">
        <v>0</v>
      </c>
      <c r="AC1443">
        <v>0</v>
      </c>
      <c r="AI1443">
        <v>0</v>
      </c>
      <c r="AO1443">
        <v>3.3220000000000001</v>
      </c>
      <c r="AP1443">
        <v>2.6474666666666669</v>
      </c>
      <c r="AQ1443">
        <v>871.68000000000006</v>
      </c>
      <c r="AR1443">
        <v>72.19</v>
      </c>
      <c r="AS1443">
        <v>663</v>
      </c>
      <c r="AT1443">
        <v>699</v>
      </c>
      <c r="AU1443">
        <v>24.82</v>
      </c>
      <c r="AX1443" t="s">
        <v>432</v>
      </c>
    </row>
    <row r="1444" spans="1:50" x14ac:dyDescent="0.45">
      <c r="A1444">
        <v>20239</v>
      </c>
      <c r="B1444">
        <v>1</v>
      </c>
      <c r="C1444">
        <v>80</v>
      </c>
      <c r="D1444">
        <v>0</v>
      </c>
      <c r="E1444">
        <v>0</v>
      </c>
      <c r="F1444">
        <v>0</v>
      </c>
      <c r="G1444">
        <v>0</v>
      </c>
      <c r="H1444">
        <v>0</v>
      </c>
      <c r="I1444">
        <v>0</v>
      </c>
      <c r="J1444">
        <v>10</v>
      </c>
      <c r="K1444">
        <v>5</v>
      </c>
      <c r="L1444">
        <v>0</v>
      </c>
      <c r="M1444">
        <v>0</v>
      </c>
      <c r="N1444">
        <v>0</v>
      </c>
      <c r="O1444">
        <v>5</v>
      </c>
      <c r="P1444">
        <v>0</v>
      </c>
      <c r="Q1444">
        <v>0</v>
      </c>
      <c r="R1444">
        <v>0</v>
      </c>
      <c r="S1444">
        <v>0</v>
      </c>
      <c r="T1444">
        <v>0</v>
      </c>
      <c r="U1444">
        <v>0</v>
      </c>
      <c r="V1444">
        <v>0</v>
      </c>
      <c r="Y1444">
        <v>1</v>
      </c>
      <c r="Z1444">
        <v>0</v>
      </c>
      <c r="AA1444">
        <v>0</v>
      </c>
      <c r="AB1444">
        <v>0</v>
      </c>
      <c r="AC1444">
        <v>0</v>
      </c>
      <c r="AI1444">
        <v>0</v>
      </c>
      <c r="AO1444">
        <v>2.5</v>
      </c>
      <c r="AP1444">
        <v>1.6666666666666667</v>
      </c>
      <c r="AQ1444">
        <v>813</v>
      </c>
      <c r="AR1444">
        <v>51.97</v>
      </c>
      <c r="AX1444" t="s">
        <v>435</v>
      </c>
    </row>
    <row r="1445" spans="1:50" x14ac:dyDescent="0.45">
      <c r="A1445">
        <v>30001</v>
      </c>
      <c r="B1445">
        <v>1</v>
      </c>
      <c r="C1445">
        <v>65</v>
      </c>
      <c r="D1445">
        <v>0</v>
      </c>
      <c r="E1445">
        <v>0</v>
      </c>
      <c r="F1445">
        <v>0</v>
      </c>
      <c r="G1445">
        <v>0</v>
      </c>
      <c r="H1445">
        <v>2</v>
      </c>
      <c r="I1445">
        <v>0</v>
      </c>
      <c r="J1445">
        <v>10</v>
      </c>
      <c r="K1445">
        <v>23</v>
      </c>
      <c r="L1445">
        <v>0</v>
      </c>
      <c r="M1445">
        <v>0</v>
      </c>
      <c r="N1445">
        <v>0</v>
      </c>
      <c r="O1445">
        <v>0</v>
      </c>
      <c r="P1445">
        <v>0</v>
      </c>
      <c r="Q1445">
        <v>0</v>
      </c>
      <c r="R1445">
        <v>0</v>
      </c>
      <c r="S1445">
        <v>0</v>
      </c>
      <c r="T1445">
        <v>0</v>
      </c>
      <c r="U1445">
        <v>0</v>
      </c>
      <c r="Y1445">
        <v>0</v>
      </c>
      <c r="Z1445">
        <v>0</v>
      </c>
      <c r="AA1445">
        <v>0</v>
      </c>
      <c r="AB1445">
        <v>0</v>
      </c>
      <c r="AC1445">
        <v>1</v>
      </c>
      <c r="AD1445">
        <v>782.2</v>
      </c>
      <c r="AF1445">
        <v>1</v>
      </c>
      <c r="AG1445">
        <v>0</v>
      </c>
      <c r="AH1445">
        <v>0</v>
      </c>
      <c r="AI1445">
        <v>0</v>
      </c>
      <c r="AO1445">
        <v>12.24</v>
      </c>
      <c r="AP1445">
        <v>1.6666666666666667</v>
      </c>
      <c r="AQ1445">
        <v>782.2</v>
      </c>
      <c r="AR1445">
        <v>79</v>
      </c>
      <c r="AS1445">
        <v>782</v>
      </c>
      <c r="AV1445">
        <v>252</v>
      </c>
      <c r="AW1445" t="s">
        <v>436</v>
      </c>
      <c r="AX1445" t="s">
        <v>531</v>
      </c>
    </row>
    <row r="1446" spans="1:50" x14ac:dyDescent="0.45">
      <c r="A1446">
        <v>30002</v>
      </c>
      <c r="B1446">
        <v>1</v>
      </c>
      <c r="C1446">
        <v>61.5</v>
      </c>
      <c r="D1446">
        <v>0</v>
      </c>
      <c r="E1446">
        <v>0</v>
      </c>
      <c r="F1446">
        <v>0</v>
      </c>
      <c r="G1446">
        <v>0</v>
      </c>
      <c r="H1446">
        <v>1.5</v>
      </c>
      <c r="I1446">
        <v>0</v>
      </c>
      <c r="J1446">
        <v>10</v>
      </c>
      <c r="K1446">
        <v>27</v>
      </c>
      <c r="L1446">
        <v>0</v>
      </c>
      <c r="M1446">
        <v>0</v>
      </c>
      <c r="N1446">
        <v>0</v>
      </c>
      <c r="O1446">
        <v>0</v>
      </c>
      <c r="P1446">
        <v>0</v>
      </c>
      <c r="Q1446">
        <v>0</v>
      </c>
      <c r="R1446">
        <v>0</v>
      </c>
      <c r="S1446">
        <v>0</v>
      </c>
      <c r="T1446">
        <v>0</v>
      </c>
      <c r="U1446">
        <v>0</v>
      </c>
      <c r="Y1446">
        <v>0</v>
      </c>
      <c r="Z1446">
        <v>0</v>
      </c>
      <c r="AA1446">
        <v>0</v>
      </c>
      <c r="AB1446">
        <v>0</v>
      </c>
      <c r="AC1446">
        <v>1</v>
      </c>
      <c r="AD1446">
        <v>789.9</v>
      </c>
      <c r="AF1446">
        <v>1</v>
      </c>
      <c r="AG1446">
        <v>0</v>
      </c>
      <c r="AH1446">
        <v>0</v>
      </c>
      <c r="AI1446">
        <v>0</v>
      </c>
      <c r="AO1446">
        <v>11.91</v>
      </c>
      <c r="AP1446">
        <v>1.6666666666666667</v>
      </c>
      <c r="AQ1446">
        <v>789.9</v>
      </c>
      <c r="AR1446">
        <v>78</v>
      </c>
      <c r="AS1446">
        <v>735</v>
      </c>
      <c r="AV1446">
        <v>229</v>
      </c>
      <c r="AW1446" t="s">
        <v>436</v>
      </c>
      <c r="AX1446" t="s">
        <v>531</v>
      </c>
    </row>
    <row r="1447" spans="1:50" x14ac:dyDescent="0.45">
      <c r="A1447">
        <v>30003</v>
      </c>
      <c r="B1447">
        <v>1</v>
      </c>
      <c r="C1447">
        <v>58</v>
      </c>
      <c r="D1447">
        <v>0</v>
      </c>
      <c r="E1447">
        <v>0</v>
      </c>
      <c r="F1447">
        <v>0</v>
      </c>
      <c r="G1447">
        <v>0</v>
      </c>
      <c r="H1447">
        <v>1</v>
      </c>
      <c r="I1447">
        <v>0</v>
      </c>
      <c r="J1447">
        <v>10</v>
      </c>
      <c r="K1447">
        <v>31</v>
      </c>
      <c r="L1447">
        <v>0</v>
      </c>
      <c r="M1447">
        <v>0</v>
      </c>
      <c r="N1447">
        <v>0</v>
      </c>
      <c r="O1447">
        <v>0</v>
      </c>
      <c r="P1447">
        <v>0</v>
      </c>
      <c r="Q1447">
        <v>0</v>
      </c>
      <c r="R1447">
        <v>0</v>
      </c>
      <c r="S1447">
        <v>0</v>
      </c>
      <c r="T1447">
        <v>0</v>
      </c>
      <c r="U1447">
        <v>0</v>
      </c>
      <c r="Y1447">
        <v>0</v>
      </c>
      <c r="Z1447">
        <v>0</v>
      </c>
      <c r="AA1447">
        <v>0</v>
      </c>
      <c r="AB1447">
        <v>0</v>
      </c>
      <c r="AC1447">
        <v>1</v>
      </c>
      <c r="AD1447">
        <v>797.6</v>
      </c>
      <c r="AF1447">
        <v>1</v>
      </c>
      <c r="AG1447">
        <v>0</v>
      </c>
      <c r="AH1447">
        <v>0</v>
      </c>
      <c r="AI1447">
        <v>0</v>
      </c>
      <c r="AO1447">
        <v>11.580000000000002</v>
      </c>
      <c r="AP1447">
        <v>1.6666666666666667</v>
      </c>
      <c r="AQ1447">
        <v>797.6</v>
      </c>
      <c r="AR1447">
        <v>77</v>
      </c>
      <c r="AS1447">
        <v>672</v>
      </c>
      <c r="AV1447">
        <v>218</v>
      </c>
      <c r="AW1447" t="s">
        <v>436</v>
      </c>
      <c r="AX1447" t="s">
        <v>531</v>
      </c>
    </row>
    <row r="1448" spans="1:50" x14ac:dyDescent="0.45">
      <c r="A1448">
        <v>30004</v>
      </c>
      <c r="B1448">
        <v>1</v>
      </c>
      <c r="C1448">
        <v>78.5</v>
      </c>
      <c r="D1448">
        <v>0</v>
      </c>
      <c r="E1448">
        <v>0</v>
      </c>
      <c r="F1448">
        <v>0</v>
      </c>
      <c r="G1448">
        <v>0</v>
      </c>
      <c r="H1448">
        <v>3.5</v>
      </c>
      <c r="I1448">
        <v>0</v>
      </c>
      <c r="J1448">
        <v>7</v>
      </c>
      <c r="K1448">
        <v>11</v>
      </c>
      <c r="L1448">
        <v>0</v>
      </c>
      <c r="M1448">
        <v>0</v>
      </c>
      <c r="N1448">
        <v>0</v>
      </c>
      <c r="O1448">
        <v>0</v>
      </c>
      <c r="P1448">
        <v>0</v>
      </c>
      <c r="Q1448">
        <v>0</v>
      </c>
      <c r="R1448">
        <v>0</v>
      </c>
      <c r="S1448">
        <v>0</v>
      </c>
      <c r="T1448">
        <v>0</v>
      </c>
      <c r="U1448">
        <v>0</v>
      </c>
      <c r="Y1448">
        <v>0</v>
      </c>
      <c r="Z1448">
        <v>0</v>
      </c>
      <c r="AA1448">
        <v>0</v>
      </c>
      <c r="AB1448">
        <v>0</v>
      </c>
      <c r="AC1448">
        <v>1</v>
      </c>
      <c r="AD1448">
        <v>779.80000000000007</v>
      </c>
      <c r="AF1448">
        <v>1</v>
      </c>
      <c r="AG1448">
        <v>0</v>
      </c>
      <c r="AH1448">
        <v>0</v>
      </c>
      <c r="AI1448">
        <v>0</v>
      </c>
      <c r="AO1448">
        <v>13.23</v>
      </c>
      <c r="AP1448">
        <v>1.1666666666666667</v>
      </c>
      <c r="AQ1448">
        <v>779.80000000000007</v>
      </c>
      <c r="AR1448">
        <v>90</v>
      </c>
      <c r="AS1448">
        <v>1011</v>
      </c>
      <c r="AV1448">
        <v>358</v>
      </c>
      <c r="AW1448" t="s">
        <v>437</v>
      </c>
      <c r="AX1448" t="s">
        <v>532</v>
      </c>
    </row>
    <row r="1449" spans="1:50" x14ac:dyDescent="0.45">
      <c r="A1449">
        <v>30005</v>
      </c>
      <c r="B1449">
        <v>1</v>
      </c>
      <c r="C1449">
        <v>72.5</v>
      </c>
      <c r="D1449">
        <v>0</v>
      </c>
      <c r="E1449">
        <v>0</v>
      </c>
      <c r="F1449">
        <v>0</v>
      </c>
      <c r="G1449">
        <v>0</v>
      </c>
      <c r="H1449">
        <v>2.5</v>
      </c>
      <c r="I1449">
        <v>0</v>
      </c>
      <c r="J1449">
        <v>0</v>
      </c>
      <c r="K1449">
        <v>19</v>
      </c>
      <c r="L1449">
        <v>0</v>
      </c>
      <c r="M1449">
        <v>6</v>
      </c>
      <c r="N1449">
        <v>0</v>
      </c>
      <c r="O1449">
        <v>0</v>
      </c>
      <c r="P1449">
        <v>0</v>
      </c>
      <c r="Q1449">
        <v>0</v>
      </c>
      <c r="R1449">
        <v>0</v>
      </c>
      <c r="S1449">
        <v>0</v>
      </c>
      <c r="T1449">
        <v>0</v>
      </c>
      <c r="U1449">
        <v>0</v>
      </c>
      <c r="Y1449">
        <v>0</v>
      </c>
      <c r="Z1449">
        <v>0</v>
      </c>
      <c r="AA1449">
        <v>0</v>
      </c>
      <c r="AB1449">
        <v>0</v>
      </c>
      <c r="AC1449">
        <v>1</v>
      </c>
      <c r="AD1449">
        <v>868.7</v>
      </c>
      <c r="AF1449">
        <v>1</v>
      </c>
      <c r="AG1449">
        <v>0</v>
      </c>
      <c r="AH1449">
        <v>0</v>
      </c>
      <c r="AI1449">
        <v>0</v>
      </c>
      <c r="AO1449">
        <v>12.57</v>
      </c>
      <c r="AP1449">
        <v>2</v>
      </c>
      <c r="AQ1449">
        <v>868.7</v>
      </c>
      <c r="AR1449">
        <v>71</v>
      </c>
      <c r="AS1449">
        <v>765</v>
      </c>
      <c r="AV1449">
        <v>260</v>
      </c>
      <c r="AW1449" t="s">
        <v>437</v>
      </c>
      <c r="AX1449" t="s">
        <v>532</v>
      </c>
    </row>
    <row r="1450" spans="1:50" x14ac:dyDescent="0.45">
      <c r="A1450">
        <v>30006</v>
      </c>
      <c r="B1450">
        <v>1</v>
      </c>
      <c r="C1450">
        <v>68.5</v>
      </c>
      <c r="D1450">
        <v>0</v>
      </c>
      <c r="E1450">
        <v>0</v>
      </c>
      <c r="F1450">
        <v>0</v>
      </c>
      <c r="G1450">
        <v>0</v>
      </c>
      <c r="H1450">
        <v>2.5</v>
      </c>
      <c r="I1450">
        <v>0</v>
      </c>
      <c r="J1450">
        <v>10</v>
      </c>
      <c r="K1450">
        <v>19</v>
      </c>
      <c r="L1450">
        <v>0</v>
      </c>
      <c r="M1450">
        <v>0</v>
      </c>
      <c r="N1450">
        <v>0</v>
      </c>
      <c r="O1450">
        <v>0</v>
      </c>
      <c r="P1450">
        <v>0</v>
      </c>
      <c r="Q1450">
        <v>0</v>
      </c>
      <c r="R1450">
        <v>0</v>
      </c>
      <c r="S1450">
        <v>0</v>
      </c>
      <c r="T1450">
        <v>0</v>
      </c>
      <c r="U1450">
        <v>0</v>
      </c>
      <c r="Y1450">
        <v>0</v>
      </c>
      <c r="Z1450">
        <v>0</v>
      </c>
      <c r="AA1450">
        <v>0</v>
      </c>
      <c r="AB1450">
        <v>0</v>
      </c>
      <c r="AC1450">
        <v>1</v>
      </c>
      <c r="AD1450">
        <v>774.5</v>
      </c>
      <c r="AF1450">
        <v>1</v>
      </c>
      <c r="AG1450">
        <v>0</v>
      </c>
      <c r="AH1450">
        <v>0</v>
      </c>
      <c r="AI1450">
        <v>0</v>
      </c>
      <c r="AO1450">
        <v>12.57</v>
      </c>
      <c r="AP1450">
        <v>1.6666666666666667</v>
      </c>
      <c r="AQ1450">
        <v>774.5</v>
      </c>
      <c r="AR1450">
        <v>69</v>
      </c>
      <c r="AS1450">
        <v>1027</v>
      </c>
      <c r="AV1450">
        <v>267</v>
      </c>
      <c r="AW1450" t="s">
        <v>437</v>
      </c>
      <c r="AX1450" t="s">
        <v>532</v>
      </c>
    </row>
    <row r="1451" spans="1:50" x14ac:dyDescent="0.45">
      <c r="A1451">
        <v>30007</v>
      </c>
      <c r="B1451">
        <v>1</v>
      </c>
      <c r="C1451">
        <v>68</v>
      </c>
      <c r="D1451">
        <v>0</v>
      </c>
      <c r="E1451">
        <v>0</v>
      </c>
      <c r="F1451">
        <v>0</v>
      </c>
      <c r="G1451">
        <v>0</v>
      </c>
      <c r="H1451">
        <v>1</v>
      </c>
      <c r="I1451">
        <v>0</v>
      </c>
      <c r="J1451">
        <v>0</v>
      </c>
      <c r="K1451">
        <v>31</v>
      </c>
      <c r="L1451">
        <v>0</v>
      </c>
      <c r="M1451">
        <v>0</v>
      </c>
      <c r="N1451">
        <v>0</v>
      </c>
      <c r="O1451">
        <v>0</v>
      </c>
      <c r="P1451">
        <v>0</v>
      </c>
      <c r="Q1451">
        <v>0</v>
      </c>
      <c r="R1451">
        <v>0</v>
      </c>
      <c r="S1451">
        <v>0</v>
      </c>
      <c r="T1451">
        <v>0</v>
      </c>
      <c r="U1451">
        <v>0</v>
      </c>
      <c r="Y1451">
        <v>0</v>
      </c>
      <c r="Z1451">
        <v>0</v>
      </c>
      <c r="AA1451">
        <v>0</v>
      </c>
      <c r="AB1451">
        <v>0</v>
      </c>
      <c r="AC1451">
        <v>1</v>
      </c>
      <c r="AD1451">
        <v>866.6</v>
      </c>
      <c r="AF1451">
        <v>1</v>
      </c>
      <c r="AG1451">
        <v>0</v>
      </c>
      <c r="AH1451">
        <v>0</v>
      </c>
      <c r="AI1451">
        <v>0</v>
      </c>
      <c r="AO1451">
        <v>11.580000000000002</v>
      </c>
      <c r="AP1451">
        <v>0</v>
      </c>
      <c r="AQ1451">
        <v>866.6</v>
      </c>
      <c r="AR1451">
        <v>81</v>
      </c>
      <c r="AS1451">
        <v>477</v>
      </c>
      <c r="AV1451">
        <v>230</v>
      </c>
      <c r="AW1451" t="s">
        <v>438</v>
      </c>
      <c r="AX1451" t="s">
        <v>533</v>
      </c>
    </row>
    <row r="1452" spans="1:50" x14ac:dyDescent="0.45">
      <c r="A1452">
        <v>30008</v>
      </c>
      <c r="B1452">
        <v>1</v>
      </c>
      <c r="C1452">
        <v>71.5</v>
      </c>
      <c r="D1452">
        <v>0</v>
      </c>
      <c r="E1452">
        <v>0</v>
      </c>
      <c r="F1452">
        <v>0</v>
      </c>
      <c r="G1452">
        <v>0</v>
      </c>
      <c r="H1452">
        <v>1.5</v>
      </c>
      <c r="I1452">
        <v>0</v>
      </c>
      <c r="J1452">
        <v>0</v>
      </c>
      <c r="K1452">
        <v>27</v>
      </c>
      <c r="L1452">
        <v>0</v>
      </c>
      <c r="M1452">
        <v>0</v>
      </c>
      <c r="N1452">
        <v>0</v>
      </c>
      <c r="O1452">
        <v>0</v>
      </c>
      <c r="P1452">
        <v>0</v>
      </c>
      <c r="Q1452">
        <v>0</v>
      </c>
      <c r="R1452">
        <v>0</v>
      </c>
      <c r="S1452">
        <v>0</v>
      </c>
      <c r="T1452">
        <v>0</v>
      </c>
      <c r="U1452">
        <v>0</v>
      </c>
      <c r="Y1452">
        <v>0</v>
      </c>
      <c r="Z1452">
        <v>0</v>
      </c>
      <c r="AA1452">
        <v>0</v>
      </c>
      <c r="AB1452">
        <v>0</v>
      </c>
      <c r="AC1452">
        <v>1</v>
      </c>
      <c r="AD1452">
        <v>858.9</v>
      </c>
      <c r="AF1452">
        <v>1</v>
      </c>
      <c r="AG1452">
        <v>0</v>
      </c>
      <c r="AH1452">
        <v>0</v>
      </c>
      <c r="AI1452">
        <v>0</v>
      </c>
      <c r="AO1452">
        <v>11.91</v>
      </c>
      <c r="AP1452">
        <v>0</v>
      </c>
      <c r="AQ1452">
        <v>858.9</v>
      </c>
      <c r="AR1452">
        <v>94</v>
      </c>
      <c r="AS1452">
        <v>496</v>
      </c>
      <c r="AV1452">
        <v>277</v>
      </c>
      <c r="AW1452" t="s">
        <v>438</v>
      </c>
      <c r="AX1452" t="s">
        <v>533</v>
      </c>
    </row>
    <row r="1453" spans="1:50" x14ac:dyDescent="0.45">
      <c r="A1453">
        <v>30009</v>
      </c>
      <c r="B1453">
        <v>1</v>
      </c>
      <c r="C1453">
        <v>75</v>
      </c>
      <c r="D1453">
        <v>0</v>
      </c>
      <c r="E1453">
        <v>0</v>
      </c>
      <c r="F1453">
        <v>0</v>
      </c>
      <c r="G1453">
        <v>0</v>
      </c>
      <c r="H1453">
        <v>2</v>
      </c>
      <c r="I1453">
        <v>0</v>
      </c>
      <c r="J1453">
        <v>0</v>
      </c>
      <c r="K1453">
        <v>23</v>
      </c>
      <c r="L1453">
        <v>0</v>
      </c>
      <c r="M1453">
        <v>0</v>
      </c>
      <c r="N1453">
        <v>0</v>
      </c>
      <c r="O1453">
        <v>0</v>
      </c>
      <c r="P1453">
        <v>0</v>
      </c>
      <c r="Q1453">
        <v>0</v>
      </c>
      <c r="R1453">
        <v>0</v>
      </c>
      <c r="S1453">
        <v>0</v>
      </c>
      <c r="T1453">
        <v>0</v>
      </c>
      <c r="U1453">
        <v>0</v>
      </c>
      <c r="Y1453">
        <v>0</v>
      </c>
      <c r="Z1453">
        <v>0</v>
      </c>
      <c r="AA1453">
        <v>0</v>
      </c>
      <c r="AB1453">
        <v>0</v>
      </c>
      <c r="AC1453">
        <v>1</v>
      </c>
      <c r="AD1453">
        <v>851.2</v>
      </c>
      <c r="AF1453">
        <v>1</v>
      </c>
      <c r="AG1453">
        <v>0</v>
      </c>
      <c r="AH1453">
        <v>0</v>
      </c>
      <c r="AI1453">
        <v>0</v>
      </c>
      <c r="AO1453">
        <v>12.24</v>
      </c>
      <c r="AP1453">
        <v>0</v>
      </c>
      <c r="AQ1453">
        <v>851.2</v>
      </c>
      <c r="AR1453">
        <v>95</v>
      </c>
      <c r="AS1453">
        <v>604</v>
      </c>
      <c r="AV1453">
        <v>314</v>
      </c>
      <c r="AW1453" t="s">
        <v>438</v>
      </c>
      <c r="AX1453" t="s">
        <v>533</v>
      </c>
    </row>
    <row r="1454" spans="1:50" x14ac:dyDescent="0.45">
      <c r="A1454">
        <v>30010</v>
      </c>
      <c r="B1454">
        <v>1</v>
      </c>
      <c r="C1454">
        <v>78.5</v>
      </c>
      <c r="D1454">
        <v>0</v>
      </c>
      <c r="E1454">
        <v>0</v>
      </c>
      <c r="F1454">
        <v>0</v>
      </c>
      <c r="G1454">
        <v>0</v>
      </c>
      <c r="H1454">
        <v>2.5</v>
      </c>
      <c r="I1454">
        <v>0</v>
      </c>
      <c r="J1454">
        <v>0</v>
      </c>
      <c r="K1454">
        <v>19</v>
      </c>
      <c r="L1454">
        <v>0</v>
      </c>
      <c r="M1454">
        <v>0</v>
      </c>
      <c r="N1454">
        <v>0</v>
      </c>
      <c r="O1454">
        <v>0</v>
      </c>
      <c r="P1454">
        <v>0</v>
      </c>
      <c r="Q1454">
        <v>0</v>
      </c>
      <c r="R1454">
        <v>0</v>
      </c>
      <c r="S1454">
        <v>0</v>
      </c>
      <c r="T1454">
        <v>0</v>
      </c>
      <c r="U1454">
        <v>0</v>
      </c>
      <c r="Y1454">
        <v>0</v>
      </c>
      <c r="Z1454">
        <v>0</v>
      </c>
      <c r="AA1454">
        <v>0</v>
      </c>
      <c r="AB1454">
        <v>0</v>
      </c>
      <c r="AC1454">
        <v>1</v>
      </c>
      <c r="AD1454">
        <v>843.5</v>
      </c>
      <c r="AF1454">
        <v>1</v>
      </c>
      <c r="AG1454">
        <v>0</v>
      </c>
      <c r="AH1454">
        <v>0</v>
      </c>
      <c r="AI1454">
        <v>0</v>
      </c>
      <c r="AO1454">
        <v>12.57</v>
      </c>
      <c r="AP1454">
        <v>0</v>
      </c>
      <c r="AQ1454">
        <v>843.5</v>
      </c>
      <c r="AR1454">
        <v>90</v>
      </c>
      <c r="AS1454">
        <v>672</v>
      </c>
      <c r="AV1454">
        <v>334</v>
      </c>
      <c r="AW1454" t="s">
        <v>438</v>
      </c>
      <c r="AX1454" t="s">
        <v>533</v>
      </c>
    </row>
    <row r="1455" spans="1:50" x14ac:dyDescent="0.45">
      <c r="A1455">
        <v>30011</v>
      </c>
      <c r="B1455">
        <v>1</v>
      </c>
      <c r="C1455">
        <v>82</v>
      </c>
      <c r="D1455">
        <v>0</v>
      </c>
      <c r="E1455">
        <v>0</v>
      </c>
      <c r="F1455">
        <v>0</v>
      </c>
      <c r="G1455">
        <v>0</v>
      </c>
      <c r="H1455">
        <v>3</v>
      </c>
      <c r="I1455">
        <v>0</v>
      </c>
      <c r="J1455">
        <v>0</v>
      </c>
      <c r="K1455">
        <v>15</v>
      </c>
      <c r="L1455">
        <v>0</v>
      </c>
      <c r="M1455">
        <v>0</v>
      </c>
      <c r="N1455">
        <v>0</v>
      </c>
      <c r="O1455">
        <v>0</v>
      </c>
      <c r="P1455">
        <v>0</v>
      </c>
      <c r="Q1455">
        <v>0</v>
      </c>
      <c r="R1455">
        <v>0</v>
      </c>
      <c r="S1455">
        <v>0</v>
      </c>
      <c r="T1455">
        <v>0</v>
      </c>
      <c r="U1455">
        <v>0</v>
      </c>
      <c r="Y1455">
        <v>0</v>
      </c>
      <c r="Z1455">
        <v>0</v>
      </c>
      <c r="AA1455">
        <v>0</v>
      </c>
      <c r="AB1455">
        <v>0</v>
      </c>
      <c r="AC1455">
        <v>1</v>
      </c>
      <c r="AD1455">
        <v>835.8</v>
      </c>
      <c r="AF1455">
        <v>1</v>
      </c>
      <c r="AG1455">
        <v>0</v>
      </c>
      <c r="AH1455">
        <v>0</v>
      </c>
      <c r="AI1455">
        <v>0</v>
      </c>
      <c r="AO1455">
        <v>12.899999999999999</v>
      </c>
      <c r="AP1455">
        <v>0</v>
      </c>
      <c r="AQ1455">
        <v>835.8</v>
      </c>
      <c r="AR1455">
        <v>94</v>
      </c>
      <c r="AS1455">
        <v>695</v>
      </c>
      <c r="AV1455">
        <v>362</v>
      </c>
      <c r="AW1455" t="s">
        <v>438</v>
      </c>
      <c r="AX1455" t="s">
        <v>533</v>
      </c>
    </row>
    <row r="1456" spans="1:50" x14ac:dyDescent="0.45">
      <c r="A1456">
        <v>30012</v>
      </c>
      <c r="B1456">
        <v>1</v>
      </c>
      <c r="C1456">
        <v>85.5</v>
      </c>
      <c r="D1456">
        <v>0</v>
      </c>
      <c r="E1456">
        <v>0</v>
      </c>
      <c r="F1456">
        <v>0</v>
      </c>
      <c r="G1456">
        <v>0</v>
      </c>
      <c r="H1456">
        <v>3.5</v>
      </c>
      <c r="I1456">
        <v>0</v>
      </c>
      <c r="J1456">
        <v>0</v>
      </c>
      <c r="K1456">
        <v>11</v>
      </c>
      <c r="L1456">
        <v>0</v>
      </c>
      <c r="M1456">
        <v>0</v>
      </c>
      <c r="N1456">
        <v>0</v>
      </c>
      <c r="O1456">
        <v>0</v>
      </c>
      <c r="P1456">
        <v>0</v>
      </c>
      <c r="Q1456">
        <v>0</v>
      </c>
      <c r="R1456">
        <v>0</v>
      </c>
      <c r="S1456">
        <v>0</v>
      </c>
      <c r="T1456">
        <v>0</v>
      </c>
      <c r="U1456">
        <v>0</v>
      </c>
      <c r="Y1456">
        <v>0</v>
      </c>
      <c r="Z1456">
        <v>0</v>
      </c>
      <c r="AA1456">
        <v>0</v>
      </c>
      <c r="AB1456">
        <v>0</v>
      </c>
      <c r="AC1456">
        <v>1</v>
      </c>
      <c r="AD1456">
        <v>828.1</v>
      </c>
      <c r="AF1456">
        <v>1</v>
      </c>
      <c r="AG1456">
        <v>0</v>
      </c>
      <c r="AH1456">
        <v>0</v>
      </c>
      <c r="AI1456">
        <v>0</v>
      </c>
      <c r="AO1456">
        <v>13.23</v>
      </c>
      <c r="AP1456">
        <v>0</v>
      </c>
      <c r="AQ1456">
        <v>828.1</v>
      </c>
      <c r="AR1456">
        <v>97</v>
      </c>
      <c r="AS1456">
        <v>715</v>
      </c>
      <c r="AV1456">
        <v>382</v>
      </c>
      <c r="AW1456" t="s">
        <v>438</v>
      </c>
      <c r="AX1456" t="s">
        <v>533</v>
      </c>
    </row>
    <row r="1457" spans="1:50" x14ac:dyDescent="0.45">
      <c r="A1457">
        <v>30013</v>
      </c>
      <c r="B1457">
        <v>1</v>
      </c>
      <c r="C1457">
        <v>70</v>
      </c>
      <c r="D1457">
        <v>0</v>
      </c>
      <c r="E1457">
        <v>0</v>
      </c>
      <c r="F1457">
        <v>0</v>
      </c>
      <c r="G1457">
        <v>0</v>
      </c>
      <c r="H1457">
        <v>0</v>
      </c>
      <c r="I1457">
        <v>0</v>
      </c>
      <c r="J1457">
        <v>0</v>
      </c>
      <c r="K1457">
        <v>30</v>
      </c>
      <c r="L1457">
        <v>0</v>
      </c>
      <c r="M1457">
        <v>0</v>
      </c>
      <c r="N1457">
        <v>0</v>
      </c>
      <c r="O1457">
        <v>0</v>
      </c>
      <c r="P1457">
        <v>0</v>
      </c>
      <c r="Q1457">
        <v>0</v>
      </c>
      <c r="R1457">
        <v>0</v>
      </c>
      <c r="S1457">
        <v>0</v>
      </c>
      <c r="T1457">
        <v>0</v>
      </c>
      <c r="U1457">
        <v>0</v>
      </c>
      <c r="Y1457">
        <v>0</v>
      </c>
      <c r="Z1457">
        <v>0</v>
      </c>
      <c r="AA1457">
        <v>0</v>
      </c>
      <c r="AB1457">
        <v>0</v>
      </c>
      <c r="AC1457">
        <v>1</v>
      </c>
      <c r="AD1457">
        <v>882</v>
      </c>
      <c r="AF1457">
        <v>1</v>
      </c>
      <c r="AG1457">
        <v>0</v>
      </c>
      <c r="AH1457">
        <v>0</v>
      </c>
      <c r="AI1457">
        <v>0</v>
      </c>
      <c r="AO1457">
        <v>8.4</v>
      </c>
      <c r="AP1457">
        <v>0</v>
      </c>
      <c r="AQ1457">
        <v>882</v>
      </c>
      <c r="AR1457">
        <v>79</v>
      </c>
      <c r="AS1457">
        <v>348</v>
      </c>
      <c r="AT1457">
        <v>601</v>
      </c>
      <c r="AV1457">
        <v>202</v>
      </c>
      <c r="AW1457" t="s">
        <v>439</v>
      </c>
      <c r="AX1457" t="s">
        <v>534</v>
      </c>
    </row>
    <row r="1458" spans="1:50" x14ac:dyDescent="0.45">
      <c r="A1458">
        <v>30014</v>
      </c>
      <c r="B1458">
        <v>1</v>
      </c>
      <c r="C1458">
        <v>69</v>
      </c>
      <c r="D1458">
        <v>0</v>
      </c>
      <c r="E1458">
        <v>0</v>
      </c>
      <c r="F1458">
        <v>0</v>
      </c>
      <c r="G1458">
        <v>0</v>
      </c>
      <c r="H1458">
        <v>1</v>
      </c>
      <c r="I1458">
        <v>0</v>
      </c>
      <c r="J1458">
        <v>0</v>
      </c>
      <c r="K1458">
        <v>30</v>
      </c>
      <c r="L1458">
        <v>0</v>
      </c>
      <c r="M1458">
        <v>0</v>
      </c>
      <c r="N1458">
        <v>0</v>
      </c>
      <c r="O1458">
        <v>0</v>
      </c>
      <c r="P1458">
        <v>0</v>
      </c>
      <c r="Q1458">
        <v>0</v>
      </c>
      <c r="R1458">
        <v>0</v>
      </c>
      <c r="S1458">
        <v>0</v>
      </c>
      <c r="T1458">
        <v>0</v>
      </c>
      <c r="U1458">
        <v>0</v>
      </c>
      <c r="Y1458">
        <v>0</v>
      </c>
      <c r="Z1458">
        <v>0</v>
      </c>
      <c r="AA1458">
        <v>0</v>
      </c>
      <c r="AB1458">
        <v>0</v>
      </c>
      <c r="AC1458">
        <v>1</v>
      </c>
      <c r="AD1458">
        <v>866.6</v>
      </c>
      <c r="AF1458">
        <v>1</v>
      </c>
      <c r="AG1458">
        <v>0</v>
      </c>
      <c r="AH1458">
        <v>0</v>
      </c>
      <c r="AI1458">
        <v>0</v>
      </c>
      <c r="AO1458">
        <v>11.3</v>
      </c>
      <c r="AP1458">
        <v>0</v>
      </c>
      <c r="AQ1458">
        <v>866.6</v>
      </c>
      <c r="AR1458">
        <v>79</v>
      </c>
      <c r="AS1458">
        <v>606</v>
      </c>
      <c r="AT1458">
        <v>633</v>
      </c>
      <c r="AV1458">
        <v>284</v>
      </c>
      <c r="AW1458" t="s">
        <v>439</v>
      </c>
      <c r="AX1458" t="s">
        <v>534</v>
      </c>
    </row>
    <row r="1459" spans="1:50" x14ac:dyDescent="0.45">
      <c r="A1459">
        <v>30015</v>
      </c>
      <c r="B1459">
        <v>1</v>
      </c>
      <c r="C1459">
        <v>67</v>
      </c>
      <c r="D1459">
        <v>0</v>
      </c>
      <c r="E1459">
        <v>0</v>
      </c>
      <c r="F1459">
        <v>0</v>
      </c>
      <c r="G1459">
        <v>0</v>
      </c>
      <c r="H1459">
        <v>3</v>
      </c>
      <c r="I1459">
        <v>0</v>
      </c>
      <c r="J1459">
        <v>0</v>
      </c>
      <c r="K1459">
        <v>30</v>
      </c>
      <c r="L1459">
        <v>0</v>
      </c>
      <c r="M1459">
        <v>0</v>
      </c>
      <c r="N1459">
        <v>0</v>
      </c>
      <c r="O1459">
        <v>0</v>
      </c>
      <c r="P1459">
        <v>0</v>
      </c>
      <c r="Q1459">
        <v>0</v>
      </c>
      <c r="R1459">
        <v>0</v>
      </c>
      <c r="S1459">
        <v>0</v>
      </c>
      <c r="T1459">
        <v>0</v>
      </c>
      <c r="U1459">
        <v>0</v>
      </c>
      <c r="Y1459">
        <v>0</v>
      </c>
      <c r="Z1459">
        <v>0</v>
      </c>
      <c r="AA1459">
        <v>0</v>
      </c>
      <c r="AB1459">
        <v>0</v>
      </c>
      <c r="AC1459">
        <v>1</v>
      </c>
      <c r="AD1459">
        <v>835.8</v>
      </c>
      <c r="AF1459">
        <v>1</v>
      </c>
      <c r="AG1459">
        <v>0</v>
      </c>
      <c r="AH1459">
        <v>0</v>
      </c>
      <c r="AI1459">
        <v>0</v>
      </c>
      <c r="AO1459">
        <v>17.100000000000001</v>
      </c>
      <c r="AP1459">
        <v>0</v>
      </c>
      <c r="AQ1459">
        <v>835.8</v>
      </c>
      <c r="AR1459">
        <v>78</v>
      </c>
      <c r="AS1459">
        <v>625</v>
      </c>
      <c r="AT1459">
        <v>656</v>
      </c>
      <c r="AV1459">
        <v>255</v>
      </c>
      <c r="AW1459" t="s">
        <v>439</v>
      </c>
      <c r="AX1459" t="s">
        <v>534</v>
      </c>
    </row>
    <row r="1460" spans="1:50" x14ac:dyDescent="0.45">
      <c r="A1460">
        <v>30016</v>
      </c>
      <c r="B1460">
        <v>1</v>
      </c>
      <c r="C1460">
        <v>65</v>
      </c>
      <c r="D1460">
        <v>0</v>
      </c>
      <c r="E1460">
        <v>0</v>
      </c>
      <c r="F1460">
        <v>0</v>
      </c>
      <c r="G1460">
        <v>0</v>
      </c>
      <c r="H1460">
        <v>5</v>
      </c>
      <c r="I1460">
        <v>0</v>
      </c>
      <c r="J1460">
        <v>0</v>
      </c>
      <c r="K1460">
        <v>30</v>
      </c>
      <c r="L1460">
        <v>0</v>
      </c>
      <c r="M1460">
        <v>0</v>
      </c>
      <c r="N1460">
        <v>0</v>
      </c>
      <c r="O1460">
        <v>0</v>
      </c>
      <c r="P1460">
        <v>0</v>
      </c>
      <c r="Q1460">
        <v>0</v>
      </c>
      <c r="R1460">
        <v>0</v>
      </c>
      <c r="S1460">
        <v>0</v>
      </c>
      <c r="T1460">
        <v>0</v>
      </c>
      <c r="U1460">
        <v>0</v>
      </c>
      <c r="Y1460">
        <v>0</v>
      </c>
      <c r="Z1460">
        <v>0</v>
      </c>
      <c r="AA1460">
        <v>0</v>
      </c>
      <c r="AB1460">
        <v>0</v>
      </c>
      <c r="AC1460">
        <v>1</v>
      </c>
      <c r="AD1460">
        <v>805</v>
      </c>
      <c r="AF1460">
        <v>1</v>
      </c>
      <c r="AG1460">
        <v>0</v>
      </c>
      <c r="AH1460">
        <v>0</v>
      </c>
      <c r="AI1460">
        <v>0</v>
      </c>
      <c r="AO1460">
        <v>22.9</v>
      </c>
      <c r="AP1460">
        <v>0</v>
      </c>
      <c r="AQ1460">
        <v>805</v>
      </c>
      <c r="AR1460">
        <v>79</v>
      </c>
      <c r="AS1460">
        <v>629</v>
      </c>
      <c r="AT1460">
        <v>689</v>
      </c>
      <c r="AV1460">
        <v>246</v>
      </c>
      <c r="AW1460" t="s">
        <v>439</v>
      </c>
      <c r="AX1460" t="s">
        <v>534</v>
      </c>
    </row>
    <row r="1461" spans="1:50" x14ac:dyDescent="0.45">
      <c r="A1461">
        <v>30017</v>
      </c>
      <c r="B1461">
        <v>1</v>
      </c>
      <c r="C1461">
        <v>83</v>
      </c>
      <c r="D1461">
        <v>0</v>
      </c>
      <c r="E1461">
        <v>0</v>
      </c>
      <c r="F1461">
        <v>0</v>
      </c>
      <c r="G1461">
        <v>0</v>
      </c>
      <c r="H1461">
        <v>5</v>
      </c>
      <c r="I1461">
        <v>0</v>
      </c>
      <c r="J1461">
        <v>0</v>
      </c>
      <c r="K1461">
        <v>12</v>
      </c>
      <c r="L1461">
        <v>0</v>
      </c>
      <c r="M1461">
        <v>0</v>
      </c>
      <c r="N1461">
        <v>0</v>
      </c>
      <c r="O1461">
        <v>0</v>
      </c>
      <c r="P1461">
        <v>0</v>
      </c>
      <c r="Q1461">
        <v>0</v>
      </c>
      <c r="R1461">
        <v>0</v>
      </c>
      <c r="S1461">
        <v>0</v>
      </c>
      <c r="T1461">
        <v>0</v>
      </c>
      <c r="U1461">
        <v>0</v>
      </c>
      <c r="Y1461">
        <v>0</v>
      </c>
      <c r="Z1461">
        <v>0</v>
      </c>
      <c r="AA1461">
        <v>0</v>
      </c>
      <c r="AB1461">
        <v>0</v>
      </c>
      <c r="AC1461">
        <v>1</v>
      </c>
      <c r="AD1461">
        <v>805</v>
      </c>
      <c r="AF1461">
        <v>1</v>
      </c>
      <c r="AG1461">
        <v>0</v>
      </c>
      <c r="AH1461">
        <v>0</v>
      </c>
      <c r="AI1461">
        <v>0</v>
      </c>
      <c r="AO1461">
        <v>17.86</v>
      </c>
      <c r="AP1461">
        <v>0</v>
      </c>
      <c r="AQ1461">
        <v>805</v>
      </c>
      <c r="AR1461">
        <v>90</v>
      </c>
      <c r="AS1461">
        <v>740</v>
      </c>
      <c r="AV1461">
        <v>293</v>
      </c>
      <c r="AW1461" t="s">
        <v>440</v>
      </c>
      <c r="AX1461" t="s">
        <v>535</v>
      </c>
    </row>
    <row r="1462" spans="1:50" x14ac:dyDescent="0.45">
      <c r="A1462">
        <v>30018</v>
      </c>
      <c r="B1462">
        <v>1</v>
      </c>
      <c r="C1462">
        <v>89</v>
      </c>
      <c r="D1462">
        <v>0</v>
      </c>
      <c r="E1462">
        <v>0</v>
      </c>
      <c r="F1462">
        <v>0</v>
      </c>
      <c r="G1462">
        <v>0</v>
      </c>
      <c r="H1462">
        <v>4</v>
      </c>
      <c r="I1462">
        <v>0</v>
      </c>
      <c r="J1462">
        <v>0</v>
      </c>
      <c r="K1462">
        <v>0</v>
      </c>
      <c r="L1462">
        <v>0</v>
      </c>
      <c r="M1462">
        <v>0</v>
      </c>
      <c r="N1462">
        <v>0</v>
      </c>
      <c r="O1462">
        <v>7</v>
      </c>
      <c r="P1462">
        <v>0</v>
      </c>
      <c r="Q1462">
        <v>0</v>
      </c>
      <c r="R1462">
        <v>0</v>
      </c>
      <c r="S1462">
        <v>0</v>
      </c>
      <c r="T1462">
        <v>0</v>
      </c>
      <c r="U1462">
        <v>0</v>
      </c>
      <c r="Y1462">
        <v>0</v>
      </c>
      <c r="Z1462">
        <v>0</v>
      </c>
      <c r="AA1462">
        <v>0</v>
      </c>
      <c r="AB1462">
        <v>0</v>
      </c>
      <c r="AC1462">
        <v>1</v>
      </c>
      <c r="AD1462">
        <v>820.4</v>
      </c>
      <c r="AF1462">
        <v>1</v>
      </c>
      <c r="AG1462">
        <v>0</v>
      </c>
      <c r="AH1462">
        <v>0</v>
      </c>
      <c r="AI1462">
        <v>0</v>
      </c>
      <c r="AO1462">
        <v>13.14</v>
      </c>
      <c r="AP1462">
        <v>0</v>
      </c>
      <c r="AQ1462">
        <v>820.4</v>
      </c>
      <c r="AR1462">
        <v>110</v>
      </c>
      <c r="AS1462">
        <v>1250</v>
      </c>
      <c r="AV1462">
        <v>430</v>
      </c>
      <c r="AW1462" t="s">
        <v>440</v>
      </c>
      <c r="AX1462" t="s">
        <v>535</v>
      </c>
    </row>
    <row r="1463" spans="1:50" x14ac:dyDescent="0.45">
      <c r="A1463">
        <v>30019</v>
      </c>
      <c r="B1463">
        <v>1</v>
      </c>
      <c r="C1463">
        <v>86</v>
      </c>
      <c r="D1463">
        <v>0</v>
      </c>
      <c r="E1463">
        <v>0</v>
      </c>
      <c r="F1463">
        <v>0</v>
      </c>
      <c r="G1463">
        <v>0</v>
      </c>
      <c r="H1463">
        <v>4</v>
      </c>
      <c r="I1463">
        <v>0</v>
      </c>
      <c r="J1463">
        <v>0</v>
      </c>
      <c r="K1463">
        <v>0</v>
      </c>
      <c r="L1463">
        <v>0</v>
      </c>
      <c r="M1463">
        <v>0</v>
      </c>
      <c r="N1463">
        <v>0</v>
      </c>
      <c r="O1463">
        <v>10</v>
      </c>
      <c r="P1463">
        <v>0</v>
      </c>
      <c r="Q1463">
        <v>0</v>
      </c>
      <c r="R1463">
        <v>0</v>
      </c>
      <c r="S1463">
        <v>0</v>
      </c>
      <c r="T1463">
        <v>0</v>
      </c>
      <c r="U1463">
        <v>0</v>
      </c>
      <c r="Y1463">
        <v>0</v>
      </c>
      <c r="Z1463">
        <v>0</v>
      </c>
      <c r="AA1463">
        <v>0</v>
      </c>
      <c r="AB1463">
        <v>0</v>
      </c>
      <c r="AC1463">
        <v>1</v>
      </c>
      <c r="AD1463">
        <v>820.4</v>
      </c>
      <c r="AF1463">
        <v>1</v>
      </c>
      <c r="AG1463">
        <v>0</v>
      </c>
      <c r="AH1463">
        <v>0</v>
      </c>
      <c r="AI1463">
        <v>0</v>
      </c>
      <c r="AO1463">
        <v>13.8</v>
      </c>
      <c r="AP1463">
        <v>0</v>
      </c>
      <c r="AQ1463">
        <v>820.4</v>
      </c>
      <c r="AR1463">
        <v>121</v>
      </c>
      <c r="AS1463">
        <v>1360</v>
      </c>
      <c r="AV1463">
        <v>410</v>
      </c>
      <c r="AW1463" t="s">
        <v>440</v>
      </c>
      <c r="AX1463" t="s">
        <v>535</v>
      </c>
    </row>
    <row r="1464" spans="1:50" x14ac:dyDescent="0.45">
      <c r="A1464">
        <v>30020</v>
      </c>
      <c r="B1464">
        <v>1</v>
      </c>
      <c r="C1464">
        <v>81</v>
      </c>
      <c r="D1464">
        <v>0</v>
      </c>
      <c r="E1464">
        <v>0</v>
      </c>
      <c r="F1464">
        <v>0</v>
      </c>
      <c r="G1464">
        <v>0</v>
      </c>
      <c r="H1464">
        <v>0</v>
      </c>
      <c r="I1464">
        <v>0</v>
      </c>
      <c r="J1464">
        <v>0</v>
      </c>
      <c r="K1464">
        <v>0</v>
      </c>
      <c r="L1464">
        <v>13</v>
      </c>
      <c r="M1464">
        <v>6</v>
      </c>
      <c r="N1464">
        <v>0</v>
      </c>
      <c r="O1464">
        <v>0</v>
      </c>
      <c r="P1464">
        <v>0</v>
      </c>
      <c r="Q1464">
        <v>0</v>
      </c>
      <c r="R1464">
        <v>0</v>
      </c>
      <c r="S1464">
        <v>0</v>
      </c>
      <c r="T1464">
        <v>0</v>
      </c>
      <c r="U1464">
        <v>0</v>
      </c>
      <c r="Y1464">
        <v>0</v>
      </c>
      <c r="Z1464">
        <v>0</v>
      </c>
      <c r="AA1464">
        <v>0</v>
      </c>
      <c r="AB1464">
        <v>0</v>
      </c>
      <c r="AC1464">
        <v>1</v>
      </c>
      <c r="AD1464">
        <v>783.7</v>
      </c>
      <c r="AF1464">
        <v>1</v>
      </c>
      <c r="AG1464">
        <v>0</v>
      </c>
      <c r="AH1464">
        <v>0</v>
      </c>
      <c r="AI1464">
        <v>0</v>
      </c>
      <c r="AO1464">
        <v>13</v>
      </c>
      <c r="AP1464">
        <v>2</v>
      </c>
      <c r="AQ1464">
        <v>783.7</v>
      </c>
      <c r="AR1464">
        <v>66</v>
      </c>
      <c r="AS1464">
        <v>650</v>
      </c>
      <c r="AV1464">
        <v>314</v>
      </c>
      <c r="AW1464" t="s">
        <v>441</v>
      </c>
      <c r="AX1464" t="s">
        <v>536</v>
      </c>
    </row>
    <row r="1465" spans="1:50" x14ac:dyDescent="0.45">
      <c r="A1465">
        <v>30021</v>
      </c>
      <c r="B1465">
        <v>1</v>
      </c>
      <c r="C1465">
        <v>91</v>
      </c>
      <c r="D1465">
        <v>0</v>
      </c>
      <c r="E1465">
        <v>0</v>
      </c>
      <c r="F1465">
        <v>0</v>
      </c>
      <c r="G1465">
        <v>0</v>
      </c>
      <c r="H1465">
        <v>0</v>
      </c>
      <c r="I1465">
        <v>0</v>
      </c>
      <c r="J1465">
        <v>0</v>
      </c>
      <c r="K1465">
        <v>0</v>
      </c>
      <c r="L1465">
        <v>9</v>
      </c>
      <c r="M1465">
        <v>0</v>
      </c>
      <c r="N1465">
        <v>0</v>
      </c>
      <c r="O1465">
        <v>0</v>
      </c>
      <c r="P1465">
        <v>0</v>
      </c>
      <c r="Q1465">
        <v>0</v>
      </c>
      <c r="R1465">
        <v>0</v>
      </c>
      <c r="S1465">
        <v>0</v>
      </c>
      <c r="T1465">
        <v>0</v>
      </c>
      <c r="U1465">
        <v>0</v>
      </c>
      <c r="Y1465">
        <v>0</v>
      </c>
      <c r="Z1465">
        <v>0</v>
      </c>
      <c r="AA1465">
        <v>0</v>
      </c>
      <c r="AB1465">
        <v>0</v>
      </c>
      <c r="AC1465">
        <v>1</v>
      </c>
      <c r="AD1465">
        <v>796.5</v>
      </c>
      <c r="AF1465">
        <v>1</v>
      </c>
      <c r="AG1465">
        <v>0</v>
      </c>
      <c r="AH1465">
        <v>0</v>
      </c>
      <c r="AI1465">
        <v>0</v>
      </c>
      <c r="AO1465">
        <v>9</v>
      </c>
      <c r="AP1465">
        <v>0</v>
      </c>
      <c r="AQ1465">
        <v>796.5</v>
      </c>
      <c r="AR1465">
        <v>91</v>
      </c>
      <c r="AS1465">
        <v>537</v>
      </c>
      <c r="AT1465">
        <v>852</v>
      </c>
      <c r="AV1465">
        <v>350</v>
      </c>
      <c r="AW1465" t="s">
        <v>442</v>
      </c>
      <c r="AX1465" t="s">
        <v>537</v>
      </c>
    </row>
    <row r="1466" spans="1:50" x14ac:dyDescent="0.45">
      <c r="A1466">
        <v>30022</v>
      </c>
      <c r="B1466">
        <v>1</v>
      </c>
      <c r="C1466">
        <v>89.5</v>
      </c>
      <c r="D1466">
        <v>0</v>
      </c>
      <c r="E1466">
        <v>0</v>
      </c>
      <c r="F1466">
        <v>0</v>
      </c>
      <c r="G1466">
        <v>0</v>
      </c>
      <c r="H1466">
        <v>0</v>
      </c>
      <c r="I1466">
        <v>0</v>
      </c>
      <c r="J1466">
        <v>0</v>
      </c>
      <c r="K1466">
        <v>0</v>
      </c>
      <c r="L1466">
        <v>9</v>
      </c>
      <c r="M1466">
        <v>1.5</v>
      </c>
      <c r="N1466">
        <v>0</v>
      </c>
      <c r="O1466">
        <v>0</v>
      </c>
      <c r="P1466">
        <v>0</v>
      </c>
      <c r="Q1466">
        <v>0</v>
      </c>
      <c r="R1466">
        <v>0</v>
      </c>
      <c r="S1466">
        <v>0</v>
      </c>
      <c r="T1466">
        <v>0</v>
      </c>
      <c r="U1466">
        <v>0</v>
      </c>
      <c r="Y1466">
        <v>0</v>
      </c>
      <c r="Z1466">
        <v>0</v>
      </c>
      <c r="AA1466">
        <v>0</v>
      </c>
      <c r="AB1466">
        <v>0</v>
      </c>
      <c r="AC1466">
        <v>1</v>
      </c>
      <c r="AD1466">
        <v>802.8</v>
      </c>
      <c r="AF1466">
        <v>1</v>
      </c>
      <c r="AG1466">
        <v>0</v>
      </c>
      <c r="AH1466">
        <v>0</v>
      </c>
      <c r="AI1466">
        <v>0</v>
      </c>
      <c r="AO1466">
        <v>9</v>
      </c>
      <c r="AP1466">
        <v>0.5</v>
      </c>
      <c r="AQ1466">
        <v>802.8</v>
      </c>
      <c r="AR1466">
        <v>89</v>
      </c>
      <c r="AS1466">
        <v>511</v>
      </c>
      <c r="AT1466">
        <v>847</v>
      </c>
      <c r="AV1466">
        <v>312</v>
      </c>
      <c r="AW1466" t="s">
        <v>442</v>
      </c>
      <c r="AX1466" t="s">
        <v>537</v>
      </c>
    </row>
    <row r="1467" spans="1:50" x14ac:dyDescent="0.45">
      <c r="A1467">
        <v>30023</v>
      </c>
      <c r="B1467">
        <v>1</v>
      </c>
      <c r="C1467">
        <v>85</v>
      </c>
      <c r="D1467">
        <v>0</v>
      </c>
      <c r="E1467">
        <v>0</v>
      </c>
      <c r="F1467">
        <v>0</v>
      </c>
      <c r="G1467">
        <v>0</v>
      </c>
      <c r="H1467">
        <v>0</v>
      </c>
      <c r="I1467">
        <v>0</v>
      </c>
      <c r="J1467">
        <v>0</v>
      </c>
      <c r="K1467">
        <v>0</v>
      </c>
      <c r="L1467">
        <v>9</v>
      </c>
      <c r="M1467">
        <v>6</v>
      </c>
      <c r="N1467">
        <v>0</v>
      </c>
      <c r="O1467">
        <v>0</v>
      </c>
      <c r="P1467">
        <v>0</v>
      </c>
      <c r="Q1467">
        <v>0</v>
      </c>
      <c r="R1467">
        <v>0</v>
      </c>
      <c r="S1467">
        <v>0</v>
      </c>
      <c r="T1467">
        <v>0</v>
      </c>
      <c r="U1467">
        <v>0</v>
      </c>
      <c r="Y1467">
        <v>0</v>
      </c>
      <c r="Z1467">
        <v>0</v>
      </c>
      <c r="AA1467">
        <v>0</v>
      </c>
      <c r="AB1467">
        <v>0</v>
      </c>
      <c r="AC1467">
        <v>1</v>
      </c>
      <c r="AD1467">
        <v>821.7</v>
      </c>
      <c r="AF1467">
        <v>1</v>
      </c>
      <c r="AG1467">
        <v>0</v>
      </c>
      <c r="AH1467">
        <v>0</v>
      </c>
      <c r="AI1467">
        <v>0</v>
      </c>
      <c r="AO1467">
        <v>9</v>
      </c>
      <c r="AP1467">
        <v>2</v>
      </c>
      <c r="AQ1467">
        <v>821.7</v>
      </c>
      <c r="AR1467">
        <v>78</v>
      </c>
      <c r="AS1467">
        <v>441</v>
      </c>
      <c r="AT1467">
        <v>803</v>
      </c>
      <c r="AV1467">
        <v>271</v>
      </c>
      <c r="AW1467" t="s">
        <v>442</v>
      </c>
      <c r="AX1467" t="s">
        <v>537</v>
      </c>
    </row>
    <row r="1468" spans="1:50" x14ac:dyDescent="0.45">
      <c r="A1468">
        <v>30024</v>
      </c>
      <c r="B1468">
        <v>1</v>
      </c>
      <c r="C1468">
        <v>51</v>
      </c>
      <c r="D1468">
        <v>0</v>
      </c>
      <c r="E1468">
        <v>0</v>
      </c>
      <c r="F1468">
        <v>0</v>
      </c>
      <c r="G1468">
        <v>0</v>
      </c>
      <c r="H1468">
        <v>0</v>
      </c>
      <c r="I1468">
        <v>0</v>
      </c>
      <c r="J1468">
        <v>25</v>
      </c>
      <c r="K1468">
        <v>24</v>
      </c>
      <c r="L1468">
        <v>0</v>
      </c>
      <c r="M1468">
        <v>0</v>
      </c>
      <c r="N1468">
        <v>0</v>
      </c>
      <c r="O1468">
        <v>0</v>
      </c>
      <c r="P1468">
        <v>0</v>
      </c>
      <c r="Q1468">
        <v>0</v>
      </c>
      <c r="R1468">
        <v>0</v>
      </c>
      <c r="S1468">
        <v>0</v>
      </c>
      <c r="T1468">
        <v>0</v>
      </c>
      <c r="U1468">
        <v>0</v>
      </c>
      <c r="V1468">
        <v>0</v>
      </c>
      <c r="Y1468">
        <v>1</v>
      </c>
      <c r="Z1468">
        <v>0</v>
      </c>
      <c r="AA1468">
        <v>0</v>
      </c>
      <c r="AB1468">
        <v>0</v>
      </c>
      <c r="AC1468">
        <v>0</v>
      </c>
      <c r="AI1468">
        <v>0</v>
      </c>
      <c r="AO1468">
        <v>6.7200000000000006</v>
      </c>
      <c r="AP1468">
        <v>4.166666666666667</v>
      </c>
      <c r="AQ1468">
        <v>709.5</v>
      </c>
      <c r="AR1468">
        <v>62</v>
      </c>
      <c r="AS1468">
        <v>810</v>
      </c>
      <c r="AV1468">
        <v>241.3</v>
      </c>
      <c r="AW1468" t="s">
        <v>443</v>
      </c>
      <c r="AX1468" t="s">
        <v>538</v>
      </c>
    </row>
    <row r="1469" spans="1:50" x14ac:dyDescent="0.45">
      <c r="A1469">
        <v>30025</v>
      </c>
      <c r="B1469">
        <v>1</v>
      </c>
      <c r="C1469">
        <v>38</v>
      </c>
      <c r="D1469">
        <v>0</v>
      </c>
      <c r="E1469">
        <v>0</v>
      </c>
      <c r="F1469">
        <v>0</v>
      </c>
      <c r="G1469">
        <v>0</v>
      </c>
      <c r="H1469">
        <v>0</v>
      </c>
      <c r="I1469">
        <v>0</v>
      </c>
      <c r="J1469">
        <v>32</v>
      </c>
      <c r="K1469">
        <v>30</v>
      </c>
      <c r="L1469">
        <v>0</v>
      </c>
      <c r="M1469">
        <v>0</v>
      </c>
      <c r="N1469">
        <v>0</v>
      </c>
      <c r="O1469">
        <v>0</v>
      </c>
      <c r="P1469">
        <v>0</v>
      </c>
      <c r="Q1469">
        <v>0</v>
      </c>
      <c r="R1469">
        <v>0</v>
      </c>
      <c r="S1469">
        <v>0</v>
      </c>
      <c r="T1469">
        <v>0</v>
      </c>
      <c r="U1469">
        <v>0</v>
      </c>
      <c r="V1469">
        <v>0</v>
      </c>
      <c r="Y1469">
        <v>1</v>
      </c>
      <c r="Z1469">
        <v>0</v>
      </c>
      <c r="AA1469">
        <v>0</v>
      </c>
      <c r="AB1469">
        <v>0</v>
      </c>
      <c r="AC1469">
        <v>0</v>
      </c>
      <c r="AI1469">
        <v>0</v>
      </c>
      <c r="AO1469">
        <v>8.4</v>
      </c>
      <c r="AP1469">
        <v>5.333333333333333</v>
      </c>
      <c r="AQ1469">
        <v>661.2</v>
      </c>
      <c r="AR1469">
        <v>65</v>
      </c>
      <c r="AS1469">
        <v>782</v>
      </c>
      <c r="AV1469">
        <v>244.4</v>
      </c>
      <c r="AW1469" t="s">
        <v>443</v>
      </c>
      <c r="AX1469" t="s">
        <v>538</v>
      </c>
    </row>
    <row r="1470" spans="1:50" x14ac:dyDescent="0.45">
      <c r="A1470">
        <v>30026</v>
      </c>
      <c r="B1470">
        <v>1</v>
      </c>
      <c r="C1470">
        <v>37</v>
      </c>
      <c r="D1470">
        <v>0</v>
      </c>
      <c r="E1470">
        <v>0</v>
      </c>
      <c r="F1470">
        <v>0</v>
      </c>
      <c r="G1470">
        <v>0</v>
      </c>
      <c r="H1470">
        <v>0</v>
      </c>
      <c r="I1470">
        <v>0</v>
      </c>
      <c r="J1470">
        <v>35</v>
      </c>
      <c r="K1470">
        <v>28</v>
      </c>
      <c r="L1470">
        <v>0</v>
      </c>
      <c r="M1470">
        <v>0</v>
      </c>
      <c r="N1470">
        <v>0</v>
      </c>
      <c r="O1470">
        <v>0</v>
      </c>
      <c r="P1470">
        <v>0</v>
      </c>
      <c r="Q1470">
        <v>0</v>
      </c>
      <c r="R1470">
        <v>0</v>
      </c>
      <c r="S1470">
        <v>0</v>
      </c>
      <c r="T1470">
        <v>0</v>
      </c>
      <c r="U1470">
        <v>0</v>
      </c>
      <c r="V1470">
        <v>0</v>
      </c>
      <c r="Y1470">
        <v>1</v>
      </c>
      <c r="Z1470">
        <v>0</v>
      </c>
      <c r="AA1470">
        <v>0</v>
      </c>
      <c r="AB1470">
        <v>0</v>
      </c>
      <c r="AC1470">
        <v>0</v>
      </c>
      <c r="AI1470">
        <v>0</v>
      </c>
      <c r="AO1470">
        <v>7.8400000000000007</v>
      </c>
      <c r="AP1470">
        <v>5.833333333333333</v>
      </c>
      <c r="AQ1470">
        <v>640.5</v>
      </c>
      <c r="AR1470">
        <v>64</v>
      </c>
      <c r="AS1470">
        <v>729</v>
      </c>
      <c r="AV1470">
        <v>244</v>
      </c>
      <c r="AW1470" t="s">
        <v>443</v>
      </c>
      <c r="AX1470" t="s">
        <v>538</v>
      </c>
    </row>
    <row r="1471" spans="1:50" x14ac:dyDescent="0.45">
      <c r="A1471">
        <v>30027</v>
      </c>
      <c r="B1471">
        <v>1</v>
      </c>
      <c r="C1471">
        <v>34</v>
      </c>
      <c r="D1471">
        <v>0</v>
      </c>
      <c r="E1471">
        <v>0</v>
      </c>
      <c r="F1471">
        <v>0</v>
      </c>
      <c r="G1471">
        <v>0</v>
      </c>
      <c r="H1471">
        <v>0</v>
      </c>
      <c r="I1471">
        <v>0</v>
      </c>
      <c r="J1471">
        <v>41</v>
      </c>
      <c r="K1471">
        <v>25</v>
      </c>
      <c r="L1471">
        <v>0</v>
      </c>
      <c r="M1471">
        <v>0</v>
      </c>
      <c r="N1471">
        <v>0</v>
      </c>
      <c r="O1471">
        <v>0</v>
      </c>
      <c r="P1471">
        <v>0</v>
      </c>
      <c r="Q1471">
        <v>0</v>
      </c>
      <c r="R1471">
        <v>0</v>
      </c>
      <c r="S1471">
        <v>0</v>
      </c>
      <c r="T1471">
        <v>0</v>
      </c>
      <c r="U1471">
        <v>0</v>
      </c>
      <c r="V1471">
        <v>0</v>
      </c>
      <c r="Y1471">
        <v>1</v>
      </c>
      <c r="Z1471">
        <v>0</v>
      </c>
      <c r="AA1471">
        <v>0</v>
      </c>
      <c r="AB1471">
        <v>0</v>
      </c>
      <c r="AC1471">
        <v>0</v>
      </c>
      <c r="AI1471">
        <v>0</v>
      </c>
      <c r="AO1471">
        <v>7.0000000000000009</v>
      </c>
      <c r="AP1471">
        <v>6.833333333333333</v>
      </c>
      <c r="AQ1471">
        <v>599.09999999999991</v>
      </c>
      <c r="AR1471">
        <v>63</v>
      </c>
      <c r="AS1471">
        <v>682</v>
      </c>
      <c r="AV1471">
        <v>235.6</v>
      </c>
      <c r="AW1471" t="s">
        <v>443</v>
      </c>
      <c r="AX1471" t="s">
        <v>538</v>
      </c>
    </row>
    <row r="1472" spans="1:50" x14ac:dyDescent="0.45">
      <c r="A1472">
        <v>30028</v>
      </c>
      <c r="B1472">
        <v>1</v>
      </c>
      <c r="C1472">
        <v>74</v>
      </c>
      <c r="D1472">
        <v>0</v>
      </c>
      <c r="E1472">
        <v>0</v>
      </c>
      <c r="F1472">
        <v>0</v>
      </c>
      <c r="G1472">
        <v>0</v>
      </c>
      <c r="H1472">
        <v>0</v>
      </c>
      <c r="I1472">
        <v>0</v>
      </c>
      <c r="J1472">
        <v>13</v>
      </c>
      <c r="K1472">
        <v>13</v>
      </c>
      <c r="L1472">
        <v>0</v>
      </c>
      <c r="M1472">
        <v>0</v>
      </c>
      <c r="N1472">
        <v>0</v>
      </c>
      <c r="O1472">
        <v>0</v>
      </c>
      <c r="P1472">
        <v>0</v>
      </c>
      <c r="Q1472">
        <v>0</v>
      </c>
      <c r="R1472">
        <v>0</v>
      </c>
      <c r="S1472">
        <v>0</v>
      </c>
      <c r="T1472">
        <v>0</v>
      </c>
      <c r="U1472">
        <v>0</v>
      </c>
      <c r="Y1472">
        <v>0</v>
      </c>
      <c r="Z1472">
        <v>0</v>
      </c>
      <c r="AA1472">
        <v>0</v>
      </c>
      <c r="AB1472">
        <v>0</v>
      </c>
      <c r="AC1472">
        <v>1</v>
      </c>
      <c r="AD1472">
        <v>792.3</v>
      </c>
      <c r="AF1472">
        <v>1</v>
      </c>
      <c r="AG1472">
        <v>0</v>
      </c>
      <c r="AH1472">
        <v>0</v>
      </c>
      <c r="AI1472">
        <v>0</v>
      </c>
      <c r="AO1472">
        <v>3.6400000000000006</v>
      </c>
      <c r="AP1472">
        <v>2.1666666666666665</v>
      </c>
      <c r="AQ1472">
        <v>792.3</v>
      </c>
      <c r="AR1472">
        <v>66</v>
      </c>
      <c r="AS1472">
        <v>501</v>
      </c>
      <c r="AV1472">
        <v>220</v>
      </c>
      <c r="AW1472" t="s">
        <v>342</v>
      </c>
      <c r="AX1472" t="s">
        <v>539</v>
      </c>
    </row>
    <row r="1473" spans="1:50" x14ac:dyDescent="0.45">
      <c r="A1473">
        <v>30029</v>
      </c>
      <c r="B1473">
        <v>1</v>
      </c>
      <c r="C1473">
        <v>58.5</v>
      </c>
      <c r="D1473">
        <v>0</v>
      </c>
      <c r="E1473">
        <v>0</v>
      </c>
      <c r="F1473">
        <v>0</v>
      </c>
      <c r="G1473">
        <v>0</v>
      </c>
      <c r="H1473">
        <v>0.5</v>
      </c>
      <c r="I1473">
        <v>0</v>
      </c>
      <c r="J1473">
        <v>13</v>
      </c>
      <c r="K1473">
        <v>28</v>
      </c>
      <c r="L1473">
        <v>0</v>
      </c>
      <c r="M1473">
        <v>0</v>
      </c>
      <c r="N1473">
        <v>0</v>
      </c>
      <c r="O1473">
        <v>0</v>
      </c>
      <c r="P1473">
        <v>0</v>
      </c>
      <c r="Q1473">
        <v>0</v>
      </c>
      <c r="R1473">
        <v>0</v>
      </c>
      <c r="S1473">
        <v>0</v>
      </c>
      <c r="T1473">
        <v>0</v>
      </c>
      <c r="U1473">
        <v>0</v>
      </c>
      <c r="Y1473">
        <v>0</v>
      </c>
      <c r="Z1473">
        <v>0</v>
      </c>
      <c r="AA1473">
        <v>0</v>
      </c>
      <c r="AB1473">
        <v>0</v>
      </c>
      <c r="AC1473">
        <v>1</v>
      </c>
      <c r="AD1473">
        <v>784.59999999999991</v>
      </c>
      <c r="AF1473">
        <v>1</v>
      </c>
      <c r="AG1473">
        <v>0</v>
      </c>
      <c r="AH1473">
        <v>0</v>
      </c>
      <c r="AI1473">
        <v>0</v>
      </c>
      <c r="AO1473">
        <v>9.2900000000000009</v>
      </c>
      <c r="AP1473">
        <v>2.1666666666666665</v>
      </c>
      <c r="AQ1473">
        <v>784.59999999999991</v>
      </c>
      <c r="AR1473">
        <v>58</v>
      </c>
      <c r="AS1473">
        <v>780</v>
      </c>
      <c r="AW1473" t="s">
        <v>444</v>
      </c>
      <c r="AX1473" t="s">
        <v>540</v>
      </c>
    </row>
    <row r="1474" spans="1:50" x14ac:dyDescent="0.45">
      <c r="A1474">
        <v>30030</v>
      </c>
      <c r="B1474">
        <v>1</v>
      </c>
      <c r="C1474">
        <v>70</v>
      </c>
      <c r="D1474">
        <v>0</v>
      </c>
      <c r="E1474">
        <v>0</v>
      </c>
      <c r="F1474">
        <v>0</v>
      </c>
      <c r="G1474">
        <v>0</v>
      </c>
      <c r="H1474">
        <v>1</v>
      </c>
      <c r="I1474">
        <v>0</v>
      </c>
      <c r="J1474">
        <v>10</v>
      </c>
      <c r="K1474">
        <v>19</v>
      </c>
      <c r="L1474">
        <v>0</v>
      </c>
      <c r="M1474">
        <v>0</v>
      </c>
      <c r="N1474">
        <v>0</v>
      </c>
      <c r="O1474">
        <v>0</v>
      </c>
      <c r="P1474">
        <v>0</v>
      </c>
      <c r="Q1474">
        <v>0</v>
      </c>
      <c r="R1474">
        <v>0</v>
      </c>
      <c r="S1474">
        <v>0</v>
      </c>
      <c r="T1474">
        <v>0</v>
      </c>
      <c r="U1474">
        <v>0</v>
      </c>
      <c r="Y1474">
        <v>0</v>
      </c>
      <c r="Z1474">
        <v>0</v>
      </c>
      <c r="AA1474">
        <v>0</v>
      </c>
      <c r="AB1474">
        <v>0</v>
      </c>
      <c r="AC1474">
        <v>1</v>
      </c>
      <c r="AD1474">
        <v>797.6</v>
      </c>
      <c r="AF1474">
        <v>1</v>
      </c>
      <c r="AG1474">
        <v>0</v>
      </c>
      <c r="AH1474">
        <v>0</v>
      </c>
      <c r="AI1474">
        <v>0</v>
      </c>
      <c r="AO1474">
        <v>8.2200000000000006</v>
      </c>
      <c r="AP1474">
        <v>1.6666666666666667</v>
      </c>
      <c r="AQ1474">
        <v>797.6</v>
      </c>
      <c r="AR1474">
        <v>59</v>
      </c>
      <c r="AS1474">
        <v>553</v>
      </c>
      <c r="AT1474">
        <v>723</v>
      </c>
      <c r="AW1474" t="s">
        <v>445</v>
      </c>
      <c r="AX1474" t="s">
        <v>541</v>
      </c>
    </row>
    <row r="1475" spans="1:50" x14ac:dyDescent="0.45">
      <c r="A1475">
        <v>30031</v>
      </c>
      <c r="B1475">
        <v>1</v>
      </c>
      <c r="C1475">
        <v>60.5</v>
      </c>
      <c r="D1475">
        <v>0</v>
      </c>
      <c r="E1475">
        <v>0</v>
      </c>
      <c r="F1475">
        <v>0</v>
      </c>
      <c r="G1475">
        <v>0</v>
      </c>
      <c r="H1475">
        <v>1.5</v>
      </c>
      <c r="I1475">
        <v>0</v>
      </c>
      <c r="J1475">
        <v>6</v>
      </c>
      <c r="K1475">
        <v>32</v>
      </c>
      <c r="L1475">
        <v>0</v>
      </c>
      <c r="M1475">
        <v>0</v>
      </c>
      <c r="N1475">
        <v>0</v>
      </c>
      <c r="O1475">
        <v>0</v>
      </c>
      <c r="P1475">
        <v>0</v>
      </c>
      <c r="Q1475">
        <v>0</v>
      </c>
      <c r="R1475">
        <v>0</v>
      </c>
      <c r="S1475">
        <v>0</v>
      </c>
      <c r="T1475">
        <v>0</v>
      </c>
      <c r="U1475">
        <v>0</v>
      </c>
      <c r="Y1475">
        <v>0</v>
      </c>
      <c r="Z1475">
        <v>0</v>
      </c>
      <c r="AA1475">
        <v>0</v>
      </c>
      <c r="AB1475">
        <v>0</v>
      </c>
      <c r="AC1475">
        <v>1</v>
      </c>
      <c r="AD1475">
        <v>817.5</v>
      </c>
      <c r="AF1475">
        <v>1</v>
      </c>
      <c r="AG1475">
        <v>0</v>
      </c>
      <c r="AH1475">
        <v>0</v>
      </c>
      <c r="AI1475">
        <v>0</v>
      </c>
      <c r="AO1475">
        <v>13.31</v>
      </c>
      <c r="AP1475">
        <v>1</v>
      </c>
      <c r="AQ1475">
        <v>817.5</v>
      </c>
      <c r="AR1475">
        <v>62</v>
      </c>
      <c r="AS1475">
        <v>1038</v>
      </c>
      <c r="AT1475">
        <v>1083</v>
      </c>
      <c r="AV1475">
        <v>218</v>
      </c>
      <c r="AW1475" t="s">
        <v>446</v>
      </c>
      <c r="AX1475" t="s">
        <v>542</v>
      </c>
    </row>
    <row r="1476" spans="1:50" x14ac:dyDescent="0.45">
      <c r="A1476">
        <v>30032</v>
      </c>
      <c r="B1476">
        <v>1</v>
      </c>
      <c r="C1476">
        <v>66</v>
      </c>
      <c r="D1476">
        <v>0</v>
      </c>
      <c r="E1476">
        <v>0</v>
      </c>
      <c r="F1476">
        <v>0</v>
      </c>
      <c r="G1476">
        <v>0</v>
      </c>
      <c r="H1476">
        <v>0</v>
      </c>
      <c r="I1476">
        <v>0</v>
      </c>
      <c r="J1476">
        <v>0</v>
      </c>
      <c r="K1476">
        <v>32</v>
      </c>
      <c r="L1476">
        <v>0</v>
      </c>
      <c r="M1476">
        <v>2</v>
      </c>
      <c r="N1476">
        <v>0</v>
      </c>
      <c r="O1476">
        <v>0</v>
      </c>
      <c r="P1476">
        <v>0</v>
      </c>
      <c r="Q1476">
        <v>0</v>
      </c>
      <c r="R1476">
        <v>0</v>
      </c>
      <c r="S1476">
        <v>0</v>
      </c>
      <c r="T1476">
        <v>0</v>
      </c>
      <c r="U1476">
        <v>0</v>
      </c>
      <c r="Y1476">
        <v>0</v>
      </c>
      <c r="Z1476">
        <v>0</v>
      </c>
      <c r="AA1476">
        <v>0</v>
      </c>
      <c r="AB1476">
        <v>0</v>
      </c>
      <c r="AC1476">
        <v>1</v>
      </c>
      <c r="AD1476">
        <v>890.4</v>
      </c>
      <c r="AF1476">
        <v>1</v>
      </c>
      <c r="AG1476">
        <v>0</v>
      </c>
      <c r="AH1476">
        <v>0</v>
      </c>
      <c r="AI1476">
        <v>0</v>
      </c>
      <c r="AO1476">
        <v>8.9600000000000009</v>
      </c>
      <c r="AP1476">
        <v>0.66666666666666663</v>
      </c>
      <c r="AQ1476">
        <v>890.4</v>
      </c>
      <c r="AR1476">
        <v>60</v>
      </c>
      <c r="AS1476">
        <v>665</v>
      </c>
      <c r="AV1476">
        <v>260</v>
      </c>
      <c r="AW1476" t="s">
        <v>259</v>
      </c>
      <c r="AX1476" t="s">
        <v>543</v>
      </c>
    </row>
    <row r="1477" spans="1:50" x14ac:dyDescent="0.45">
      <c r="A1477">
        <v>30033</v>
      </c>
      <c r="B1477">
        <v>1</v>
      </c>
      <c r="C1477">
        <v>32</v>
      </c>
      <c r="D1477">
        <v>0</v>
      </c>
      <c r="E1477">
        <v>0</v>
      </c>
      <c r="F1477">
        <v>0</v>
      </c>
      <c r="G1477">
        <v>0</v>
      </c>
      <c r="H1477">
        <v>0</v>
      </c>
      <c r="I1477">
        <v>0</v>
      </c>
      <c r="J1477">
        <v>22</v>
      </c>
      <c r="K1477">
        <v>8</v>
      </c>
      <c r="L1477">
        <v>0</v>
      </c>
      <c r="M1477">
        <v>0</v>
      </c>
      <c r="N1477">
        <v>0</v>
      </c>
      <c r="O1477">
        <v>38</v>
      </c>
      <c r="P1477">
        <v>0</v>
      </c>
      <c r="Q1477">
        <v>0</v>
      </c>
      <c r="R1477">
        <v>0</v>
      </c>
      <c r="S1477">
        <v>0</v>
      </c>
      <c r="T1477">
        <v>0</v>
      </c>
      <c r="U1477">
        <v>0</v>
      </c>
      <c r="Y1477">
        <v>0</v>
      </c>
      <c r="Z1477">
        <v>0</v>
      </c>
      <c r="AA1477">
        <v>0</v>
      </c>
      <c r="AB1477">
        <v>0</v>
      </c>
      <c r="AC1477">
        <v>1</v>
      </c>
      <c r="AD1477">
        <v>730.2</v>
      </c>
      <c r="AF1477">
        <v>1</v>
      </c>
      <c r="AG1477">
        <v>0</v>
      </c>
      <c r="AH1477">
        <v>0</v>
      </c>
      <c r="AI1477">
        <v>0</v>
      </c>
      <c r="AO1477">
        <v>10.6</v>
      </c>
      <c r="AP1477">
        <v>3.6666666666666665</v>
      </c>
      <c r="AQ1477">
        <v>730.2</v>
      </c>
      <c r="AR1477">
        <v>73</v>
      </c>
      <c r="AS1477">
        <v>1107</v>
      </c>
      <c r="AV1477">
        <v>365</v>
      </c>
      <c r="AW1477" t="s">
        <v>447</v>
      </c>
      <c r="AX1477" t="s">
        <v>544</v>
      </c>
    </row>
    <row r="1478" spans="1:50" x14ac:dyDescent="0.45">
      <c r="A1478">
        <v>30034</v>
      </c>
      <c r="B1478">
        <v>1</v>
      </c>
      <c r="C1478">
        <v>31</v>
      </c>
      <c r="D1478">
        <v>0</v>
      </c>
      <c r="E1478">
        <v>0</v>
      </c>
      <c r="F1478">
        <v>0</v>
      </c>
      <c r="G1478">
        <v>0</v>
      </c>
      <c r="H1478">
        <v>0</v>
      </c>
      <c r="I1478">
        <v>0</v>
      </c>
      <c r="J1478">
        <v>25</v>
      </c>
      <c r="K1478">
        <v>5</v>
      </c>
      <c r="L1478">
        <v>0</v>
      </c>
      <c r="M1478">
        <v>0</v>
      </c>
      <c r="N1478">
        <v>0</v>
      </c>
      <c r="O1478">
        <v>39</v>
      </c>
      <c r="P1478">
        <v>0</v>
      </c>
      <c r="Q1478">
        <v>0</v>
      </c>
      <c r="R1478">
        <v>0</v>
      </c>
      <c r="S1478">
        <v>0</v>
      </c>
      <c r="T1478">
        <v>0</v>
      </c>
      <c r="U1478">
        <v>0</v>
      </c>
      <c r="Y1478">
        <v>0</v>
      </c>
      <c r="Z1478">
        <v>0</v>
      </c>
      <c r="AA1478">
        <v>0</v>
      </c>
      <c r="AB1478">
        <v>0</v>
      </c>
      <c r="AC1478">
        <v>1</v>
      </c>
      <c r="AD1478">
        <v>709.5</v>
      </c>
      <c r="AF1478">
        <v>1</v>
      </c>
      <c r="AG1478">
        <v>0</v>
      </c>
      <c r="AH1478">
        <v>0</v>
      </c>
      <c r="AI1478">
        <v>0</v>
      </c>
      <c r="AO1478">
        <v>9.98</v>
      </c>
      <c r="AP1478">
        <v>4.166666666666667</v>
      </c>
      <c r="AQ1478">
        <v>709.5</v>
      </c>
      <c r="AR1478">
        <v>75</v>
      </c>
      <c r="AS1478">
        <v>932</v>
      </c>
      <c r="AV1478">
        <v>422</v>
      </c>
      <c r="AW1478" t="s">
        <v>447</v>
      </c>
      <c r="AX1478" t="s">
        <v>544</v>
      </c>
    </row>
    <row r="1479" spans="1:50" x14ac:dyDescent="0.45">
      <c r="A1479">
        <v>30035</v>
      </c>
      <c r="B1479">
        <v>1</v>
      </c>
      <c r="C1479">
        <v>30.5</v>
      </c>
      <c r="D1479">
        <v>0</v>
      </c>
      <c r="E1479">
        <v>0</v>
      </c>
      <c r="F1479">
        <v>0</v>
      </c>
      <c r="G1479">
        <v>0</v>
      </c>
      <c r="H1479">
        <v>0</v>
      </c>
      <c r="I1479">
        <v>0</v>
      </c>
      <c r="J1479">
        <v>28</v>
      </c>
      <c r="K1479">
        <v>2.5</v>
      </c>
      <c r="L1479">
        <v>0</v>
      </c>
      <c r="M1479">
        <v>0</v>
      </c>
      <c r="N1479">
        <v>0</v>
      </c>
      <c r="O1479">
        <v>39</v>
      </c>
      <c r="P1479">
        <v>0</v>
      </c>
      <c r="Q1479">
        <v>0</v>
      </c>
      <c r="R1479">
        <v>0</v>
      </c>
      <c r="S1479">
        <v>0</v>
      </c>
      <c r="T1479">
        <v>0</v>
      </c>
      <c r="U1479">
        <v>0</v>
      </c>
      <c r="Y1479">
        <v>0</v>
      </c>
      <c r="Z1479">
        <v>0</v>
      </c>
      <c r="AA1479">
        <v>0</v>
      </c>
      <c r="AB1479">
        <v>0</v>
      </c>
      <c r="AC1479">
        <v>1</v>
      </c>
      <c r="AD1479">
        <v>688.8</v>
      </c>
      <c r="AF1479">
        <v>1</v>
      </c>
      <c r="AG1479">
        <v>0</v>
      </c>
      <c r="AH1479">
        <v>0</v>
      </c>
      <c r="AI1479">
        <v>0</v>
      </c>
      <c r="AO1479">
        <v>9.2799999999999994</v>
      </c>
      <c r="AP1479">
        <v>4.666666666666667</v>
      </c>
      <c r="AQ1479">
        <v>688.8</v>
      </c>
      <c r="AR1479">
        <v>77</v>
      </c>
      <c r="AS1479">
        <v>953</v>
      </c>
      <c r="AV1479">
        <v>433</v>
      </c>
      <c r="AW1479" t="s">
        <v>447</v>
      </c>
      <c r="AX1479" t="s">
        <v>544</v>
      </c>
    </row>
    <row r="1480" spans="1:50" x14ac:dyDescent="0.45">
      <c r="A1480">
        <v>30036</v>
      </c>
      <c r="B1480">
        <v>1</v>
      </c>
      <c r="C1480">
        <v>90</v>
      </c>
      <c r="D1480">
        <v>0</v>
      </c>
      <c r="E1480">
        <v>0</v>
      </c>
      <c r="F1480">
        <v>0</v>
      </c>
      <c r="G1480">
        <v>0</v>
      </c>
      <c r="H1480">
        <v>5</v>
      </c>
      <c r="I1480">
        <v>0</v>
      </c>
      <c r="J1480">
        <v>0</v>
      </c>
      <c r="K1480">
        <v>0</v>
      </c>
      <c r="L1480">
        <v>5</v>
      </c>
      <c r="M1480">
        <v>0</v>
      </c>
      <c r="N1480">
        <v>0</v>
      </c>
      <c r="O1480">
        <v>0</v>
      </c>
      <c r="P1480">
        <v>0</v>
      </c>
      <c r="Q1480">
        <v>0</v>
      </c>
      <c r="R1480">
        <v>0</v>
      </c>
      <c r="S1480">
        <v>0</v>
      </c>
      <c r="T1480">
        <v>0</v>
      </c>
      <c r="U1480">
        <v>0</v>
      </c>
      <c r="Y1480">
        <v>0</v>
      </c>
      <c r="Z1480">
        <v>0</v>
      </c>
      <c r="AA1480">
        <v>0</v>
      </c>
      <c r="AB1480">
        <v>0</v>
      </c>
      <c r="AC1480">
        <v>1</v>
      </c>
      <c r="AD1480">
        <v>757.5</v>
      </c>
      <c r="AF1480">
        <v>1</v>
      </c>
      <c r="AG1480">
        <v>0</v>
      </c>
      <c r="AH1480">
        <v>0</v>
      </c>
      <c r="AI1480">
        <v>0</v>
      </c>
      <c r="AO1480">
        <v>19.5</v>
      </c>
      <c r="AP1480">
        <v>0</v>
      </c>
      <c r="AQ1480">
        <v>757.5</v>
      </c>
      <c r="AR1480">
        <v>83</v>
      </c>
      <c r="AS1480">
        <v>936</v>
      </c>
      <c r="AV1480">
        <v>452</v>
      </c>
      <c r="AW1480" t="s">
        <v>448</v>
      </c>
      <c r="AX1480" t="s">
        <v>545</v>
      </c>
    </row>
    <row r="1481" spans="1:50" x14ac:dyDescent="0.45">
      <c r="A1481">
        <v>30037</v>
      </c>
      <c r="B1481">
        <v>1</v>
      </c>
      <c r="C1481">
        <v>54</v>
      </c>
      <c r="D1481">
        <v>0</v>
      </c>
      <c r="E1481">
        <v>0</v>
      </c>
      <c r="F1481">
        <v>0</v>
      </c>
      <c r="G1481">
        <v>0</v>
      </c>
      <c r="H1481">
        <v>0</v>
      </c>
      <c r="I1481">
        <v>0</v>
      </c>
      <c r="J1481">
        <v>12</v>
      </c>
      <c r="K1481">
        <v>26</v>
      </c>
      <c r="L1481">
        <v>8</v>
      </c>
      <c r="M1481">
        <v>0</v>
      </c>
      <c r="N1481">
        <v>0</v>
      </c>
      <c r="O1481">
        <v>0</v>
      </c>
      <c r="P1481">
        <v>0</v>
      </c>
      <c r="Q1481">
        <v>0</v>
      </c>
      <c r="R1481">
        <v>0</v>
      </c>
      <c r="S1481">
        <v>0</v>
      </c>
      <c r="T1481">
        <v>0</v>
      </c>
      <c r="U1481">
        <v>0</v>
      </c>
      <c r="Y1481">
        <v>0</v>
      </c>
      <c r="Z1481">
        <v>0</v>
      </c>
      <c r="AA1481">
        <v>0</v>
      </c>
      <c r="AB1481">
        <v>0</v>
      </c>
      <c r="AC1481">
        <v>1</v>
      </c>
      <c r="AD1481">
        <v>723.2</v>
      </c>
      <c r="AF1481">
        <v>1</v>
      </c>
      <c r="AG1481">
        <v>0</v>
      </c>
      <c r="AH1481">
        <v>0</v>
      </c>
      <c r="AI1481">
        <v>0</v>
      </c>
      <c r="AO1481">
        <v>15.280000000000001</v>
      </c>
      <c r="AP1481">
        <v>2</v>
      </c>
      <c r="AQ1481">
        <v>723.2</v>
      </c>
      <c r="AR1481">
        <v>66.599999999999994</v>
      </c>
      <c r="AS1481">
        <v>754.7</v>
      </c>
      <c r="AT1481">
        <v>759</v>
      </c>
      <c r="AW1481" t="s">
        <v>449</v>
      </c>
      <c r="AX1481" t="s">
        <v>546</v>
      </c>
    </row>
    <row r="1482" spans="1:50" x14ac:dyDescent="0.45">
      <c r="A1482">
        <v>30038</v>
      </c>
      <c r="B1482">
        <v>1</v>
      </c>
      <c r="C1482">
        <v>65</v>
      </c>
      <c r="D1482">
        <v>0</v>
      </c>
      <c r="E1482">
        <v>0</v>
      </c>
      <c r="F1482">
        <v>0</v>
      </c>
      <c r="G1482">
        <v>0</v>
      </c>
      <c r="H1482">
        <v>0</v>
      </c>
      <c r="I1482">
        <v>0</v>
      </c>
      <c r="J1482">
        <v>0</v>
      </c>
      <c r="K1482">
        <v>30</v>
      </c>
      <c r="L1482">
        <v>1</v>
      </c>
      <c r="M1482">
        <v>4</v>
      </c>
      <c r="N1482">
        <v>0</v>
      </c>
      <c r="O1482">
        <v>0</v>
      </c>
      <c r="P1482">
        <v>0</v>
      </c>
      <c r="Q1482">
        <v>0</v>
      </c>
      <c r="R1482">
        <v>0</v>
      </c>
      <c r="S1482">
        <v>0</v>
      </c>
      <c r="T1482">
        <v>0</v>
      </c>
      <c r="U1482">
        <v>0</v>
      </c>
      <c r="Y1482">
        <v>0</v>
      </c>
      <c r="Z1482">
        <v>0</v>
      </c>
      <c r="AA1482">
        <v>0</v>
      </c>
      <c r="AB1482">
        <v>0</v>
      </c>
      <c r="AC1482">
        <v>1</v>
      </c>
      <c r="AD1482">
        <v>889.3</v>
      </c>
      <c r="AF1482">
        <v>1</v>
      </c>
      <c r="AG1482">
        <v>0</v>
      </c>
      <c r="AH1482">
        <v>0</v>
      </c>
      <c r="AI1482">
        <v>0</v>
      </c>
      <c r="AO1482">
        <v>9.4</v>
      </c>
      <c r="AP1482">
        <v>1.3333333333333333</v>
      </c>
      <c r="AQ1482">
        <v>889.3</v>
      </c>
      <c r="AR1482">
        <v>46</v>
      </c>
      <c r="AS1482">
        <v>130</v>
      </c>
      <c r="AT1482">
        <v>380</v>
      </c>
      <c r="AW1482" t="s">
        <v>450</v>
      </c>
      <c r="AX1482" t="s">
        <v>547</v>
      </c>
    </row>
    <row r="1483" spans="1:50" x14ac:dyDescent="0.45">
      <c r="A1483">
        <v>30039</v>
      </c>
      <c r="B1483">
        <v>1</v>
      </c>
      <c r="C1483">
        <v>53.4</v>
      </c>
      <c r="D1483">
        <v>0</v>
      </c>
      <c r="E1483">
        <v>0</v>
      </c>
      <c r="F1483">
        <v>0</v>
      </c>
      <c r="G1483">
        <v>0</v>
      </c>
      <c r="H1483">
        <v>0</v>
      </c>
      <c r="I1483">
        <v>0</v>
      </c>
      <c r="J1483">
        <v>4.5999999999999996</v>
      </c>
      <c r="K1483">
        <v>29</v>
      </c>
      <c r="L1483">
        <v>0</v>
      </c>
      <c r="M1483">
        <v>0</v>
      </c>
      <c r="N1483">
        <v>0</v>
      </c>
      <c r="O1483">
        <v>13</v>
      </c>
      <c r="P1483">
        <v>0</v>
      </c>
      <c r="Q1483">
        <v>0</v>
      </c>
      <c r="R1483">
        <v>0</v>
      </c>
      <c r="S1483">
        <v>0</v>
      </c>
      <c r="T1483">
        <v>0</v>
      </c>
      <c r="U1483">
        <v>0</v>
      </c>
      <c r="Y1483">
        <v>0</v>
      </c>
      <c r="Z1483">
        <v>0</v>
      </c>
      <c r="AA1483">
        <v>0</v>
      </c>
      <c r="AB1483">
        <v>0</v>
      </c>
      <c r="AC1483">
        <v>1</v>
      </c>
      <c r="AD1483">
        <v>850.26</v>
      </c>
      <c r="AF1483">
        <v>1</v>
      </c>
      <c r="AG1483">
        <v>0</v>
      </c>
      <c r="AH1483">
        <v>0</v>
      </c>
      <c r="AI1483">
        <v>0</v>
      </c>
      <c r="AO1483">
        <v>10.98</v>
      </c>
      <c r="AP1483">
        <v>0.76666666666666661</v>
      </c>
      <c r="AQ1483">
        <v>850.26</v>
      </c>
      <c r="AR1483">
        <v>65</v>
      </c>
      <c r="AS1483">
        <v>600</v>
      </c>
      <c r="AT1483">
        <v>650</v>
      </c>
      <c r="AV1483">
        <v>175</v>
      </c>
      <c r="AW1483" t="s">
        <v>451</v>
      </c>
      <c r="AX1483" t="s">
        <v>548</v>
      </c>
    </row>
    <row r="1484" spans="1:50" x14ac:dyDescent="0.45">
      <c r="A1484">
        <v>30040</v>
      </c>
      <c r="B1484">
        <v>1</v>
      </c>
      <c r="C1484">
        <v>62</v>
      </c>
      <c r="D1484">
        <v>0</v>
      </c>
      <c r="E1484">
        <v>0</v>
      </c>
      <c r="F1484">
        <v>0</v>
      </c>
      <c r="G1484">
        <v>0</v>
      </c>
      <c r="H1484">
        <v>0</v>
      </c>
      <c r="I1484">
        <v>0</v>
      </c>
      <c r="J1484">
        <v>9</v>
      </c>
      <c r="K1484">
        <v>18</v>
      </c>
      <c r="L1484">
        <v>5</v>
      </c>
      <c r="M1484">
        <v>6</v>
      </c>
      <c r="N1484">
        <v>0</v>
      </c>
      <c r="O1484">
        <v>0</v>
      </c>
      <c r="P1484">
        <v>0</v>
      </c>
      <c r="Q1484">
        <v>0</v>
      </c>
      <c r="R1484">
        <v>0</v>
      </c>
      <c r="S1484">
        <v>0</v>
      </c>
      <c r="T1484">
        <v>0</v>
      </c>
      <c r="U1484">
        <v>0</v>
      </c>
      <c r="V1484">
        <v>0</v>
      </c>
      <c r="Y1484">
        <v>1</v>
      </c>
      <c r="Z1484">
        <v>0</v>
      </c>
      <c r="AA1484">
        <v>0</v>
      </c>
      <c r="AB1484">
        <v>0</v>
      </c>
      <c r="AC1484">
        <v>0</v>
      </c>
      <c r="AI1484">
        <v>0</v>
      </c>
      <c r="AO1484">
        <v>10.040000000000001</v>
      </c>
      <c r="AP1484">
        <v>3.5</v>
      </c>
      <c r="AQ1484">
        <v>797.6</v>
      </c>
      <c r="AR1484">
        <v>72</v>
      </c>
      <c r="AS1484">
        <v>499</v>
      </c>
      <c r="AT1484">
        <v>519</v>
      </c>
      <c r="AW1484" t="s">
        <v>304</v>
      </c>
      <c r="AX1484" t="s">
        <v>549</v>
      </c>
    </row>
    <row r="1485" spans="1:50" x14ac:dyDescent="0.45">
      <c r="A1485">
        <v>30041</v>
      </c>
      <c r="B1485">
        <v>1</v>
      </c>
      <c r="C1485">
        <v>66</v>
      </c>
      <c r="D1485">
        <v>0</v>
      </c>
      <c r="E1485">
        <v>0</v>
      </c>
      <c r="F1485">
        <v>0</v>
      </c>
      <c r="G1485">
        <v>0</v>
      </c>
      <c r="H1485">
        <v>0</v>
      </c>
      <c r="I1485">
        <v>0</v>
      </c>
      <c r="J1485">
        <v>9</v>
      </c>
      <c r="K1485">
        <v>14</v>
      </c>
      <c r="L1485">
        <v>5</v>
      </c>
      <c r="M1485">
        <v>6</v>
      </c>
      <c r="N1485">
        <v>0</v>
      </c>
      <c r="O1485">
        <v>0</v>
      </c>
      <c r="P1485">
        <v>0</v>
      </c>
      <c r="Q1485">
        <v>0</v>
      </c>
      <c r="R1485">
        <v>0</v>
      </c>
      <c r="S1485">
        <v>0</v>
      </c>
      <c r="T1485">
        <v>0</v>
      </c>
      <c r="U1485">
        <v>0</v>
      </c>
      <c r="V1485">
        <v>0</v>
      </c>
      <c r="Y1485">
        <v>1</v>
      </c>
      <c r="Z1485">
        <v>0</v>
      </c>
      <c r="AA1485">
        <v>0</v>
      </c>
      <c r="AB1485">
        <v>0</v>
      </c>
      <c r="AC1485">
        <v>0</v>
      </c>
      <c r="AI1485">
        <v>0</v>
      </c>
      <c r="AO1485">
        <v>8.92</v>
      </c>
      <c r="AP1485">
        <v>3.5</v>
      </c>
      <c r="AQ1485">
        <v>797.6</v>
      </c>
      <c r="AR1485">
        <v>56</v>
      </c>
      <c r="AS1485">
        <v>566</v>
      </c>
      <c r="AT1485">
        <v>701</v>
      </c>
      <c r="AW1485" t="s">
        <v>304</v>
      </c>
      <c r="AX1485" t="s">
        <v>549</v>
      </c>
    </row>
    <row r="1486" spans="1:50" x14ac:dyDescent="0.45">
      <c r="A1486">
        <v>30042</v>
      </c>
      <c r="B1486">
        <v>1</v>
      </c>
      <c r="C1486">
        <v>69</v>
      </c>
      <c r="D1486">
        <v>0</v>
      </c>
      <c r="E1486">
        <v>0</v>
      </c>
      <c r="F1486">
        <v>0</v>
      </c>
      <c r="G1486">
        <v>0</v>
      </c>
      <c r="H1486">
        <v>0</v>
      </c>
      <c r="I1486">
        <v>0</v>
      </c>
      <c r="J1486">
        <v>5</v>
      </c>
      <c r="K1486">
        <v>15</v>
      </c>
      <c r="L1486">
        <v>5</v>
      </c>
      <c r="M1486">
        <v>6</v>
      </c>
      <c r="N1486">
        <v>0</v>
      </c>
      <c r="O1486">
        <v>0</v>
      </c>
      <c r="P1486">
        <v>0</v>
      </c>
      <c r="Q1486">
        <v>0</v>
      </c>
      <c r="R1486">
        <v>0</v>
      </c>
      <c r="S1486">
        <v>0</v>
      </c>
      <c r="T1486">
        <v>0</v>
      </c>
      <c r="U1486">
        <v>0</v>
      </c>
      <c r="V1486">
        <v>0</v>
      </c>
      <c r="Y1486">
        <v>1</v>
      </c>
      <c r="Z1486">
        <v>0</v>
      </c>
      <c r="AA1486">
        <v>0</v>
      </c>
      <c r="AB1486">
        <v>0</v>
      </c>
      <c r="AC1486">
        <v>0</v>
      </c>
      <c r="AI1486">
        <v>0</v>
      </c>
      <c r="AO1486">
        <v>9.1999999999999993</v>
      </c>
      <c r="AP1486">
        <v>2.8333333333333335</v>
      </c>
      <c r="AQ1486">
        <v>825.2</v>
      </c>
      <c r="AR1486">
        <v>55</v>
      </c>
      <c r="AS1486">
        <v>533</v>
      </c>
      <c r="AT1486">
        <v>692</v>
      </c>
      <c r="AW1486" t="s">
        <v>304</v>
      </c>
      <c r="AX1486" t="s">
        <v>549</v>
      </c>
    </row>
    <row r="1487" spans="1:50" x14ac:dyDescent="0.45">
      <c r="A1487">
        <v>30043</v>
      </c>
      <c r="B1487">
        <v>1</v>
      </c>
      <c r="C1487">
        <v>57.7</v>
      </c>
      <c r="D1487">
        <v>0</v>
      </c>
      <c r="E1487">
        <v>0</v>
      </c>
      <c r="F1487">
        <v>0</v>
      </c>
      <c r="G1487">
        <v>0</v>
      </c>
      <c r="H1487">
        <v>0</v>
      </c>
      <c r="I1487">
        <v>0</v>
      </c>
      <c r="J1487">
        <v>7</v>
      </c>
      <c r="K1487">
        <v>32</v>
      </c>
      <c r="L1487">
        <v>0</v>
      </c>
      <c r="M1487">
        <v>3</v>
      </c>
      <c r="N1487">
        <v>0</v>
      </c>
      <c r="O1487">
        <v>0</v>
      </c>
      <c r="P1487">
        <v>0</v>
      </c>
      <c r="Q1487">
        <v>0</v>
      </c>
      <c r="R1487">
        <v>0</v>
      </c>
      <c r="S1487">
        <v>0</v>
      </c>
      <c r="T1487">
        <v>0.3</v>
      </c>
      <c r="U1487">
        <v>0</v>
      </c>
      <c r="Y1487">
        <v>0</v>
      </c>
      <c r="Z1487">
        <v>0</v>
      </c>
      <c r="AA1487">
        <v>0</v>
      </c>
      <c r="AB1487">
        <v>0</v>
      </c>
      <c r="AC1487">
        <v>1</v>
      </c>
      <c r="AD1487">
        <v>883.2</v>
      </c>
      <c r="AF1487">
        <v>1</v>
      </c>
      <c r="AG1487">
        <v>0</v>
      </c>
      <c r="AH1487">
        <v>0</v>
      </c>
      <c r="AI1487">
        <v>0</v>
      </c>
      <c r="AO1487">
        <v>8.9600000000000009</v>
      </c>
      <c r="AP1487">
        <v>2.1966666666666668</v>
      </c>
      <c r="AQ1487">
        <v>883.2</v>
      </c>
      <c r="AR1487">
        <v>66.900000000000006</v>
      </c>
      <c r="AS1487">
        <v>806</v>
      </c>
      <c r="AT1487">
        <v>829</v>
      </c>
      <c r="AV1487">
        <v>282</v>
      </c>
      <c r="AW1487" t="s">
        <v>452</v>
      </c>
      <c r="AX1487" t="s">
        <v>550</v>
      </c>
    </row>
    <row r="1488" spans="1:50" x14ac:dyDescent="0.45">
      <c r="A1488">
        <v>30044</v>
      </c>
      <c r="B1488">
        <v>1</v>
      </c>
      <c r="C1488">
        <v>69</v>
      </c>
      <c r="D1488">
        <v>0</v>
      </c>
      <c r="E1488">
        <v>0</v>
      </c>
      <c r="F1488">
        <v>0</v>
      </c>
      <c r="G1488">
        <v>0</v>
      </c>
      <c r="H1488">
        <v>0</v>
      </c>
      <c r="I1488">
        <v>0</v>
      </c>
      <c r="J1488">
        <v>0</v>
      </c>
      <c r="K1488">
        <v>25</v>
      </c>
      <c r="L1488">
        <v>2</v>
      </c>
      <c r="M1488">
        <v>4</v>
      </c>
      <c r="N1488">
        <v>0</v>
      </c>
      <c r="O1488">
        <v>0</v>
      </c>
      <c r="P1488">
        <v>0</v>
      </c>
      <c r="Q1488">
        <v>0</v>
      </c>
      <c r="R1488">
        <v>0</v>
      </c>
      <c r="S1488">
        <v>0</v>
      </c>
      <c r="T1488">
        <v>0</v>
      </c>
      <c r="U1488">
        <v>0</v>
      </c>
      <c r="Y1488">
        <v>0</v>
      </c>
      <c r="Z1488">
        <v>0</v>
      </c>
      <c r="AA1488">
        <v>0</v>
      </c>
      <c r="AB1488">
        <v>0</v>
      </c>
      <c r="AC1488">
        <v>1</v>
      </c>
      <c r="AD1488">
        <v>879.8</v>
      </c>
      <c r="AF1488">
        <v>1</v>
      </c>
      <c r="AG1488">
        <v>0</v>
      </c>
      <c r="AH1488">
        <v>0</v>
      </c>
      <c r="AI1488">
        <v>0</v>
      </c>
      <c r="AO1488">
        <v>9</v>
      </c>
      <c r="AP1488">
        <v>1.3333333333333333</v>
      </c>
      <c r="AQ1488">
        <v>879.8</v>
      </c>
      <c r="AR1488">
        <v>53.1</v>
      </c>
      <c r="AS1488">
        <v>361</v>
      </c>
      <c r="AT1488">
        <v>511</v>
      </c>
      <c r="AW1488" t="s">
        <v>351</v>
      </c>
      <c r="AX1488" t="s">
        <v>551</v>
      </c>
    </row>
    <row r="1489" spans="1:50" x14ac:dyDescent="0.45">
      <c r="A1489">
        <v>30045</v>
      </c>
      <c r="B1489">
        <v>1</v>
      </c>
      <c r="C1489">
        <v>80</v>
      </c>
      <c r="D1489">
        <v>0</v>
      </c>
      <c r="E1489">
        <v>0</v>
      </c>
      <c r="F1489">
        <v>0</v>
      </c>
      <c r="G1489">
        <v>0</v>
      </c>
      <c r="H1489">
        <v>2</v>
      </c>
      <c r="I1489">
        <v>0</v>
      </c>
      <c r="J1489">
        <v>6</v>
      </c>
      <c r="K1489">
        <v>0</v>
      </c>
      <c r="L1489">
        <v>12</v>
      </c>
      <c r="M1489">
        <v>0</v>
      </c>
      <c r="N1489">
        <v>0</v>
      </c>
      <c r="O1489">
        <v>0</v>
      </c>
      <c r="P1489">
        <v>0</v>
      </c>
      <c r="Q1489">
        <v>0</v>
      </c>
      <c r="R1489">
        <v>0</v>
      </c>
      <c r="S1489">
        <v>0</v>
      </c>
      <c r="T1489">
        <v>0</v>
      </c>
      <c r="U1489">
        <v>0</v>
      </c>
      <c r="Y1489">
        <v>0</v>
      </c>
      <c r="Z1489">
        <v>0</v>
      </c>
      <c r="AA1489">
        <v>0</v>
      </c>
      <c r="AB1489">
        <v>0</v>
      </c>
      <c r="AC1489">
        <v>1</v>
      </c>
      <c r="AD1489">
        <v>695.80000000000007</v>
      </c>
      <c r="AI1489">
        <v>0</v>
      </c>
      <c r="AO1489">
        <v>17.8</v>
      </c>
      <c r="AP1489">
        <v>1</v>
      </c>
      <c r="AQ1489">
        <v>695.80000000000007</v>
      </c>
      <c r="AR1489">
        <v>79.5</v>
      </c>
      <c r="AS1489">
        <v>897</v>
      </c>
      <c r="AT1489">
        <v>931.5</v>
      </c>
      <c r="AW1489" t="s">
        <v>453</v>
      </c>
      <c r="AX1489" t="s">
        <v>552</v>
      </c>
    </row>
    <row r="1490" spans="1:50" x14ac:dyDescent="0.45">
      <c r="A1490">
        <v>30046</v>
      </c>
      <c r="B1490">
        <v>1</v>
      </c>
      <c r="C1490">
        <v>90</v>
      </c>
      <c r="D1490">
        <v>6</v>
      </c>
      <c r="E1490">
        <v>4</v>
      </c>
      <c r="F1490">
        <v>0</v>
      </c>
      <c r="G1490">
        <v>0</v>
      </c>
      <c r="H1490">
        <v>0</v>
      </c>
      <c r="I1490">
        <v>0</v>
      </c>
      <c r="J1490">
        <v>0</v>
      </c>
      <c r="K1490">
        <v>0</v>
      </c>
      <c r="L1490">
        <v>0</v>
      </c>
      <c r="M1490">
        <v>0</v>
      </c>
      <c r="N1490">
        <v>0</v>
      </c>
      <c r="O1490">
        <v>0</v>
      </c>
      <c r="P1490">
        <v>0</v>
      </c>
      <c r="Q1490">
        <v>0</v>
      </c>
      <c r="R1490">
        <v>0</v>
      </c>
      <c r="S1490">
        <v>0</v>
      </c>
      <c r="T1490">
        <v>0</v>
      </c>
      <c r="U1490">
        <v>0</v>
      </c>
      <c r="Y1490">
        <v>0</v>
      </c>
      <c r="Z1490">
        <v>0</v>
      </c>
      <c r="AA1490">
        <v>0</v>
      </c>
      <c r="AB1490">
        <v>0</v>
      </c>
      <c r="AC1490">
        <v>1</v>
      </c>
      <c r="AD1490">
        <v>847.4</v>
      </c>
      <c r="AI1490">
        <v>0</v>
      </c>
      <c r="AO1490">
        <v>-3.32</v>
      </c>
      <c r="AP1490">
        <v>6</v>
      </c>
      <c r="AQ1490">
        <v>847.4</v>
      </c>
      <c r="AR1490">
        <v>110</v>
      </c>
      <c r="AS1490">
        <v>760</v>
      </c>
      <c r="AT1490">
        <v>825</v>
      </c>
      <c r="AW1490" t="s">
        <v>454</v>
      </c>
      <c r="AX1490" t="s">
        <v>553</v>
      </c>
    </row>
    <row r="1491" spans="1:50" x14ac:dyDescent="0.45">
      <c r="A1491">
        <v>30047</v>
      </c>
      <c r="B1491">
        <v>1</v>
      </c>
      <c r="C1491">
        <v>87</v>
      </c>
      <c r="D1491">
        <v>6</v>
      </c>
      <c r="E1491">
        <v>0</v>
      </c>
      <c r="F1491">
        <v>0</v>
      </c>
      <c r="G1491">
        <v>0</v>
      </c>
      <c r="H1491">
        <v>0</v>
      </c>
      <c r="I1491">
        <v>0</v>
      </c>
      <c r="J1491">
        <v>0</v>
      </c>
      <c r="K1491">
        <v>7</v>
      </c>
      <c r="L1491">
        <v>0</v>
      </c>
      <c r="M1491">
        <v>0</v>
      </c>
      <c r="N1491">
        <v>0</v>
      </c>
      <c r="O1491">
        <v>0</v>
      </c>
      <c r="P1491">
        <v>0</v>
      </c>
      <c r="Q1491">
        <v>0</v>
      </c>
      <c r="R1491">
        <v>0</v>
      </c>
      <c r="S1491">
        <v>0</v>
      </c>
      <c r="T1491">
        <v>0</v>
      </c>
      <c r="U1491">
        <v>0</v>
      </c>
      <c r="Y1491">
        <v>0</v>
      </c>
      <c r="Z1491">
        <v>0</v>
      </c>
      <c r="AA1491">
        <v>0</v>
      </c>
      <c r="AB1491">
        <v>0</v>
      </c>
      <c r="AC1491">
        <v>1</v>
      </c>
      <c r="AD1491">
        <v>894.6</v>
      </c>
      <c r="AI1491">
        <v>0</v>
      </c>
      <c r="AO1491">
        <v>-4.04</v>
      </c>
      <c r="AP1491">
        <v>6</v>
      </c>
      <c r="AQ1491">
        <v>894.6</v>
      </c>
      <c r="AR1491">
        <v>110</v>
      </c>
      <c r="AS1491">
        <v>800</v>
      </c>
      <c r="AT1491">
        <v>900</v>
      </c>
      <c r="AW1491" t="s">
        <v>455</v>
      </c>
      <c r="AX1491" t="s">
        <v>554</v>
      </c>
    </row>
    <row r="1492" spans="1:50" x14ac:dyDescent="0.45">
      <c r="A1492">
        <v>30048</v>
      </c>
      <c r="B1492">
        <v>1</v>
      </c>
      <c r="C1492">
        <v>90</v>
      </c>
      <c r="D1492">
        <v>0</v>
      </c>
      <c r="E1492">
        <v>0</v>
      </c>
      <c r="F1492">
        <v>0</v>
      </c>
      <c r="G1492">
        <v>0</v>
      </c>
      <c r="H1492">
        <v>0</v>
      </c>
      <c r="I1492">
        <v>0</v>
      </c>
      <c r="J1492">
        <v>0</v>
      </c>
      <c r="K1492">
        <v>0</v>
      </c>
      <c r="L1492">
        <v>0</v>
      </c>
      <c r="M1492">
        <v>0</v>
      </c>
      <c r="N1492">
        <v>0</v>
      </c>
      <c r="O1492">
        <v>10</v>
      </c>
      <c r="P1492">
        <v>0</v>
      </c>
      <c r="Q1492">
        <v>0</v>
      </c>
      <c r="R1492">
        <v>0</v>
      </c>
      <c r="S1492">
        <v>0</v>
      </c>
      <c r="T1492">
        <v>0</v>
      </c>
      <c r="U1492">
        <v>0</v>
      </c>
      <c r="Y1492">
        <v>0</v>
      </c>
      <c r="Z1492">
        <v>0</v>
      </c>
      <c r="AA1492">
        <v>0</v>
      </c>
      <c r="AB1492">
        <v>0</v>
      </c>
      <c r="AC1492">
        <v>1</v>
      </c>
      <c r="AD1492">
        <v>882</v>
      </c>
      <c r="AF1492">
        <v>1</v>
      </c>
      <c r="AG1492">
        <v>0</v>
      </c>
      <c r="AH1492">
        <v>0</v>
      </c>
      <c r="AI1492">
        <v>0</v>
      </c>
      <c r="AO1492">
        <v>2.2000000000000002</v>
      </c>
      <c r="AP1492">
        <v>0</v>
      </c>
      <c r="AQ1492">
        <v>882</v>
      </c>
      <c r="AR1492">
        <v>100</v>
      </c>
      <c r="AS1492">
        <v>396</v>
      </c>
      <c r="AT1492">
        <v>504</v>
      </c>
      <c r="AW1492" t="s">
        <v>456</v>
      </c>
      <c r="AX1492" t="s">
        <v>555</v>
      </c>
    </row>
    <row r="1493" spans="1:50" x14ac:dyDescent="0.45">
      <c r="A1493">
        <v>30049</v>
      </c>
      <c r="B1493">
        <v>1</v>
      </c>
      <c r="C1493">
        <v>70</v>
      </c>
      <c r="D1493">
        <v>0</v>
      </c>
      <c r="E1493">
        <v>0</v>
      </c>
      <c r="F1493">
        <v>0</v>
      </c>
      <c r="G1493">
        <v>0</v>
      </c>
      <c r="H1493">
        <v>0</v>
      </c>
      <c r="I1493">
        <v>0</v>
      </c>
      <c r="J1493">
        <v>0</v>
      </c>
      <c r="K1493">
        <v>0</v>
      </c>
      <c r="L1493">
        <v>0</v>
      </c>
      <c r="M1493">
        <v>0</v>
      </c>
      <c r="N1493">
        <v>0</v>
      </c>
      <c r="O1493">
        <v>30</v>
      </c>
      <c r="P1493">
        <v>0</v>
      </c>
      <c r="Q1493">
        <v>0</v>
      </c>
      <c r="R1493">
        <v>0</v>
      </c>
      <c r="S1493">
        <v>0</v>
      </c>
      <c r="T1493">
        <v>0</v>
      </c>
      <c r="U1493">
        <v>0</v>
      </c>
      <c r="Y1493">
        <v>0</v>
      </c>
      <c r="Z1493">
        <v>0</v>
      </c>
      <c r="AA1493">
        <v>0</v>
      </c>
      <c r="AB1493">
        <v>0</v>
      </c>
      <c r="AC1493">
        <v>1</v>
      </c>
      <c r="AD1493">
        <v>882</v>
      </c>
      <c r="AF1493">
        <v>1</v>
      </c>
      <c r="AG1493">
        <v>0</v>
      </c>
      <c r="AH1493">
        <v>0</v>
      </c>
      <c r="AI1493">
        <v>0</v>
      </c>
      <c r="AO1493">
        <v>6.6</v>
      </c>
      <c r="AP1493">
        <v>0</v>
      </c>
      <c r="AQ1493">
        <v>882</v>
      </c>
      <c r="AR1493">
        <v>69</v>
      </c>
      <c r="AS1493">
        <v>441</v>
      </c>
      <c r="AT1493">
        <v>587</v>
      </c>
      <c r="AW1493" t="s">
        <v>456</v>
      </c>
      <c r="AX1493" t="s">
        <v>555</v>
      </c>
    </row>
    <row r="1494" spans="1:50" x14ac:dyDescent="0.45">
      <c r="A1494">
        <v>30050</v>
      </c>
      <c r="B1494">
        <v>1</v>
      </c>
      <c r="C1494">
        <v>50</v>
      </c>
      <c r="D1494">
        <v>0</v>
      </c>
      <c r="E1494">
        <v>0</v>
      </c>
      <c r="F1494">
        <v>0</v>
      </c>
      <c r="G1494">
        <v>0</v>
      </c>
      <c r="H1494">
        <v>0</v>
      </c>
      <c r="I1494">
        <v>0</v>
      </c>
      <c r="J1494">
        <v>0</v>
      </c>
      <c r="K1494">
        <v>0</v>
      </c>
      <c r="L1494">
        <v>0</v>
      </c>
      <c r="M1494">
        <v>0</v>
      </c>
      <c r="N1494">
        <v>0</v>
      </c>
      <c r="O1494">
        <v>50</v>
      </c>
      <c r="P1494">
        <v>0</v>
      </c>
      <c r="Q1494">
        <v>0</v>
      </c>
      <c r="R1494">
        <v>0</v>
      </c>
      <c r="S1494">
        <v>0</v>
      </c>
      <c r="T1494">
        <v>0</v>
      </c>
      <c r="U1494">
        <v>0</v>
      </c>
      <c r="Y1494">
        <v>0</v>
      </c>
      <c r="Z1494">
        <v>0</v>
      </c>
      <c r="AA1494">
        <v>0</v>
      </c>
      <c r="AB1494">
        <v>0</v>
      </c>
      <c r="AC1494">
        <v>1</v>
      </c>
      <c r="AD1494">
        <v>882</v>
      </c>
      <c r="AF1494">
        <v>1</v>
      </c>
      <c r="AG1494">
        <v>0</v>
      </c>
      <c r="AH1494">
        <v>0</v>
      </c>
      <c r="AI1494">
        <v>0</v>
      </c>
      <c r="AO1494">
        <v>11</v>
      </c>
      <c r="AP1494">
        <v>0</v>
      </c>
      <c r="AQ1494">
        <v>882</v>
      </c>
      <c r="AR1494">
        <v>88</v>
      </c>
      <c r="AS1494">
        <v>379</v>
      </c>
      <c r="AT1494">
        <v>530</v>
      </c>
      <c r="AW1494" t="s">
        <v>456</v>
      </c>
      <c r="AX1494" t="s">
        <v>555</v>
      </c>
    </row>
    <row r="1495" spans="1:50" x14ac:dyDescent="0.45">
      <c r="A1495">
        <v>30051</v>
      </c>
      <c r="B1495">
        <v>1</v>
      </c>
      <c r="C1495">
        <v>30</v>
      </c>
      <c r="D1495">
        <v>0</v>
      </c>
      <c r="E1495">
        <v>0</v>
      </c>
      <c r="F1495">
        <v>0</v>
      </c>
      <c r="G1495">
        <v>0</v>
      </c>
      <c r="H1495">
        <v>0</v>
      </c>
      <c r="I1495">
        <v>0</v>
      </c>
      <c r="J1495">
        <v>0</v>
      </c>
      <c r="K1495">
        <v>0</v>
      </c>
      <c r="L1495">
        <v>0</v>
      </c>
      <c r="M1495">
        <v>0</v>
      </c>
      <c r="N1495">
        <v>0</v>
      </c>
      <c r="O1495">
        <v>70</v>
      </c>
      <c r="P1495">
        <v>0</v>
      </c>
      <c r="Q1495">
        <v>0</v>
      </c>
      <c r="R1495">
        <v>0</v>
      </c>
      <c r="S1495">
        <v>0</v>
      </c>
      <c r="T1495">
        <v>0</v>
      </c>
      <c r="U1495">
        <v>0</v>
      </c>
      <c r="Y1495">
        <v>0</v>
      </c>
      <c r="Z1495">
        <v>0</v>
      </c>
      <c r="AA1495">
        <v>0</v>
      </c>
      <c r="AB1495">
        <v>0</v>
      </c>
      <c r="AC1495">
        <v>1</v>
      </c>
      <c r="AD1495">
        <v>882</v>
      </c>
      <c r="AF1495">
        <v>1</v>
      </c>
      <c r="AG1495">
        <v>0</v>
      </c>
      <c r="AH1495">
        <v>0</v>
      </c>
      <c r="AI1495">
        <v>0</v>
      </c>
      <c r="AO1495">
        <v>15.4</v>
      </c>
      <c r="AP1495">
        <v>0</v>
      </c>
      <c r="AQ1495">
        <v>882</v>
      </c>
      <c r="AR1495">
        <v>67</v>
      </c>
      <c r="AS1495">
        <v>373</v>
      </c>
      <c r="AT1495">
        <v>600</v>
      </c>
      <c r="AW1495" t="s">
        <v>456</v>
      </c>
      <c r="AX1495" t="s">
        <v>555</v>
      </c>
    </row>
    <row r="1496" spans="1:50" x14ac:dyDescent="0.45">
      <c r="A1496">
        <v>30052</v>
      </c>
      <c r="B1496">
        <v>1</v>
      </c>
      <c r="C1496">
        <v>61</v>
      </c>
      <c r="D1496">
        <v>0</v>
      </c>
      <c r="E1496">
        <v>0</v>
      </c>
      <c r="F1496">
        <v>0</v>
      </c>
      <c r="G1496">
        <v>0</v>
      </c>
      <c r="H1496">
        <v>0</v>
      </c>
      <c r="I1496">
        <v>0</v>
      </c>
      <c r="J1496">
        <v>0</v>
      </c>
      <c r="K1496">
        <v>35</v>
      </c>
      <c r="L1496">
        <v>0</v>
      </c>
      <c r="M1496">
        <v>4</v>
      </c>
      <c r="N1496">
        <v>0</v>
      </c>
      <c r="O1496">
        <v>0</v>
      </c>
      <c r="P1496">
        <v>0</v>
      </c>
      <c r="Q1496">
        <v>0</v>
      </c>
      <c r="R1496">
        <v>0</v>
      </c>
      <c r="S1496">
        <v>0</v>
      </c>
      <c r="T1496">
        <v>0</v>
      </c>
      <c r="U1496">
        <v>0</v>
      </c>
      <c r="Y1496">
        <v>0</v>
      </c>
      <c r="Z1496">
        <v>0</v>
      </c>
      <c r="AA1496">
        <v>0</v>
      </c>
      <c r="AB1496">
        <v>0</v>
      </c>
      <c r="AC1496">
        <v>1</v>
      </c>
      <c r="AD1496">
        <v>898.8</v>
      </c>
      <c r="AF1496">
        <v>1</v>
      </c>
      <c r="AG1496">
        <v>0</v>
      </c>
      <c r="AH1496">
        <v>0</v>
      </c>
      <c r="AI1496">
        <v>0</v>
      </c>
      <c r="AO1496">
        <v>9.8000000000000007</v>
      </c>
      <c r="AP1496">
        <v>1.3333333333333333</v>
      </c>
      <c r="AQ1496">
        <v>898.8</v>
      </c>
      <c r="AR1496">
        <v>55</v>
      </c>
      <c r="AS1496">
        <v>376</v>
      </c>
      <c r="AT1496">
        <v>480</v>
      </c>
      <c r="AW1496" t="s">
        <v>253</v>
      </c>
      <c r="AX1496" t="s">
        <v>556</v>
      </c>
    </row>
    <row r="1497" spans="1:50" x14ac:dyDescent="0.45">
      <c r="A1497">
        <v>30053</v>
      </c>
      <c r="B1497">
        <v>1</v>
      </c>
      <c r="C1497">
        <v>57</v>
      </c>
      <c r="D1497">
        <v>0</v>
      </c>
      <c r="E1497">
        <v>0</v>
      </c>
      <c r="F1497">
        <v>0</v>
      </c>
      <c r="G1497">
        <v>0</v>
      </c>
      <c r="H1497">
        <v>0</v>
      </c>
      <c r="I1497">
        <v>0</v>
      </c>
      <c r="J1497">
        <v>0</v>
      </c>
      <c r="K1497">
        <v>35</v>
      </c>
      <c r="L1497">
        <v>0</v>
      </c>
      <c r="M1497">
        <v>8</v>
      </c>
      <c r="N1497">
        <v>0</v>
      </c>
      <c r="O1497">
        <v>0</v>
      </c>
      <c r="P1497">
        <v>0</v>
      </c>
      <c r="Q1497">
        <v>0</v>
      </c>
      <c r="R1497">
        <v>0</v>
      </c>
      <c r="S1497">
        <v>0</v>
      </c>
      <c r="T1497">
        <v>0</v>
      </c>
      <c r="U1497">
        <v>0</v>
      </c>
      <c r="Y1497">
        <v>0</v>
      </c>
      <c r="Z1497">
        <v>0</v>
      </c>
      <c r="AA1497">
        <v>0</v>
      </c>
      <c r="AB1497">
        <v>0</v>
      </c>
      <c r="AC1497">
        <v>1</v>
      </c>
      <c r="AD1497">
        <v>915.6</v>
      </c>
      <c r="AF1497">
        <v>1</v>
      </c>
      <c r="AG1497">
        <v>0</v>
      </c>
      <c r="AH1497">
        <v>0</v>
      </c>
      <c r="AI1497">
        <v>0</v>
      </c>
      <c r="AO1497">
        <v>9.8000000000000007</v>
      </c>
      <c r="AP1497">
        <v>2.6666666666666665</v>
      </c>
      <c r="AQ1497">
        <v>915.6</v>
      </c>
      <c r="AR1497">
        <v>61</v>
      </c>
      <c r="AS1497">
        <v>444</v>
      </c>
      <c r="AT1497">
        <v>480</v>
      </c>
      <c r="AW1497" t="s">
        <v>253</v>
      </c>
      <c r="AX1497" t="s">
        <v>556</v>
      </c>
    </row>
    <row r="1498" spans="1:50" x14ac:dyDescent="0.45">
      <c r="A1498">
        <v>30054</v>
      </c>
      <c r="B1498">
        <v>1</v>
      </c>
      <c r="C1498">
        <v>53.4</v>
      </c>
      <c r="D1498">
        <v>0</v>
      </c>
      <c r="E1498">
        <v>0</v>
      </c>
      <c r="F1498">
        <v>0</v>
      </c>
      <c r="G1498">
        <v>0</v>
      </c>
      <c r="H1498">
        <v>0</v>
      </c>
      <c r="I1498">
        <v>0</v>
      </c>
      <c r="J1498">
        <v>4.5999999999999996</v>
      </c>
      <c r="K1498">
        <v>29</v>
      </c>
      <c r="L1498">
        <v>0</v>
      </c>
      <c r="M1498">
        <v>0</v>
      </c>
      <c r="N1498">
        <v>0</v>
      </c>
      <c r="O1498">
        <v>13</v>
      </c>
      <c r="P1498">
        <v>0</v>
      </c>
      <c r="Q1498">
        <v>0</v>
      </c>
      <c r="R1498">
        <v>0</v>
      </c>
      <c r="S1498">
        <v>0</v>
      </c>
      <c r="T1498">
        <v>0</v>
      </c>
      <c r="U1498">
        <v>0</v>
      </c>
      <c r="Y1498">
        <v>0</v>
      </c>
      <c r="Z1498">
        <v>0</v>
      </c>
      <c r="AA1498">
        <v>0</v>
      </c>
      <c r="AB1498">
        <v>0</v>
      </c>
      <c r="AC1498">
        <v>1</v>
      </c>
      <c r="AD1498">
        <v>850.26</v>
      </c>
      <c r="AF1498">
        <v>1</v>
      </c>
      <c r="AG1498">
        <v>0</v>
      </c>
      <c r="AH1498">
        <v>0</v>
      </c>
      <c r="AI1498">
        <v>0</v>
      </c>
      <c r="AO1498">
        <v>10.98</v>
      </c>
      <c r="AP1498">
        <v>0.76666666666666661</v>
      </c>
      <c r="AQ1498">
        <v>850.26</v>
      </c>
      <c r="AR1498">
        <v>55</v>
      </c>
      <c r="AS1498">
        <v>257</v>
      </c>
      <c r="AT1498">
        <v>535</v>
      </c>
      <c r="AW1498" t="s">
        <v>242</v>
      </c>
      <c r="AX1498" t="s">
        <v>557</v>
      </c>
    </row>
    <row r="1499" spans="1:50" x14ac:dyDescent="0.45">
      <c r="A1499">
        <v>30055</v>
      </c>
      <c r="B1499">
        <v>1</v>
      </c>
      <c r="C1499">
        <v>67</v>
      </c>
      <c r="D1499">
        <v>0</v>
      </c>
      <c r="E1499">
        <v>0</v>
      </c>
      <c r="F1499">
        <v>0</v>
      </c>
      <c r="G1499">
        <v>0</v>
      </c>
      <c r="H1499">
        <v>0</v>
      </c>
      <c r="I1499">
        <v>0</v>
      </c>
      <c r="J1499">
        <v>0</v>
      </c>
      <c r="K1499">
        <v>16</v>
      </c>
      <c r="L1499">
        <v>4</v>
      </c>
      <c r="M1499">
        <v>0</v>
      </c>
      <c r="N1499">
        <v>0</v>
      </c>
      <c r="O1499">
        <v>13</v>
      </c>
      <c r="P1499">
        <v>0</v>
      </c>
      <c r="Q1499">
        <v>0</v>
      </c>
      <c r="R1499">
        <v>0</v>
      </c>
      <c r="S1499">
        <v>0</v>
      </c>
      <c r="T1499">
        <v>0</v>
      </c>
      <c r="U1499">
        <v>0</v>
      </c>
      <c r="Y1499">
        <v>0</v>
      </c>
      <c r="Z1499">
        <v>0</v>
      </c>
      <c r="AA1499">
        <v>0</v>
      </c>
      <c r="AB1499">
        <v>0</v>
      </c>
      <c r="AC1499">
        <v>1</v>
      </c>
      <c r="AD1499">
        <v>844</v>
      </c>
      <c r="AF1499">
        <v>1</v>
      </c>
      <c r="AG1499">
        <v>0</v>
      </c>
      <c r="AH1499">
        <v>0</v>
      </c>
      <c r="AI1499">
        <v>0</v>
      </c>
      <c r="AO1499">
        <v>11.34</v>
      </c>
      <c r="AP1499">
        <v>0</v>
      </c>
      <c r="AQ1499">
        <v>844</v>
      </c>
      <c r="AR1499">
        <v>50</v>
      </c>
      <c r="AS1499">
        <v>557</v>
      </c>
      <c r="AT1499">
        <v>641</v>
      </c>
      <c r="AW1499" t="s">
        <v>242</v>
      </c>
      <c r="AX1499" t="s">
        <v>557</v>
      </c>
    </row>
    <row r="1500" spans="1:50" x14ac:dyDescent="0.45">
      <c r="A1500">
        <v>30056</v>
      </c>
      <c r="B1500">
        <v>1</v>
      </c>
      <c r="C1500">
        <v>58</v>
      </c>
      <c r="D1500">
        <v>0</v>
      </c>
      <c r="E1500">
        <v>0</v>
      </c>
      <c r="F1500">
        <v>0</v>
      </c>
      <c r="G1500">
        <v>0</v>
      </c>
      <c r="H1500">
        <v>0</v>
      </c>
      <c r="I1500">
        <v>0</v>
      </c>
      <c r="J1500">
        <v>0</v>
      </c>
      <c r="K1500">
        <v>29</v>
      </c>
      <c r="L1500">
        <v>0</v>
      </c>
      <c r="M1500">
        <v>0</v>
      </c>
      <c r="N1500">
        <v>0</v>
      </c>
      <c r="O1500">
        <v>13</v>
      </c>
      <c r="P1500">
        <v>0</v>
      </c>
      <c r="Q1500">
        <v>0</v>
      </c>
      <c r="R1500">
        <v>0</v>
      </c>
      <c r="S1500">
        <v>0</v>
      </c>
      <c r="T1500">
        <v>0</v>
      </c>
      <c r="U1500">
        <v>0</v>
      </c>
      <c r="Y1500">
        <v>0</v>
      </c>
      <c r="Z1500">
        <v>0</v>
      </c>
      <c r="AA1500">
        <v>0</v>
      </c>
      <c r="AB1500">
        <v>0</v>
      </c>
      <c r="AC1500">
        <v>1</v>
      </c>
      <c r="AD1500">
        <v>882</v>
      </c>
      <c r="AF1500">
        <v>1</v>
      </c>
      <c r="AG1500">
        <v>0</v>
      </c>
      <c r="AH1500">
        <v>0</v>
      </c>
      <c r="AI1500">
        <v>0</v>
      </c>
      <c r="AO1500">
        <v>10.98</v>
      </c>
      <c r="AP1500">
        <v>0</v>
      </c>
      <c r="AQ1500">
        <v>882</v>
      </c>
      <c r="AR1500">
        <v>66</v>
      </c>
      <c r="AS1500">
        <v>213</v>
      </c>
      <c r="AT1500">
        <v>572</v>
      </c>
      <c r="AW1500" t="s">
        <v>242</v>
      </c>
      <c r="AX1500" t="s">
        <v>557</v>
      </c>
    </row>
    <row r="1501" spans="1:50" x14ac:dyDescent="0.45">
      <c r="A1501">
        <v>30057</v>
      </c>
      <c r="B1501">
        <v>1</v>
      </c>
      <c r="C1501">
        <v>54</v>
      </c>
      <c r="D1501">
        <v>0</v>
      </c>
      <c r="E1501">
        <v>0</v>
      </c>
      <c r="F1501">
        <v>0</v>
      </c>
      <c r="G1501">
        <v>0</v>
      </c>
      <c r="H1501">
        <v>0</v>
      </c>
      <c r="I1501">
        <v>0</v>
      </c>
      <c r="J1501">
        <v>0</v>
      </c>
      <c r="K1501">
        <v>29</v>
      </c>
      <c r="L1501">
        <v>4</v>
      </c>
      <c r="M1501">
        <v>0</v>
      </c>
      <c r="N1501">
        <v>0</v>
      </c>
      <c r="O1501">
        <v>13</v>
      </c>
      <c r="P1501">
        <v>0</v>
      </c>
      <c r="Q1501">
        <v>0</v>
      </c>
      <c r="R1501">
        <v>0</v>
      </c>
      <c r="S1501">
        <v>0</v>
      </c>
      <c r="T1501">
        <v>0</v>
      </c>
      <c r="U1501">
        <v>0</v>
      </c>
      <c r="Y1501">
        <v>0</v>
      </c>
      <c r="Z1501">
        <v>0</v>
      </c>
      <c r="AA1501">
        <v>0</v>
      </c>
      <c r="AB1501">
        <v>0</v>
      </c>
      <c r="AC1501">
        <v>1</v>
      </c>
      <c r="AD1501">
        <v>844</v>
      </c>
      <c r="AF1501">
        <v>1</v>
      </c>
      <c r="AG1501">
        <v>0</v>
      </c>
      <c r="AH1501">
        <v>0</v>
      </c>
      <c r="AI1501">
        <v>0</v>
      </c>
      <c r="AO1501">
        <v>14.98</v>
      </c>
      <c r="AP1501">
        <v>0</v>
      </c>
      <c r="AQ1501">
        <v>844</v>
      </c>
      <c r="AR1501">
        <v>53</v>
      </c>
      <c r="AS1501">
        <v>599</v>
      </c>
      <c r="AT1501">
        <v>608</v>
      </c>
      <c r="AW1501" t="s">
        <v>242</v>
      </c>
      <c r="AX1501" t="s">
        <v>557</v>
      </c>
    </row>
    <row r="1502" spans="1:50" x14ac:dyDescent="0.45">
      <c r="A1502">
        <v>30058</v>
      </c>
      <c r="B1502">
        <v>1</v>
      </c>
      <c r="C1502">
        <v>56</v>
      </c>
      <c r="D1502">
        <v>0</v>
      </c>
      <c r="E1502">
        <v>0</v>
      </c>
      <c r="F1502">
        <v>0</v>
      </c>
      <c r="G1502">
        <v>0</v>
      </c>
      <c r="H1502">
        <v>0</v>
      </c>
      <c r="I1502">
        <v>0</v>
      </c>
      <c r="J1502">
        <v>0</v>
      </c>
      <c r="K1502">
        <v>29</v>
      </c>
      <c r="L1502">
        <v>0</v>
      </c>
      <c r="M1502">
        <v>2</v>
      </c>
      <c r="N1502">
        <v>0</v>
      </c>
      <c r="O1502">
        <v>13</v>
      </c>
      <c r="P1502">
        <v>0</v>
      </c>
      <c r="Q1502">
        <v>0</v>
      </c>
      <c r="R1502">
        <v>0</v>
      </c>
      <c r="S1502">
        <v>0</v>
      </c>
      <c r="T1502">
        <v>0</v>
      </c>
      <c r="U1502">
        <v>0</v>
      </c>
      <c r="Y1502">
        <v>0</v>
      </c>
      <c r="Z1502">
        <v>0</v>
      </c>
      <c r="AA1502">
        <v>0</v>
      </c>
      <c r="AB1502">
        <v>0</v>
      </c>
      <c r="AC1502">
        <v>1</v>
      </c>
      <c r="AD1502">
        <v>890.4</v>
      </c>
      <c r="AF1502">
        <v>1</v>
      </c>
      <c r="AG1502">
        <v>0</v>
      </c>
      <c r="AH1502">
        <v>0</v>
      </c>
      <c r="AI1502">
        <v>0</v>
      </c>
      <c r="AO1502">
        <v>10.98</v>
      </c>
      <c r="AP1502">
        <v>0.66666666666666663</v>
      </c>
      <c r="AQ1502">
        <v>890.4</v>
      </c>
      <c r="AR1502">
        <v>48</v>
      </c>
      <c r="AS1502">
        <v>432</v>
      </c>
      <c r="AT1502">
        <v>497</v>
      </c>
      <c r="AW1502" t="s">
        <v>242</v>
      </c>
      <c r="AX1502" t="s">
        <v>557</v>
      </c>
    </row>
    <row r="1503" spans="1:50" x14ac:dyDescent="0.45">
      <c r="A1503">
        <v>30059</v>
      </c>
      <c r="B1503">
        <v>1</v>
      </c>
      <c r="C1503">
        <v>53.4</v>
      </c>
      <c r="D1503">
        <v>0</v>
      </c>
      <c r="E1503">
        <v>0</v>
      </c>
      <c r="F1503">
        <v>0</v>
      </c>
      <c r="G1503">
        <v>0</v>
      </c>
      <c r="H1503">
        <v>0</v>
      </c>
      <c r="I1503">
        <v>0</v>
      </c>
      <c r="J1503">
        <v>0</v>
      </c>
      <c r="K1503">
        <v>29</v>
      </c>
      <c r="L1503">
        <v>0</v>
      </c>
      <c r="M1503">
        <v>4.5999999999999996</v>
      </c>
      <c r="N1503">
        <v>0</v>
      </c>
      <c r="O1503">
        <v>13</v>
      </c>
      <c r="P1503">
        <v>0</v>
      </c>
      <c r="Q1503">
        <v>0</v>
      </c>
      <c r="R1503">
        <v>0</v>
      </c>
      <c r="S1503">
        <v>0</v>
      </c>
      <c r="T1503">
        <v>0</v>
      </c>
      <c r="U1503">
        <v>0</v>
      </c>
      <c r="Y1503">
        <v>0</v>
      </c>
      <c r="Z1503">
        <v>0</v>
      </c>
      <c r="AA1503">
        <v>0</v>
      </c>
      <c r="AB1503">
        <v>0</v>
      </c>
      <c r="AC1503">
        <v>1</v>
      </c>
      <c r="AD1503">
        <v>901.32</v>
      </c>
      <c r="AF1503">
        <v>1</v>
      </c>
      <c r="AG1503">
        <v>0</v>
      </c>
      <c r="AH1503">
        <v>0</v>
      </c>
      <c r="AI1503">
        <v>0</v>
      </c>
      <c r="AO1503">
        <v>10.98</v>
      </c>
      <c r="AP1503">
        <v>1.5333333333333332</v>
      </c>
      <c r="AQ1503">
        <v>901.32</v>
      </c>
      <c r="AR1503">
        <v>55</v>
      </c>
      <c r="AS1503">
        <v>367</v>
      </c>
      <c r="AT1503">
        <v>528</v>
      </c>
      <c r="AW1503" t="s">
        <v>242</v>
      </c>
      <c r="AX1503" t="s">
        <v>557</v>
      </c>
    </row>
    <row r="1504" spans="1:50" x14ac:dyDescent="0.45">
      <c r="A1504">
        <v>30060</v>
      </c>
      <c r="B1504">
        <v>1</v>
      </c>
      <c r="C1504">
        <v>52</v>
      </c>
      <c r="D1504">
        <v>0</v>
      </c>
      <c r="E1504">
        <v>0</v>
      </c>
      <c r="F1504">
        <v>0</v>
      </c>
      <c r="G1504">
        <v>0</v>
      </c>
      <c r="H1504">
        <v>0</v>
      </c>
      <c r="I1504">
        <v>0</v>
      </c>
      <c r="J1504">
        <v>0</v>
      </c>
      <c r="K1504">
        <v>29</v>
      </c>
      <c r="L1504">
        <v>0</v>
      </c>
      <c r="M1504">
        <v>6</v>
      </c>
      <c r="N1504">
        <v>0</v>
      </c>
      <c r="O1504">
        <v>13</v>
      </c>
      <c r="P1504">
        <v>0</v>
      </c>
      <c r="Q1504">
        <v>0</v>
      </c>
      <c r="R1504">
        <v>0</v>
      </c>
      <c r="S1504">
        <v>0</v>
      </c>
      <c r="T1504">
        <v>0</v>
      </c>
      <c r="U1504">
        <v>0</v>
      </c>
      <c r="Y1504">
        <v>0</v>
      </c>
      <c r="Z1504">
        <v>0</v>
      </c>
      <c r="AA1504">
        <v>0</v>
      </c>
      <c r="AB1504">
        <v>0</v>
      </c>
      <c r="AC1504">
        <v>1</v>
      </c>
      <c r="AD1504">
        <v>907.2</v>
      </c>
      <c r="AF1504">
        <v>1</v>
      </c>
      <c r="AG1504">
        <v>0</v>
      </c>
      <c r="AH1504">
        <v>0</v>
      </c>
      <c r="AI1504">
        <v>0</v>
      </c>
      <c r="AO1504">
        <v>10.98</v>
      </c>
      <c r="AP1504">
        <v>2</v>
      </c>
      <c r="AQ1504">
        <v>907.2</v>
      </c>
      <c r="AR1504">
        <v>69</v>
      </c>
      <c r="AS1504">
        <v>501</v>
      </c>
      <c r="AT1504">
        <v>523</v>
      </c>
      <c r="AW1504" t="s">
        <v>242</v>
      </c>
      <c r="AX1504" t="s">
        <v>557</v>
      </c>
    </row>
    <row r="1505" spans="1:50" x14ac:dyDescent="0.45">
      <c r="A1505">
        <v>30061</v>
      </c>
      <c r="B1505">
        <v>1</v>
      </c>
      <c r="C1505">
        <v>83</v>
      </c>
      <c r="D1505">
        <v>0</v>
      </c>
      <c r="E1505">
        <v>0</v>
      </c>
      <c r="F1505">
        <v>0</v>
      </c>
      <c r="G1505">
        <v>0</v>
      </c>
      <c r="H1505">
        <v>6</v>
      </c>
      <c r="I1505">
        <v>0</v>
      </c>
      <c r="J1505">
        <v>0</v>
      </c>
      <c r="K1505">
        <v>11</v>
      </c>
      <c r="L1505">
        <v>0</v>
      </c>
      <c r="M1505">
        <v>0</v>
      </c>
      <c r="N1505">
        <v>0</v>
      </c>
      <c r="O1505">
        <v>0</v>
      </c>
      <c r="P1505">
        <v>0</v>
      </c>
      <c r="Q1505">
        <v>0</v>
      </c>
      <c r="R1505">
        <v>0</v>
      </c>
      <c r="S1505">
        <v>0</v>
      </c>
      <c r="T1505">
        <v>0</v>
      </c>
      <c r="U1505">
        <v>0</v>
      </c>
      <c r="V1505">
        <v>0</v>
      </c>
      <c r="Y1505">
        <v>1</v>
      </c>
      <c r="Z1505">
        <v>0</v>
      </c>
      <c r="AA1505">
        <v>0</v>
      </c>
      <c r="AB1505">
        <v>0</v>
      </c>
      <c r="AC1505">
        <v>0</v>
      </c>
      <c r="AI1505">
        <v>0</v>
      </c>
      <c r="AO1505">
        <v>20.479999999999997</v>
      </c>
      <c r="AP1505">
        <v>0</v>
      </c>
      <c r="AQ1505">
        <v>789.6</v>
      </c>
      <c r="AR1505">
        <v>89</v>
      </c>
      <c r="AS1505">
        <v>1137</v>
      </c>
      <c r="AV1505">
        <v>357</v>
      </c>
      <c r="AW1505" t="s">
        <v>457</v>
      </c>
      <c r="AX1505" t="s">
        <v>558</v>
      </c>
    </row>
    <row r="1506" spans="1:50" x14ac:dyDescent="0.45">
      <c r="A1506">
        <v>30062</v>
      </c>
      <c r="B1506">
        <v>1</v>
      </c>
      <c r="C1506">
        <v>80</v>
      </c>
      <c r="D1506">
        <v>0</v>
      </c>
      <c r="E1506">
        <v>0</v>
      </c>
      <c r="F1506">
        <v>0</v>
      </c>
      <c r="G1506">
        <v>0</v>
      </c>
      <c r="H1506">
        <v>9</v>
      </c>
      <c r="I1506">
        <v>0</v>
      </c>
      <c r="J1506">
        <v>0</v>
      </c>
      <c r="K1506">
        <v>11</v>
      </c>
      <c r="L1506">
        <v>0</v>
      </c>
      <c r="M1506">
        <v>0</v>
      </c>
      <c r="N1506">
        <v>0</v>
      </c>
      <c r="O1506">
        <v>0</v>
      </c>
      <c r="P1506">
        <v>0</v>
      </c>
      <c r="Q1506">
        <v>0</v>
      </c>
      <c r="R1506">
        <v>0</v>
      </c>
      <c r="S1506">
        <v>0</v>
      </c>
      <c r="T1506">
        <v>0</v>
      </c>
      <c r="U1506">
        <v>0</v>
      </c>
      <c r="V1506">
        <v>0</v>
      </c>
      <c r="Y1506">
        <v>1</v>
      </c>
      <c r="Z1506">
        <v>0</v>
      </c>
      <c r="AA1506">
        <v>0</v>
      </c>
      <c r="AB1506">
        <v>0</v>
      </c>
      <c r="AC1506">
        <v>0</v>
      </c>
      <c r="AI1506">
        <v>0</v>
      </c>
      <c r="AO1506">
        <v>29.18</v>
      </c>
      <c r="AP1506">
        <v>0</v>
      </c>
      <c r="AQ1506">
        <v>743.4</v>
      </c>
      <c r="AR1506">
        <v>82</v>
      </c>
      <c r="AS1506">
        <v>1078</v>
      </c>
      <c r="AV1506">
        <v>334</v>
      </c>
      <c r="AW1506" t="s">
        <v>457</v>
      </c>
      <c r="AX1506" t="s">
        <v>558</v>
      </c>
    </row>
    <row r="1507" spans="1:50" x14ac:dyDescent="0.45">
      <c r="A1507">
        <v>30063</v>
      </c>
      <c r="B1507">
        <v>1</v>
      </c>
      <c r="C1507">
        <v>82</v>
      </c>
      <c r="D1507">
        <v>5</v>
      </c>
      <c r="E1507">
        <v>5</v>
      </c>
      <c r="F1507">
        <v>3</v>
      </c>
      <c r="G1507">
        <v>0</v>
      </c>
      <c r="H1507">
        <v>0</v>
      </c>
      <c r="I1507">
        <v>0</v>
      </c>
      <c r="J1507">
        <v>0</v>
      </c>
      <c r="K1507">
        <v>0</v>
      </c>
      <c r="L1507">
        <v>5</v>
      </c>
      <c r="M1507">
        <v>0</v>
      </c>
      <c r="N1507">
        <v>0</v>
      </c>
      <c r="O1507">
        <v>0</v>
      </c>
      <c r="P1507">
        <v>0</v>
      </c>
      <c r="Q1507">
        <v>0</v>
      </c>
      <c r="R1507">
        <v>0</v>
      </c>
      <c r="S1507">
        <v>0</v>
      </c>
      <c r="T1507">
        <v>0</v>
      </c>
      <c r="U1507">
        <v>0</v>
      </c>
      <c r="Y1507">
        <v>0</v>
      </c>
      <c r="Z1507">
        <v>0</v>
      </c>
      <c r="AA1507">
        <v>0</v>
      </c>
      <c r="AB1507">
        <v>0</v>
      </c>
      <c r="AC1507">
        <v>1</v>
      </c>
      <c r="AD1507">
        <v>749.7</v>
      </c>
      <c r="AF1507">
        <v>1</v>
      </c>
      <c r="AG1507">
        <v>0</v>
      </c>
      <c r="AH1507">
        <v>0</v>
      </c>
      <c r="AI1507">
        <v>0</v>
      </c>
      <c r="AO1507">
        <v>8.15</v>
      </c>
      <c r="AP1507">
        <v>5</v>
      </c>
      <c r="AQ1507">
        <v>749.7</v>
      </c>
      <c r="AR1507">
        <v>115</v>
      </c>
      <c r="AS1507">
        <v>636</v>
      </c>
      <c r="AV1507">
        <v>314</v>
      </c>
      <c r="AW1507" t="s">
        <v>458</v>
      </c>
      <c r="AX1507" t="s">
        <v>559</v>
      </c>
    </row>
    <row r="1508" spans="1:50" x14ac:dyDescent="0.45">
      <c r="A1508">
        <v>30064</v>
      </c>
      <c r="B1508">
        <v>1</v>
      </c>
      <c r="C1508">
        <v>90</v>
      </c>
      <c r="D1508">
        <v>0</v>
      </c>
      <c r="E1508">
        <v>0</v>
      </c>
      <c r="F1508">
        <v>0</v>
      </c>
      <c r="G1508">
        <v>0</v>
      </c>
      <c r="H1508">
        <v>0</v>
      </c>
      <c r="I1508">
        <v>0</v>
      </c>
      <c r="J1508">
        <v>0</v>
      </c>
      <c r="K1508">
        <v>0</v>
      </c>
      <c r="L1508">
        <v>10</v>
      </c>
      <c r="M1508">
        <v>0</v>
      </c>
      <c r="N1508">
        <v>0</v>
      </c>
      <c r="O1508">
        <v>0</v>
      </c>
      <c r="P1508">
        <v>0</v>
      </c>
      <c r="Q1508">
        <v>0</v>
      </c>
      <c r="R1508">
        <v>0</v>
      </c>
      <c r="S1508">
        <v>0</v>
      </c>
      <c r="T1508">
        <v>0</v>
      </c>
      <c r="U1508">
        <v>0</v>
      </c>
      <c r="Y1508">
        <v>0</v>
      </c>
      <c r="Z1508">
        <v>0</v>
      </c>
      <c r="AA1508">
        <v>0</v>
      </c>
      <c r="AB1508">
        <v>0</v>
      </c>
      <c r="AC1508">
        <v>1</v>
      </c>
      <c r="AD1508">
        <v>787</v>
      </c>
      <c r="AF1508">
        <v>1</v>
      </c>
      <c r="AG1508">
        <v>0</v>
      </c>
      <c r="AH1508">
        <v>0</v>
      </c>
      <c r="AI1508">
        <v>0</v>
      </c>
      <c r="AO1508">
        <v>10</v>
      </c>
      <c r="AP1508">
        <v>0</v>
      </c>
      <c r="AQ1508">
        <v>787</v>
      </c>
      <c r="AR1508">
        <v>93</v>
      </c>
      <c r="AS1508">
        <v>731</v>
      </c>
      <c r="AW1508" t="s">
        <v>459</v>
      </c>
      <c r="AX1508" t="s">
        <v>560</v>
      </c>
    </row>
    <row r="1509" spans="1:50" x14ac:dyDescent="0.45">
      <c r="A1509">
        <v>30065</v>
      </c>
      <c r="B1509">
        <v>1</v>
      </c>
      <c r="C1509">
        <v>80</v>
      </c>
      <c r="D1509">
        <v>0</v>
      </c>
      <c r="E1509">
        <v>0</v>
      </c>
      <c r="F1509">
        <v>0</v>
      </c>
      <c r="G1509">
        <v>0</v>
      </c>
      <c r="H1509">
        <v>0</v>
      </c>
      <c r="I1509">
        <v>0</v>
      </c>
      <c r="J1509">
        <v>0</v>
      </c>
      <c r="K1509">
        <v>0</v>
      </c>
      <c r="L1509">
        <v>20</v>
      </c>
      <c r="M1509">
        <v>0</v>
      </c>
      <c r="N1509">
        <v>0</v>
      </c>
      <c r="O1509">
        <v>0</v>
      </c>
      <c r="P1509">
        <v>0</v>
      </c>
      <c r="Q1509">
        <v>0</v>
      </c>
      <c r="R1509">
        <v>0</v>
      </c>
      <c r="S1509">
        <v>0</v>
      </c>
      <c r="T1509">
        <v>0</v>
      </c>
      <c r="U1509">
        <v>0</v>
      </c>
      <c r="Y1509">
        <v>0</v>
      </c>
      <c r="Z1509">
        <v>0</v>
      </c>
      <c r="AA1509">
        <v>0</v>
      </c>
      <c r="AB1509">
        <v>0</v>
      </c>
      <c r="AC1509">
        <v>1</v>
      </c>
      <c r="AD1509">
        <v>692</v>
      </c>
      <c r="AF1509">
        <v>1</v>
      </c>
      <c r="AG1509">
        <v>0</v>
      </c>
      <c r="AH1509">
        <v>0</v>
      </c>
      <c r="AI1509">
        <v>0</v>
      </c>
      <c r="AO1509">
        <v>20</v>
      </c>
      <c r="AP1509">
        <v>0</v>
      </c>
      <c r="AQ1509">
        <v>692</v>
      </c>
      <c r="AR1509">
        <v>75</v>
      </c>
      <c r="AS1509">
        <v>823</v>
      </c>
      <c r="AW1509" t="s">
        <v>459</v>
      </c>
      <c r="AX1509" t="s">
        <v>560</v>
      </c>
    </row>
    <row r="1510" spans="1:50" x14ac:dyDescent="0.45">
      <c r="A1510">
        <v>30066</v>
      </c>
      <c r="B1510">
        <v>1</v>
      </c>
      <c r="C1510">
        <v>90</v>
      </c>
      <c r="D1510">
        <v>0</v>
      </c>
      <c r="E1510">
        <v>0</v>
      </c>
      <c r="F1510">
        <v>0</v>
      </c>
      <c r="G1510">
        <v>0</v>
      </c>
      <c r="H1510">
        <v>0</v>
      </c>
      <c r="I1510">
        <v>0</v>
      </c>
      <c r="J1510">
        <v>0</v>
      </c>
      <c r="K1510">
        <v>0</v>
      </c>
      <c r="L1510">
        <v>10</v>
      </c>
      <c r="M1510">
        <v>0</v>
      </c>
      <c r="N1510">
        <v>0</v>
      </c>
      <c r="O1510">
        <v>0</v>
      </c>
      <c r="P1510">
        <v>0</v>
      </c>
      <c r="Q1510">
        <v>0</v>
      </c>
      <c r="R1510">
        <v>0</v>
      </c>
      <c r="S1510">
        <v>0</v>
      </c>
      <c r="T1510">
        <v>0</v>
      </c>
      <c r="U1510">
        <v>0</v>
      </c>
      <c r="V1510">
        <v>0</v>
      </c>
      <c r="Y1510">
        <v>1</v>
      </c>
      <c r="Z1510">
        <v>0</v>
      </c>
      <c r="AA1510">
        <v>0</v>
      </c>
      <c r="AB1510">
        <v>0</v>
      </c>
      <c r="AC1510">
        <v>0</v>
      </c>
      <c r="AI1510">
        <v>0</v>
      </c>
      <c r="AO1510">
        <v>10</v>
      </c>
      <c r="AP1510">
        <v>0</v>
      </c>
      <c r="AQ1510">
        <v>787</v>
      </c>
      <c r="AR1510">
        <v>77.599999999999994</v>
      </c>
      <c r="AS1510">
        <v>862</v>
      </c>
      <c r="AT1510">
        <v>916</v>
      </c>
      <c r="AW1510" t="s">
        <v>460</v>
      </c>
      <c r="AX1510" t="s">
        <v>561</v>
      </c>
    </row>
    <row r="1511" spans="1:50" x14ac:dyDescent="0.45">
      <c r="A1511">
        <v>30067</v>
      </c>
      <c r="B1511">
        <v>0</v>
      </c>
      <c r="C1511">
        <v>89</v>
      </c>
      <c r="D1511">
        <v>0</v>
      </c>
      <c r="E1511">
        <v>0</v>
      </c>
      <c r="F1511">
        <v>0</v>
      </c>
      <c r="G1511">
        <v>0</v>
      </c>
      <c r="H1511">
        <v>0</v>
      </c>
      <c r="I1511">
        <v>1</v>
      </c>
      <c r="J1511">
        <v>0</v>
      </c>
      <c r="K1511">
        <v>0</v>
      </c>
      <c r="L1511">
        <v>10</v>
      </c>
      <c r="M1511">
        <v>0</v>
      </c>
      <c r="N1511">
        <v>0</v>
      </c>
      <c r="O1511">
        <v>0</v>
      </c>
      <c r="P1511">
        <v>0</v>
      </c>
      <c r="Q1511">
        <v>0</v>
      </c>
      <c r="R1511">
        <v>0</v>
      </c>
      <c r="S1511">
        <v>0</v>
      </c>
      <c r="T1511">
        <v>0</v>
      </c>
      <c r="U1511">
        <v>0</v>
      </c>
      <c r="V1511">
        <v>0</v>
      </c>
      <c r="Y1511">
        <v>1</v>
      </c>
      <c r="Z1511">
        <v>0</v>
      </c>
      <c r="AA1511">
        <v>0</v>
      </c>
      <c r="AB1511">
        <v>0</v>
      </c>
      <c r="AC1511">
        <v>0</v>
      </c>
      <c r="AI1511">
        <v>0</v>
      </c>
      <c r="AO1511">
        <v>10</v>
      </c>
      <c r="AP1511">
        <v>0</v>
      </c>
      <c r="AQ1511">
        <v>787</v>
      </c>
      <c r="AR1511">
        <v>73.5</v>
      </c>
      <c r="AS1511">
        <v>972</v>
      </c>
      <c r="AT1511">
        <v>1002.3</v>
      </c>
      <c r="AW1511" t="s">
        <v>460</v>
      </c>
      <c r="AX1511" t="s">
        <v>561</v>
      </c>
    </row>
    <row r="1512" spans="1:50" x14ac:dyDescent="0.45">
      <c r="A1512">
        <v>30068</v>
      </c>
      <c r="B1512">
        <v>0</v>
      </c>
      <c r="C1512">
        <v>87</v>
      </c>
      <c r="D1512">
        <v>0</v>
      </c>
      <c r="E1512">
        <v>0</v>
      </c>
      <c r="F1512">
        <v>0</v>
      </c>
      <c r="G1512">
        <v>0</v>
      </c>
      <c r="H1512">
        <v>0</v>
      </c>
      <c r="I1512">
        <v>3</v>
      </c>
      <c r="J1512">
        <v>0</v>
      </c>
      <c r="K1512">
        <v>0</v>
      </c>
      <c r="L1512">
        <v>10</v>
      </c>
      <c r="M1512">
        <v>0</v>
      </c>
      <c r="N1512">
        <v>0</v>
      </c>
      <c r="O1512">
        <v>0</v>
      </c>
      <c r="P1512">
        <v>0</v>
      </c>
      <c r="Q1512">
        <v>0</v>
      </c>
      <c r="R1512">
        <v>0</v>
      </c>
      <c r="S1512">
        <v>0</v>
      </c>
      <c r="T1512">
        <v>0</v>
      </c>
      <c r="U1512">
        <v>0</v>
      </c>
      <c r="V1512">
        <v>0</v>
      </c>
      <c r="Y1512">
        <v>1</v>
      </c>
      <c r="Z1512">
        <v>0</v>
      </c>
      <c r="AA1512">
        <v>0</v>
      </c>
      <c r="AB1512">
        <v>0</v>
      </c>
      <c r="AC1512">
        <v>0</v>
      </c>
      <c r="AI1512">
        <v>0</v>
      </c>
      <c r="AO1512">
        <v>10</v>
      </c>
      <c r="AP1512">
        <v>0</v>
      </c>
      <c r="AQ1512">
        <v>787</v>
      </c>
      <c r="AR1512">
        <v>71.099999999999994</v>
      </c>
      <c r="AS1512">
        <v>1062</v>
      </c>
      <c r="AT1512">
        <v>1098.0999999999999</v>
      </c>
      <c r="AW1512" t="s">
        <v>460</v>
      </c>
      <c r="AX1512" t="s">
        <v>561</v>
      </c>
    </row>
    <row r="1513" spans="1:50" x14ac:dyDescent="0.45">
      <c r="A1513">
        <v>30069</v>
      </c>
      <c r="B1513">
        <v>0</v>
      </c>
      <c r="C1513">
        <v>85</v>
      </c>
      <c r="D1513">
        <v>0</v>
      </c>
      <c r="E1513">
        <v>0</v>
      </c>
      <c r="F1513">
        <v>0</v>
      </c>
      <c r="G1513">
        <v>0</v>
      </c>
      <c r="H1513">
        <v>0</v>
      </c>
      <c r="I1513">
        <v>5</v>
      </c>
      <c r="J1513">
        <v>0</v>
      </c>
      <c r="K1513">
        <v>0</v>
      </c>
      <c r="L1513">
        <v>10</v>
      </c>
      <c r="M1513">
        <v>0</v>
      </c>
      <c r="N1513">
        <v>0</v>
      </c>
      <c r="O1513">
        <v>0</v>
      </c>
      <c r="P1513">
        <v>0</v>
      </c>
      <c r="Q1513">
        <v>0</v>
      </c>
      <c r="R1513">
        <v>0</v>
      </c>
      <c r="S1513">
        <v>0</v>
      </c>
      <c r="T1513">
        <v>0</v>
      </c>
      <c r="U1513">
        <v>0</v>
      </c>
      <c r="V1513">
        <v>0</v>
      </c>
      <c r="Y1513">
        <v>1</v>
      </c>
      <c r="Z1513">
        <v>0</v>
      </c>
      <c r="AA1513">
        <v>0</v>
      </c>
      <c r="AB1513">
        <v>0</v>
      </c>
      <c r="AC1513">
        <v>0</v>
      </c>
      <c r="AI1513">
        <v>0</v>
      </c>
      <c r="AO1513">
        <v>10</v>
      </c>
      <c r="AP1513">
        <v>0</v>
      </c>
      <c r="AQ1513">
        <v>787</v>
      </c>
      <c r="AR1513">
        <v>74.900000000000006</v>
      </c>
      <c r="AS1513">
        <v>1152</v>
      </c>
      <c r="AT1513">
        <v>1162.2</v>
      </c>
      <c r="AW1513" t="s">
        <v>460</v>
      </c>
      <c r="AX1513" t="s">
        <v>561</v>
      </c>
    </row>
    <row r="1514" spans="1:50" x14ac:dyDescent="0.45">
      <c r="A1514">
        <v>30070</v>
      </c>
      <c r="B1514">
        <v>0</v>
      </c>
      <c r="C1514">
        <v>97</v>
      </c>
      <c r="D1514">
        <v>0</v>
      </c>
      <c r="E1514">
        <v>0</v>
      </c>
      <c r="F1514">
        <v>0</v>
      </c>
      <c r="G1514">
        <v>0</v>
      </c>
      <c r="H1514">
        <v>0</v>
      </c>
      <c r="I1514">
        <v>3</v>
      </c>
      <c r="J1514">
        <v>0</v>
      </c>
      <c r="K1514">
        <v>0</v>
      </c>
      <c r="L1514">
        <v>0</v>
      </c>
      <c r="M1514">
        <v>0</v>
      </c>
      <c r="N1514">
        <v>0</v>
      </c>
      <c r="O1514">
        <v>0</v>
      </c>
      <c r="P1514">
        <v>0</v>
      </c>
      <c r="Q1514">
        <v>0</v>
      </c>
      <c r="R1514">
        <v>0</v>
      </c>
      <c r="S1514">
        <v>0</v>
      </c>
      <c r="T1514">
        <v>0</v>
      </c>
      <c r="U1514">
        <v>0</v>
      </c>
      <c r="Y1514">
        <v>0</v>
      </c>
      <c r="Z1514">
        <v>0</v>
      </c>
      <c r="AA1514">
        <v>0</v>
      </c>
      <c r="AB1514">
        <v>0</v>
      </c>
      <c r="AC1514">
        <v>1</v>
      </c>
      <c r="AD1514">
        <v>882</v>
      </c>
      <c r="AI1514">
        <v>0</v>
      </c>
      <c r="AO1514">
        <v>0</v>
      </c>
      <c r="AP1514">
        <v>0</v>
      </c>
      <c r="AQ1514">
        <v>882</v>
      </c>
      <c r="AS1514">
        <v>535</v>
      </c>
      <c r="AT1514">
        <v>633</v>
      </c>
      <c r="AV1514">
        <v>243</v>
      </c>
      <c r="AW1514" t="s">
        <v>461</v>
      </c>
      <c r="AX1514" t="s">
        <v>562</v>
      </c>
    </row>
    <row r="1515" spans="1:50" x14ac:dyDescent="0.45">
      <c r="A1515">
        <v>30071</v>
      </c>
      <c r="B1515">
        <v>0</v>
      </c>
      <c r="C1515">
        <v>95</v>
      </c>
      <c r="D1515">
        <v>0</v>
      </c>
      <c r="E1515">
        <v>0</v>
      </c>
      <c r="F1515">
        <v>0</v>
      </c>
      <c r="G1515">
        <v>0</v>
      </c>
      <c r="H1515">
        <v>0</v>
      </c>
      <c r="I1515">
        <v>5</v>
      </c>
      <c r="J1515">
        <v>0</v>
      </c>
      <c r="K1515">
        <v>0</v>
      </c>
      <c r="L1515">
        <v>0</v>
      </c>
      <c r="M1515">
        <v>0</v>
      </c>
      <c r="N1515">
        <v>0</v>
      </c>
      <c r="O1515">
        <v>0</v>
      </c>
      <c r="P1515">
        <v>0</v>
      </c>
      <c r="Q1515">
        <v>0</v>
      </c>
      <c r="R1515">
        <v>0</v>
      </c>
      <c r="S1515">
        <v>0</v>
      </c>
      <c r="T1515">
        <v>0</v>
      </c>
      <c r="U1515">
        <v>0</v>
      </c>
      <c r="Y1515">
        <v>0</v>
      </c>
      <c r="Z1515">
        <v>0</v>
      </c>
      <c r="AA1515">
        <v>0</v>
      </c>
      <c r="AB1515">
        <v>0</v>
      </c>
      <c r="AC1515">
        <v>1</v>
      </c>
      <c r="AD1515">
        <v>882</v>
      </c>
      <c r="AI1515">
        <v>0</v>
      </c>
      <c r="AO1515">
        <v>0</v>
      </c>
      <c r="AP1515">
        <v>0</v>
      </c>
      <c r="AQ1515">
        <v>882</v>
      </c>
      <c r="AS1515">
        <v>588</v>
      </c>
      <c r="AT1515">
        <v>745</v>
      </c>
      <c r="AV1515">
        <v>272</v>
      </c>
      <c r="AW1515" t="s">
        <v>461</v>
      </c>
      <c r="AX1515" t="s">
        <v>562</v>
      </c>
    </row>
    <row r="1516" spans="1:50" x14ac:dyDescent="0.45">
      <c r="A1516">
        <v>30072</v>
      </c>
      <c r="B1516">
        <v>0</v>
      </c>
      <c r="C1516">
        <v>93</v>
      </c>
      <c r="D1516">
        <v>0</v>
      </c>
      <c r="E1516">
        <v>0</v>
      </c>
      <c r="F1516">
        <v>0</v>
      </c>
      <c r="G1516">
        <v>0</v>
      </c>
      <c r="H1516">
        <v>0</v>
      </c>
      <c r="I1516">
        <v>7</v>
      </c>
      <c r="J1516">
        <v>0</v>
      </c>
      <c r="K1516">
        <v>0</v>
      </c>
      <c r="L1516">
        <v>0</v>
      </c>
      <c r="M1516">
        <v>0</v>
      </c>
      <c r="N1516">
        <v>0</v>
      </c>
      <c r="O1516">
        <v>0</v>
      </c>
      <c r="P1516">
        <v>0</v>
      </c>
      <c r="Q1516">
        <v>0</v>
      </c>
      <c r="R1516">
        <v>0</v>
      </c>
      <c r="S1516">
        <v>0</v>
      </c>
      <c r="T1516">
        <v>0</v>
      </c>
      <c r="U1516">
        <v>0</v>
      </c>
      <c r="Y1516">
        <v>0</v>
      </c>
      <c r="Z1516">
        <v>0</v>
      </c>
      <c r="AA1516">
        <v>0</v>
      </c>
      <c r="AB1516">
        <v>0</v>
      </c>
      <c r="AC1516">
        <v>1</v>
      </c>
      <c r="AD1516">
        <v>882</v>
      </c>
      <c r="AI1516">
        <v>0</v>
      </c>
      <c r="AO1516">
        <v>0</v>
      </c>
      <c r="AP1516">
        <v>0</v>
      </c>
      <c r="AQ1516">
        <v>882</v>
      </c>
      <c r="AS1516">
        <v>711</v>
      </c>
      <c r="AT1516">
        <v>877</v>
      </c>
      <c r="AV1516">
        <v>298</v>
      </c>
      <c r="AW1516" t="s">
        <v>461</v>
      </c>
      <c r="AX1516" t="s">
        <v>562</v>
      </c>
    </row>
    <row r="1517" spans="1:50" x14ac:dyDescent="0.45">
      <c r="A1517">
        <v>30073</v>
      </c>
      <c r="B1517">
        <v>1</v>
      </c>
      <c r="C1517">
        <v>62</v>
      </c>
      <c r="D1517">
        <v>5</v>
      </c>
      <c r="E1517">
        <v>3</v>
      </c>
      <c r="F1517">
        <v>0</v>
      </c>
      <c r="G1517">
        <v>0</v>
      </c>
      <c r="H1517">
        <v>0</v>
      </c>
      <c r="I1517">
        <v>0</v>
      </c>
      <c r="J1517">
        <v>30</v>
      </c>
      <c r="K1517">
        <v>0</v>
      </c>
      <c r="L1517">
        <v>0</v>
      </c>
      <c r="M1517">
        <v>0</v>
      </c>
      <c r="N1517">
        <v>0</v>
      </c>
      <c r="O1517">
        <v>0</v>
      </c>
      <c r="P1517">
        <v>0</v>
      </c>
      <c r="Q1517">
        <v>0</v>
      </c>
      <c r="R1517">
        <v>0</v>
      </c>
      <c r="S1517">
        <v>0</v>
      </c>
      <c r="T1517">
        <v>0</v>
      </c>
      <c r="U1517">
        <v>0</v>
      </c>
      <c r="Y1517">
        <v>0</v>
      </c>
      <c r="Z1517">
        <v>0</v>
      </c>
      <c r="AA1517">
        <v>0</v>
      </c>
      <c r="AB1517">
        <v>0</v>
      </c>
      <c r="AC1517">
        <v>1</v>
      </c>
      <c r="AD1517">
        <v>650.1</v>
      </c>
      <c r="AI1517">
        <v>0</v>
      </c>
      <c r="AO1517">
        <v>-2.9899999999999998</v>
      </c>
      <c r="AP1517">
        <v>10</v>
      </c>
      <c r="AQ1517">
        <v>650.1</v>
      </c>
      <c r="AR1517">
        <v>97</v>
      </c>
      <c r="AS1517">
        <v>1181</v>
      </c>
      <c r="AT1517">
        <v>1302</v>
      </c>
      <c r="AV1517">
        <v>400</v>
      </c>
      <c r="AW1517" t="s">
        <v>462</v>
      </c>
      <c r="AX1517" t="s">
        <v>563</v>
      </c>
    </row>
    <row r="1518" spans="1:50" x14ac:dyDescent="0.45">
      <c r="A1518">
        <v>30074</v>
      </c>
      <c r="B1518">
        <v>1</v>
      </c>
      <c r="C1518">
        <v>61.5</v>
      </c>
      <c r="D1518">
        <v>5</v>
      </c>
      <c r="E1518">
        <v>3</v>
      </c>
      <c r="F1518">
        <v>0</v>
      </c>
      <c r="G1518">
        <v>0</v>
      </c>
      <c r="H1518">
        <v>0.5</v>
      </c>
      <c r="I1518">
        <v>0</v>
      </c>
      <c r="J1518">
        <v>30</v>
      </c>
      <c r="K1518">
        <v>0</v>
      </c>
      <c r="L1518">
        <v>0</v>
      </c>
      <c r="M1518">
        <v>0</v>
      </c>
      <c r="N1518">
        <v>0</v>
      </c>
      <c r="O1518">
        <v>0</v>
      </c>
      <c r="P1518">
        <v>0</v>
      </c>
      <c r="Q1518">
        <v>0</v>
      </c>
      <c r="R1518">
        <v>0</v>
      </c>
      <c r="S1518">
        <v>0</v>
      </c>
      <c r="T1518">
        <v>0</v>
      </c>
      <c r="U1518">
        <v>0</v>
      </c>
      <c r="Y1518">
        <v>0</v>
      </c>
      <c r="Z1518">
        <v>0</v>
      </c>
      <c r="AA1518">
        <v>0</v>
      </c>
      <c r="AB1518">
        <v>0</v>
      </c>
      <c r="AC1518">
        <v>1</v>
      </c>
      <c r="AD1518">
        <v>642.4</v>
      </c>
      <c r="AI1518">
        <v>0</v>
      </c>
      <c r="AO1518">
        <v>-1.54</v>
      </c>
      <c r="AP1518">
        <v>10</v>
      </c>
      <c r="AQ1518">
        <v>642.4</v>
      </c>
      <c r="AR1518">
        <v>92</v>
      </c>
      <c r="AS1518">
        <v>1299</v>
      </c>
      <c r="AT1518">
        <v>1420</v>
      </c>
      <c r="AV1518">
        <v>439</v>
      </c>
      <c r="AW1518" t="s">
        <v>462</v>
      </c>
      <c r="AX1518" t="s">
        <v>563</v>
      </c>
    </row>
    <row r="1519" spans="1:50" x14ac:dyDescent="0.45">
      <c r="A1519">
        <v>30075</v>
      </c>
      <c r="B1519">
        <v>1</v>
      </c>
      <c r="C1519">
        <v>61</v>
      </c>
      <c r="D1519">
        <v>5</v>
      </c>
      <c r="E1519">
        <v>3</v>
      </c>
      <c r="F1519">
        <v>0</v>
      </c>
      <c r="G1519">
        <v>0</v>
      </c>
      <c r="H1519">
        <v>1</v>
      </c>
      <c r="I1519">
        <v>0</v>
      </c>
      <c r="J1519">
        <v>30</v>
      </c>
      <c r="K1519">
        <v>0</v>
      </c>
      <c r="L1519">
        <v>0</v>
      </c>
      <c r="M1519">
        <v>0</v>
      </c>
      <c r="N1519">
        <v>0</v>
      </c>
      <c r="O1519">
        <v>0</v>
      </c>
      <c r="P1519">
        <v>0</v>
      </c>
      <c r="Q1519">
        <v>0</v>
      </c>
      <c r="R1519">
        <v>0</v>
      </c>
      <c r="S1519">
        <v>0</v>
      </c>
      <c r="T1519">
        <v>0</v>
      </c>
      <c r="U1519">
        <v>0</v>
      </c>
      <c r="Y1519">
        <v>0</v>
      </c>
      <c r="Z1519">
        <v>0</v>
      </c>
      <c r="AA1519">
        <v>0</v>
      </c>
      <c r="AB1519">
        <v>0</v>
      </c>
      <c r="AC1519">
        <v>1</v>
      </c>
      <c r="AD1519">
        <v>634.70000000000005</v>
      </c>
      <c r="AI1519">
        <v>0</v>
      </c>
      <c r="AO1519">
        <v>-8.9999999999999858E-2</v>
      </c>
      <c r="AP1519">
        <v>10</v>
      </c>
      <c r="AQ1519">
        <v>634.70000000000005</v>
      </c>
      <c r="AR1519">
        <v>100</v>
      </c>
      <c r="AS1519">
        <v>1421</v>
      </c>
      <c r="AT1519">
        <v>1533</v>
      </c>
      <c r="AV1519">
        <v>475</v>
      </c>
      <c r="AW1519" t="s">
        <v>462</v>
      </c>
      <c r="AX1519" t="s">
        <v>563</v>
      </c>
    </row>
    <row r="1520" spans="1:50" x14ac:dyDescent="0.45">
      <c r="A1520">
        <v>30076</v>
      </c>
      <c r="B1520">
        <v>1</v>
      </c>
      <c r="C1520">
        <v>60.5</v>
      </c>
      <c r="D1520">
        <v>5</v>
      </c>
      <c r="E1520">
        <v>3</v>
      </c>
      <c r="F1520">
        <v>0</v>
      </c>
      <c r="G1520">
        <v>0</v>
      </c>
      <c r="H1520">
        <v>1.5</v>
      </c>
      <c r="I1520">
        <v>0</v>
      </c>
      <c r="J1520">
        <v>30</v>
      </c>
      <c r="K1520">
        <v>0</v>
      </c>
      <c r="L1520">
        <v>0</v>
      </c>
      <c r="M1520">
        <v>0</v>
      </c>
      <c r="N1520">
        <v>0</v>
      </c>
      <c r="O1520">
        <v>0</v>
      </c>
      <c r="P1520">
        <v>0</v>
      </c>
      <c r="Q1520">
        <v>0</v>
      </c>
      <c r="R1520">
        <v>0</v>
      </c>
      <c r="S1520">
        <v>0</v>
      </c>
      <c r="T1520">
        <v>0</v>
      </c>
      <c r="U1520">
        <v>0</v>
      </c>
      <c r="Y1520">
        <v>0</v>
      </c>
      <c r="Z1520">
        <v>0</v>
      </c>
      <c r="AA1520">
        <v>0</v>
      </c>
      <c r="AB1520">
        <v>0</v>
      </c>
      <c r="AC1520">
        <v>1</v>
      </c>
      <c r="AD1520">
        <v>627</v>
      </c>
      <c r="AI1520">
        <v>0</v>
      </c>
      <c r="AO1520">
        <v>1.3599999999999994</v>
      </c>
      <c r="AP1520">
        <v>10</v>
      </c>
      <c r="AQ1520">
        <v>627</v>
      </c>
      <c r="AR1520">
        <v>96</v>
      </c>
      <c r="AS1520">
        <v>1553</v>
      </c>
      <c r="AT1520">
        <v>1667</v>
      </c>
      <c r="AV1520">
        <v>488</v>
      </c>
      <c r="AW1520" t="s">
        <v>462</v>
      </c>
      <c r="AX1520" t="s">
        <v>563</v>
      </c>
    </row>
    <row r="1521" spans="1:50" x14ac:dyDescent="0.45">
      <c r="A1521">
        <v>30077</v>
      </c>
      <c r="B1521">
        <v>1</v>
      </c>
      <c r="C1521">
        <v>60</v>
      </c>
      <c r="D1521">
        <v>5</v>
      </c>
      <c r="E1521">
        <v>3</v>
      </c>
      <c r="F1521">
        <v>0</v>
      </c>
      <c r="G1521">
        <v>0</v>
      </c>
      <c r="H1521">
        <v>2</v>
      </c>
      <c r="I1521">
        <v>0</v>
      </c>
      <c r="J1521">
        <v>30</v>
      </c>
      <c r="K1521">
        <v>0</v>
      </c>
      <c r="L1521">
        <v>0</v>
      </c>
      <c r="M1521">
        <v>0</v>
      </c>
      <c r="N1521">
        <v>0</v>
      </c>
      <c r="O1521">
        <v>0</v>
      </c>
      <c r="P1521">
        <v>0</v>
      </c>
      <c r="Q1521">
        <v>0</v>
      </c>
      <c r="R1521">
        <v>0</v>
      </c>
      <c r="S1521">
        <v>0</v>
      </c>
      <c r="T1521">
        <v>0</v>
      </c>
      <c r="U1521">
        <v>0</v>
      </c>
      <c r="Y1521">
        <v>0</v>
      </c>
      <c r="Z1521">
        <v>0</v>
      </c>
      <c r="AA1521">
        <v>0</v>
      </c>
      <c r="AB1521">
        <v>0</v>
      </c>
      <c r="AC1521">
        <v>1</v>
      </c>
      <c r="AD1521">
        <v>619.30000000000007</v>
      </c>
      <c r="AI1521">
        <v>0</v>
      </c>
      <c r="AO1521">
        <v>2.8100000000000005</v>
      </c>
      <c r="AP1521">
        <v>10</v>
      </c>
      <c r="AQ1521">
        <v>619.30000000000007</v>
      </c>
      <c r="AR1521">
        <v>103</v>
      </c>
      <c r="AS1521">
        <v>1399</v>
      </c>
      <c r="AT1521">
        <v>1538</v>
      </c>
      <c r="AV1521">
        <v>484</v>
      </c>
      <c r="AW1521" t="s">
        <v>462</v>
      </c>
      <c r="AX1521" t="s">
        <v>563</v>
      </c>
    </row>
    <row r="1522" spans="1:50" x14ac:dyDescent="0.45">
      <c r="A1522">
        <v>30078</v>
      </c>
      <c r="B1522">
        <v>1</v>
      </c>
      <c r="C1522">
        <v>59.5</v>
      </c>
      <c r="D1522">
        <v>5</v>
      </c>
      <c r="E1522">
        <v>3</v>
      </c>
      <c r="F1522">
        <v>0</v>
      </c>
      <c r="G1522">
        <v>0</v>
      </c>
      <c r="H1522">
        <v>2.5</v>
      </c>
      <c r="I1522">
        <v>0</v>
      </c>
      <c r="J1522">
        <v>30</v>
      </c>
      <c r="K1522">
        <v>0</v>
      </c>
      <c r="L1522">
        <v>0</v>
      </c>
      <c r="M1522">
        <v>0</v>
      </c>
      <c r="N1522">
        <v>0</v>
      </c>
      <c r="O1522">
        <v>0</v>
      </c>
      <c r="P1522">
        <v>0</v>
      </c>
      <c r="Q1522">
        <v>0</v>
      </c>
      <c r="R1522">
        <v>0</v>
      </c>
      <c r="S1522">
        <v>0</v>
      </c>
      <c r="T1522">
        <v>0</v>
      </c>
      <c r="U1522">
        <v>0</v>
      </c>
      <c r="Y1522">
        <v>0</v>
      </c>
      <c r="Z1522">
        <v>0</v>
      </c>
      <c r="AA1522">
        <v>0</v>
      </c>
      <c r="AB1522">
        <v>0</v>
      </c>
      <c r="AC1522">
        <v>1</v>
      </c>
      <c r="AD1522">
        <v>611.6</v>
      </c>
      <c r="AI1522">
        <v>0</v>
      </c>
      <c r="AO1522">
        <v>4.26</v>
      </c>
      <c r="AP1522">
        <v>10</v>
      </c>
      <c r="AQ1522">
        <v>611.6</v>
      </c>
      <c r="AR1522">
        <v>79</v>
      </c>
      <c r="AS1522">
        <v>1068</v>
      </c>
      <c r="AT1522">
        <v>1115</v>
      </c>
      <c r="AV1522">
        <v>403</v>
      </c>
      <c r="AW1522" t="s">
        <v>462</v>
      </c>
      <c r="AX1522" t="s">
        <v>563</v>
      </c>
    </row>
    <row r="1523" spans="1:50" x14ac:dyDescent="0.45">
      <c r="A1523">
        <v>30079</v>
      </c>
      <c r="B1523">
        <v>1</v>
      </c>
      <c r="C1523">
        <v>67</v>
      </c>
      <c r="D1523">
        <v>0</v>
      </c>
      <c r="E1523">
        <v>0</v>
      </c>
      <c r="F1523">
        <v>0</v>
      </c>
      <c r="G1523">
        <v>0</v>
      </c>
      <c r="H1523">
        <v>0</v>
      </c>
      <c r="I1523">
        <v>0</v>
      </c>
      <c r="J1523">
        <v>3</v>
      </c>
      <c r="K1523">
        <v>25</v>
      </c>
      <c r="L1523">
        <v>3</v>
      </c>
      <c r="M1523">
        <v>2</v>
      </c>
      <c r="N1523">
        <v>0</v>
      </c>
      <c r="O1523">
        <v>0</v>
      </c>
      <c r="P1523">
        <v>0</v>
      </c>
      <c r="Q1523">
        <v>0</v>
      </c>
      <c r="R1523">
        <v>0</v>
      </c>
      <c r="S1523">
        <v>0</v>
      </c>
      <c r="T1523">
        <v>0</v>
      </c>
      <c r="U1523">
        <v>0</v>
      </c>
      <c r="Y1523">
        <v>0</v>
      </c>
      <c r="Z1523">
        <v>0</v>
      </c>
      <c r="AA1523">
        <v>0</v>
      </c>
      <c r="AB1523">
        <v>0</v>
      </c>
      <c r="AC1523">
        <v>1</v>
      </c>
      <c r="AD1523">
        <v>841.19999999999993</v>
      </c>
      <c r="AI1523">
        <v>0</v>
      </c>
      <c r="AO1523">
        <v>10</v>
      </c>
      <c r="AP1523">
        <v>1.1666666666666665</v>
      </c>
      <c r="AQ1523">
        <v>841.19999999999993</v>
      </c>
      <c r="AR1523">
        <v>83</v>
      </c>
      <c r="AS1523">
        <v>499.1</v>
      </c>
      <c r="AT1523">
        <v>708.5</v>
      </c>
      <c r="AW1523" t="s">
        <v>463</v>
      </c>
      <c r="AX1523" t="s">
        <v>564</v>
      </c>
    </row>
    <row r="1524" spans="1:50" x14ac:dyDescent="0.45">
      <c r="A1524">
        <v>30080</v>
      </c>
      <c r="B1524">
        <v>0</v>
      </c>
      <c r="C1524">
        <v>95</v>
      </c>
      <c r="D1524">
        <v>0</v>
      </c>
      <c r="E1524">
        <v>0</v>
      </c>
      <c r="F1524">
        <v>0</v>
      </c>
      <c r="G1524">
        <v>0</v>
      </c>
      <c r="H1524">
        <v>0</v>
      </c>
      <c r="I1524">
        <v>0</v>
      </c>
      <c r="J1524">
        <v>0</v>
      </c>
      <c r="K1524">
        <v>0</v>
      </c>
      <c r="L1524">
        <v>0</v>
      </c>
      <c r="M1524">
        <v>0</v>
      </c>
      <c r="N1524">
        <v>5</v>
      </c>
      <c r="O1524">
        <v>0</v>
      </c>
      <c r="P1524">
        <v>0</v>
      </c>
      <c r="Q1524">
        <v>0</v>
      </c>
      <c r="R1524">
        <v>0</v>
      </c>
      <c r="S1524">
        <v>0</v>
      </c>
      <c r="T1524">
        <v>0</v>
      </c>
      <c r="U1524">
        <v>0</v>
      </c>
      <c r="Y1524">
        <v>0</v>
      </c>
      <c r="Z1524">
        <v>0</v>
      </c>
      <c r="AA1524">
        <v>0</v>
      </c>
      <c r="AB1524">
        <v>0</v>
      </c>
      <c r="AC1524">
        <v>1</v>
      </c>
      <c r="AD1524">
        <v>882</v>
      </c>
      <c r="AF1524">
        <v>1</v>
      </c>
      <c r="AG1524">
        <v>0</v>
      </c>
      <c r="AH1524">
        <v>0</v>
      </c>
      <c r="AI1524">
        <v>0</v>
      </c>
      <c r="AO1524">
        <v>0</v>
      </c>
      <c r="AP1524">
        <v>0</v>
      </c>
      <c r="AQ1524">
        <v>882</v>
      </c>
      <c r="AR1524">
        <v>115</v>
      </c>
      <c r="AS1524">
        <v>369</v>
      </c>
      <c r="AT1524">
        <v>455</v>
      </c>
      <c r="AW1524" t="s">
        <v>464</v>
      </c>
      <c r="AX1524" t="s">
        <v>565</v>
      </c>
    </row>
    <row r="1525" spans="1:50" x14ac:dyDescent="0.45">
      <c r="A1525">
        <v>30081</v>
      </c>
      <c r="B1525">
        <v>0</v>
      </c>
      <c r="C1525">
        <v>90</v>
      </c>
      <c r="D1525">
        <v>0</v>
      </c>
      <c r="E1525">
        <v>0</v>
      </c>
      <c r="F1525">
        <v>0</v>
      </c>
      <c r="G1525">
        <v>0</v>
      </c>
      <c r="H1525">
        <v>0</v>
      </c>
      <c r="I1525">
        <v>0</v>
      </c>
      <c r="J1525">
        <v>0</v>
      </c>
      <c r="K1525">
        <v>0</v>
      </c>
      <c r="L1525">
        <v>0</v>
      </c>
      <c r="M1525">
        <v>0</v>
      </c>
      <c r="N1525">
        <v>10</v>
      </c>
      <c r="O1525">
        <v>0</v>
      </c>
      <c r="P1525">
        <v>0</v>
      </c>
      <c r="Q1525">
        <v>0</v>
      </c>
      <c r="R1525">
        <v>0</v>
      </c>
      <c r="S1525">
        <v>0</v>
      </c>
      <c r="T1525">
        <v>0</v>
      </c>
      <c r="U1525">
        <v>0</v>
      </c>
      <c r="Y1525">
        <v>0</v>
      </c>
      <c r="Z1525">
        <v>0</v>
      </c>
      <c r="AA1525">
        <v>0</v>
      </c>
      <c r="AB1525">
        <v>0</v>
      </c>
      <c r="AC1525">
        <v>1</v>
      </c>
      <c r="AD1525">
        <v>882</v>
      </c>
      <c r="AF1525">
        <v>1</v>
      </c>
      <c r="AG1525">
        <v>0</v>
      </c>
      <c r="AH1525">
        <v>0</v>
      </c>
      <c r="AI1525">
        <v>0</v>
      </c>
      <c r="AO1525">
        <v>0</v>
      </c>
      <c r="AP1525">
        <v>0</v>
      </c>
      <c r="AQ1525">
        <v>882</v>
      </c>
      <c r="AR1525">
        <v>114</v>
      </c>
      <c r="AS1525">
        <v>406</v>
      </c>
      <c r="AT1525">
        <v>482</v>
      </c>
      <c r="AW1525" t="s">
        <v>464</v>
      </c>
      <c r="AX1525" t="s">
        <v>565</v>
      </c>
    </row>
    <row r="1526" spans="1:50" x14ac:dyDescent="0.45">
      <c r="A1526">
        <v>30082</v>
      </c>
      <c r="B1526">
        <v>0</v>
      </c>
      <c r="C1526">
        <v>85</v>
      </c>
      <c r="D1526">
        <v>0</v>
      </c>
      <c r="E1526">
        <v>0</v>
      </c>
      <c r="F1526">
        <v>0</v>
      </c>
      <c r="G1526">
        <v>0</v>
      </c>
      <c r="H1526">
        <v>0</v>
      </c>
      <c r="I1526">
        <v>0</v>
      </c>
      <c r="J1526">
        <v>0</v>
      </c>
      <c r="K1526">
        <v>0</v>
      </c>
      <c r="L1526">
        <v>0</v>
      </c>
      <c r="M1526">
        <v>0</v>
      </c>
      <c r="N1526">
        <v>15</v>
      </c>
      <c r="O1526">
        <v>0</v>
      </c>
      <c r="P1526">
        <v>0</v>
      </c>
      <c r="Q1526">
        <v>0</v>
      </c>
      <c r="R1526">
        <v>0</v>
      </c>
      <c r="S1526">
        <v>0</v>
      </c>
      <c r="T1526">
        <v>0</v>
      </c>
      <c r="U1526">
        <v>0</v>
      </c>
      <c r="Y1526">
        <v>0</v>
      </c>
      <c r="Z1526">
        <v>0</v>
      </c>
      <c r="AA1526">
        <v>0</v>
      </c>
      <c r="AB1526">
        <v>0</v>
      </c>
      <c r="AC1526">
        <v>1</v>
      </c>
      <c r="AD1526">
        <v>882</v>
      </c>
      <c r="AF1526">
        <v>1</v>
      </c>
      <c r="AG1526">
        <v>0</v>
      </c>
      <c r="AH1526">
        <v>0</v>
      </c>
      <c r="AI1526">
        <v>0</v>
      </c>
      <c r="AO1526">
        <v>0</v>
      </c>
      <c r="AP1526">
        <v>0</v>
      </c>
      <c r="AQ1526">
        <v>882</v>
      </c>
      <c r="AR1526">
        <v>113</v>
      </c>
      <c r="AS1526">
        <v>439</v>
      </c>
      <c r="AT1526">
        <v>546</v>
      </c>
      <c r="AW1526" t="s">
        <v>464</v>
      </c>
      <c r="AX1526" t="s">
        <v>565</v>
      </c>
    </row>
    <row r="1527" spans="1:50" x14ac:dyDescent="0.45">
      <c r="A1527">
        <v>30083</v>
      </c>
      <c r="B1527">
        <v>0</v>
      </c>
      <c r="C1527">
        <v>80</v>
      </c>
      <c r="D1527">
        <v>0</v>
      </c>
      <c r="E1527">
        <v>0</v>
      </c>
      <c r="F1527">
        <v>0</v>
      </c>
      <c r="G1527">
        <v>0</v>
      </c>
      <c r="H1527">
        <v>0</v>
      </c>
      <c r="I1527">
        <v>0</v>
      </c>
      <c r="J1527">
        <v>0</v>
      </c>
      <c r="K1527">
        <v>0</v>
      </c>
      <c r="L1527">
        <v>0</v>
      </c>
      <c r="M1527">
        <v>0</v>
      </c>
      <c r="N1527">
        <v>20</v>
      </c>
      <c r="O1527">
        <v>0</v>
      </c>
      <c r="P1527">
        <v>0</v>
      </c>
      <c r="Q1527">
        <v>0</v>
      </c>
      <c r="R1527">
        <v>0</v>
      </c>
      <c r="S1527">
        <v>0</v>
      </c>
      <c r="T1527">
        <v>0</v>
      </c>
      <c r="U1527">
        <v>0</v>
      </c>
      <c r="Y1527">
        <v>0</v>
      </c>
      <c r="Z1527">
        <v>0</v>
      </c>
      <c r="AA1527">
        <v>0</v>
      </c>
      <c r="AB1527">
        <v>0</v>
      </c>
      <c r="AC1527">
        <v>1</v>
      </c>
      <c r="AD1527">
        <v>882</v>
      </c>
      <c r="AF1527">
        <v>1</v>
      </c>
      <c r="AG1527">
        <v>0</v>
      </c>
      <c r="AH1527">
        <v>0</v>
      </c>
      <c r="AI1527">
        <v>0</v>
      </c>
      <c r="AO1527">
        <v>0</v>
      </c>
      <c r="AP1527">
        <v>0</v>
      </c>
      <c r="AQ1527">
        <v>882</v>
      </c>
      <c r="AR1527">
        <v>112</v>
      </c>
      <c r="AS1527">
        <v>530</v>
      </c>
      <c r="AT1527">
        <v>634</v>
      </c>
      <c r="AW1527" t="s">
        <v>464</v>
      </c>
      <c r="AX1527" t="s">
        <v>565</v>
      </c>
    </row>
    <row r="1528" spans="1:50" x14ac:dyDescent="0.45">
      <c r="A1528">
        <v>30084</v>
      </c>
      <c r="B1528">
        <v>0</v>
      </c>
      <c r="C1528">
        <v>70</v>
      </c>
      <c r="D1528">
        <v>0</v>
      </c>
      <c r="E1528">
        <v>0</v>
      </c>
      <c r="F1528">
        <v>0</v>
      </c>
      <c r="G1528">
        <v>0</v>
      </c>
      <c r="H1528">
        <v>0</v>
      </c>
      <c r="I1528">
        <v>0</v>
      </c>
      <c r="J1528">
        <v>0</v>
      </c>
      <c r="K1528">
        <v>0</v>
      </c>
      <c r="L1528">
        <v>0</v>
      </c>
      <c r="M1528">
        <v>0</v>
      </c>
      <c r="N1528">
        <v>30</v>
      </c>
      <c r="O1528">
        <v>0</v>
      </c>
      <c r="P1528">
        <v>0</v>
      </c>
      <c r="Q1528">
        <v>0</v>
      </c>
      <c r="R1528">
        <v>0</v>
      </c>
      <c r="S1528">
        <v>0</v>
      </c>
      <c r="T1528">
        <v>0</v>
      </c>
      <c r="U1528">
        <v>0</v>
      </c>
      <c r="Y1528">
        <v>0</v>
      </c>
      <c r="Z1528">
        <v>0</v>
      </c>
      <c r="AA1528">
        <v>0</v>
      </c>
      <c r="AB1528">
        <v>0</v>
      </c>
      <c r="AC1528">
        <v>1</v>
      </c>
      <c r="AD1528">
        <v>882</v>
      </c>
      <c r="AF1528">
        <v>1</v>
      </c>
      <c r="AG1528">
        <v>0</v>
      </c>
      <c r="AH1528">
        <v>0</v>
      </c>
      <c r="AI1528">
        <v>0</v>
      </c>
      <c r="AO1528">
        <v>0</v>
      </c>
      <c r="AP1528">
        <v>0</v>
      </c>
      <c r="AQ1528">
        <v>882</v>
      </c>
      <c r="AR1528">
        <v>110</v>
      </c>
      <c r="AS1528">
        <v>551</v>
      </c>
      <c r="AT1528">
        <v>681</v>
      </c>
      <c r="AW1528" t="s">
        <v>464</v>
      </c>
      <c r="AX1528" t="s">
        <v>565</v>
      </c>
    </row>
    <row r="1529" spans="1:50" x14ac:dyDescent="0.45">
      <c r="A1529">
        <v>30085</v>
      </c>
      <c r="B1529">
        <v>0</v>
      </c>
      <c r="C1529">
        <v>60</v>
      </c>
      <c r="D1529">
        <v>0</v>
      </c>
      <c r="E1529">
        <v>0</v>
      </c>
      <c r="F1529">
        <v>0</v>
      </c>
      <c r="G1529">
        <v>0</v>
      </c>
      <c r="H1529">
        <v>0</v>
      </c>
      <c r="I1529">
        <v>0</v>
      </c>
      <c r="J1529">
        <v>0</v>
      </c>
      <c r="K1529">
        <v>0</v>
      </c>
      <c r="L1529">
        <v>0</v>
      </c>
      <c r="M1529">
        <v>0</v>
      </c>
      <c r="N1529">
        <v>40</v>
      </c>
      <c r="O1529">
        <v>0</v>
      </c>
      <c r="P1529">
        <v>0</v>
      </c>
      <c r="Q1529">
        <v>0</v>
      </c>
      <c r="R1529">
        <v>0</v>
      </c>
      <c r="S1529">
        <v>0</v>
      </c>
      <c r="T1529">
        <v>0</v>
      </c>
      <c r="U1529">
        <v>0</v>
      </c>
      <c r="Y1529">
        <v>0</v>
      </c>
      <c r="Z1529">
        <v>0</v>
      </c>
      <c r="AA1529">
        <v>0</v>
      </c>
      <c r="AB1529">
        <v>0</v>
      </c>
      <c r="AC1529">
        <v>1</v>
      </c>
      <c r="AD1529">
        <v>882</v>
      </c>
      <c r="AF1529">
        <v>1</v>
      </c>
      <c r="AG1529">
        <v>0</v>
      </c>
      <c r="AH1529">
        <v>0</v>
      </c>
      <c r="AI1529">
        <v>0</v>
      </c>
      <c r="AO1529">
        <v>0</v>
      </c>
      <c r="AP1529">
        <v>0</v>
      </c>
      <c r="AQ1529">
        <v>882</v>
      </c>
      <c r="AR1529">
        <v>109</v>
      </c>
      <c r="AS1529">
        <v>964</v>
      </c>
      <c r="AT1529">
        <v>1106</v>
      </c>
      <c r="AW1529" t="s">
        <v>464</v>
      </c>
      <c r="AX1529" t="s">
        <v>565</v>
      </c>
    </row>
    <row r="1530" spans="1:50" x14ac:dyDescent="0.45">
      <c r="A1530">
        <v>30086</v>
      </c>
      <c r="B1530">
        <v>1</v>
      </c>
      <c r="C1530">
        <v>50</v>
      </c>
      <c r="D1530">
        <v>0</v>
      </c>
      <c r="E1530">
        <v>0</v>
      </c>
      <c r="F1530">
        <v>0</v>
      </c>
      <c r="G1530">
        <v>0</v>
      </c>
      <c r="H1530">
        <v>0</v>
      </c>
      <c r="I1530">
        <v>0</v>
      </c>
      <c r="J1530">
        <v>25</v>
      </c>
      <c r="K1530">
        <v>25</v>
      </c>
      <c r="L1530">
        <v>0</v>
      </c>
      <c r="M1530">
        <v>0</v>
      </c>
      <c r="N1530">
        <v>0</v>
      </c>
      <c r="O1530">
        <v>0</v>
      </c>
      <c r="P1530">
        <v>0</v>
      </c>
      <c r="Q1530">
        <v>0</v>
      </c>
      <c r="R1530">
        <v>0</v>
      </c>
      <c r="S1530">
        <v>0</v>
      </c>
      <c r="T1530">
        <v>0</v>
      </c>
      <c r="U1530">
        <v>0</v>
      </c>
      <c r="Y1530">
        <v>0</v>
      </c>
      <c r="Z1530">
        <v>0</v>
      </c>
      <c r="AA1530">
        <v>0</v>
      </c>
      <c r="AB1530">
        <v>0</v>
      </c>
      <c r="AC1530">
        <v>1</v>
      </c>
      <c r="AD1530">
        <v>709.5</v>
      </c>
      <c r="AI1530">
        <v>0</v>
      </c>
      <c r="AO1530">
        <v>7.0000000000000009</v>
      </c>
      <c r="AP1530">
        <v>4.166666666666667</v>
      </c>
      <c r="AQ1530">
        <v>709.5</v>
      </c>
      <c r="AR1530">
        <v>70</v>
      </c>
      <c r="AS1530">
        <v>480</v>
      </c>
      <c r="AT1530">
        <v>552</v>
      </c>
      <c r="AV1530">
        <v>220</v>
      </c>
      <c r="AW1530" t="s">
        <v>465</v>
      </c>
      <c r="AX1530" t="s">
        <v>566</v>
      </c>
    </row>
    <row r="1531" spans="1:50" x14ac:dyDescent="0.45">
      <c r="A1531">
        <v>30087</v>
      </c>
      <c r="B1531">
        <v>1</v>
      </c>
      <c r="C1531">
        <v>92</v>
      </c>
      <c r="D1531">
        <v>0</v>
      </c>
      <c r="E1531">
        <v>0</v>
      </c>
      <c r="F1531">
        <v>0</v>
      </c>
      <c r="G1531">
        <v>0</v>
      </c>
      <c r="H1531">
        <v>8</v>
      </c>
      <c r="I1531">
        <v>0</v>
      </c>
      <c r="J1531">
        <v>0</v>
      </c>
      <c r="K1531">
        <v>0</v>
      </c>
      <c r="L1531">
        <v>0</v>
      </c>
      <c r="M1531">
        <v>0</v>
      </c>
      <c r="N1531">
        <v>0</v>
      </c>
      <c r="O1531">
        <v>0</v>
      </c>
      <c r="P1531">
        <v>0</v>
      </c>
      <c r="Q1531">
        <v>0</v>
      </c>
      <c r="R1531">
        <v>0</v>
      </c>
      <c r="S1531">
        <v>0</v>
      </c>
      <c r="T1531">
        <v>0</v>
      </c>
      <c r="U1531">
        <v>0</v>
      </c>
      <c r="V1531">
        <v>0</v>
      </c>
      <c r="Y1531">
        <v>1</v>
      </c>
      <c r="Z1531">
        <v>0</v>
      </c>
      <c r="AA1531">
        <v>0</v>
      </c>
      <c r="AB1531">
        <v>0</v>
      </c>
      <c r="AC1531">
        <v>0</v>
      </c>
      <c r="AI1531">
        <v>0</v>
      </c>
      <c r="AO1531">
        <v>23.2</v>
      </c>
      <c r="AP1531">
        <v>0</v>
      </c>
      <c r="AQ1531">
        <v>758.8</v>
      </c>
      <c r="AR1531">
        <v>129</v>
      </c>
      <c r="AS1531">
        <v>1560</v>
      </c>
      <c r="AV1531">
        <v>468</v>
      </c>
      <c r="AW1531" t="s">
        <v>466</v>
      </c>
      <c r="AX1531" t="s">
        <v>567</v>
      </c>
    </row>
    <row r="1532" spans="1:50" x14ac:dyDescent="0.45">
      <c r="A1532">
        <v>30088</v>
      </c>
      <c r="B1532">
        <v>1</v>
      </c>
      <c r="C1532">
        <v>87</v>
      </c>
      <c r="D1532">
        <v>0</v>
      </c>
      <c r="E1532">
        <v>0</v>
      </c>
      <c r="F1532">
        <v>0</v>
      </c>
      <c r="G1532">
        <v>0</v>
      </c>
      <c r="H1532">
        <v>8</v>
      </c>
      <c r="I1532">
        <v>0</v>
      </c>
      <c r="J1532">
        <v>0</v>
      </c>
      <c r="K1532">
        <v>0</v>
      </c>
      <c r="L1532">
        <v>0</v>
      </c>
      <c r="M1532">
        <v>0</v>
      </c>
      <c r="N1532">
        <v>0</v>
      </c>
      <c r="O1532">
        <v>5</v>
      </c>
      <c r="P1532">
        <v>0</v>
      </c>
      <c r="Q1532">
        <v>0</v>
      </c>
      <c r="R1532">
        <v>0</v>
      </c>
      <c r="S1532">
        <v>0</v>
      </c>
      <c r="T1532">
        <v>0</v>
      </c>
      <c r="U1532">
        <v>0</v>
      </c>
      <c r="V1532">
        <v>0</v>
      </c>
      <c r="Y1532">
        <v>1</v>
      </c>
      <c r="Z1532">
        <v>0</v>
      </c>
      <c r="AA1532">
        <v>0</v>
      </c>
      <c r="AB1532">
        <v>0</v>
      </c>
      <c r="AC1532">
        <v>0</v>
      </c>
      <c r="AI1532">
        <v>0</v>
      </c>
      <c r="AO1532">
        <v>24.3</v>
      </c>
      <c r="AP1532">
        <v>0</v>
      </c>
      <c r="AQ1532">
        <v>758.8</v>
      </c>
      <c r="AR1532">
        <v>120</v>
      </c>
      <c r="AS1532">
        <v>1103</v>
      </c>
      <c r="AV1532">
        <v>389</v>
      </c>
      <c r="AW1532" t="s">
        <v>466</v>
      </c>
      <c r="AX1532" t="s">
        <v>567</v>
      </c>
    </row>
    <row r="1533" spans="1:50" x14ac:dyDescent="0.45">
      <c r="A1533">
        <v>30089</v>
      </c>
      <c r="B1533">
        <v>1</v>
      </c>
      <c r="C1533">
        <v>84</v>
      </c>
      <c r="D1533">
        <v>0</v>
      </c>
      <c r="E1533">
        <v>0</v>
      </c>
      <c r="F1533">
        <v>0</v>
      </c>
      <c r="G1533">
        <v>0</v>
      </c>
      <c r="H1533">
        <v>8</v>
      </c>
      <c r="I1533">
        <v>0</v>
      </c>
      <c r="J1533">
        <v>0</v>
      </c>
      <c r="K1533">
        <v>0</v>
      </c>
      <c r="L1533">
        <v>0</v>
      </c>
      <c r="M1533">
        <v>0</v>
      </c>
      <c r="N1533">
        <v>0</v>
      </c>
      <c r="O1533">
        <v>8</v>
      </c>
      <c r="P1533">
        <v>0</v>
      </c>
      <c r="Q1533">
        <v>0</v>
      </c>
      <c r="R1533">
        <v>0</v>
      </c>
      <c r="S1533">
        <v>0</v>
      </c>
      <c r="T1533">
        <v>0</v>
      </c>
      <c r="U1533">
        <v>0</v>
      </c>
      <c r="V1533">
        <v>0</v>
      </c>
      <c r="Y1533">
        <v>1</v>
      </c>
      <c r="Z1533">
        <v>0</v>
      </c>
      <c r="AA1533">
        <v>0</v>
      </c>
      <c r="AB1533">
        <v>0</v>
      </c>
      <c r="AC1533">
        <v>0</v>
      </c>
      <c r="AI1533">
        <v>0</v>
      </c>
      <c r="AO1533">
        <v>24.96</v>
      </c>
      <c r="AP1533">
        <v>0</v>
      </c>
      <c r="AQ1533">
        <v>758.8</v>
      </c>
      <c r="AR1533">
        <v>106</v>
      </c>
      <c r="AS1533">
        <v>1050</v>
      </c>
      <c r="AV1533">
        <v>379</v>
      </c>
      <c r="AW1533" t="s">
        <v>466</v>
      </c>
      <c r="AX1533" t="s">
        <v>567</v>
      </c>
    </row>
    <row r="1534" spans="1:50" x14ac:dyDescent="0.45">
      <c r="A1534">
        <v>30090</v>
      </c>
      <c r="B1534">
        <v>1</v>
      </c>
      <c r="C1534">
        <v>89</v>
      </c>
      <c r="D1534">
        <v>0</v>
      </c>
      <c r="E1534">
        <v>0</v>
      </c>
      <c r="F1534">
        <v>0</v>
      </c>
      <c r="G1534">
        <v>0</v>
      </c>
      <c r="H1534">
        <v>9</v>
      </c>
      <c r="I1534">
        <v>0</v>
      </c>
      <c r="J1534">
        <v>0</v>
      </c>
      <c r="K1534">
        <v>0</v>
      </c>
      <c r="L1534">
        <v>0</v>
      </c>
      <c r="M1534">
        <v>0</v>
      </c>
      <c r="N1534">
        <v>0</v>
      </c>
      <c r="O1534">
        <v>2</v>
      </c>
      <c r="P1534">
        <v>0</v>
      </c>
      <c r="Q1534">
        <v>0</v>
      </c>
      <c r="R1534">
        <v>0</v>
      </c>
      <c r="S1534">
        <v>0</v>
      </c>
      <c r="T1534">
        <v>0</v>
      </c>
      <c r="U1534">
        <v>0</v>
      </c>
      <c r="V1534">
        <v>0</v>
      </c>
      <c r="Y1534">
        <v>1</v>
      </c>
      <c r="Z1534">
        <v>0</v>
      </c>
      <c r="AA1534">
        <v>0</v>
      </c>
      <c r="AB1534">
        <v>0</v>
      </c>
      <c r="AC1534">
        <v>0</v>
      </c>
      <c r="AI1534">
        <v>0</v>
      </c>
      <c r="AO1534">
        <v>26.54</v>
      </c>
      <c r="AP1534">
        <v>0</v>
      </c>
      <c r="AQ1534">
        <v>743.4</v>
      </c>
      <c r="AR1534">
        <v>110</v>
      </c>
      <c r="AS1534">
        <v>1143</v>
      </c>
      <c r="AV1534">
        <v>390</v>
      </c>
      <c r="AW1534" t="s">
        <v>466</v>
      </c>
      <c r="AX1534" t="s">
        <v>567</v>
      </c>
    </row>
    <row r="1535" spans="1:50" x14ac:dyDescent="0.45">
      <c r="A1535">
        <v>30091</v>
      </c>
      <c r="B1535">
        <v>1</v>
      </c>
      <c r="C1535">
        <v>86</v>
      </c>
      <c r="D1535">
        <v>0</v>
      </c>
      <c r="E1535">
        <v>0</v>
      </c>
      <c r="F1535">
        <v>0</v>
      </c>
      <c r="G1535">
        <v>0</v>
      </c>
      <c r="H1535">
        <v>9</v>
      </c>
      <c r="I1535">
        <v>0</v>
      </c>
      <c r="J1535">
        <v>0</v>
      </c>
      <c r="K1535">
        <v>0</v>
      </c>
      <c r="L1535">
        <v>0</v>
      </c>
      <c r="M1535">
        <v>0</v>
      </c>
      <c r="N1535">
        <v>0</v>
      </c>
      <c r="O1535">
        <v>5</v>
      </c>
      <c r="P1535">
        <v>0</v>
      </c>
      <c r="Q1535">
        <v>0</v>
      </c>
      <c r="R1535">
        <v>0</v>
      </c>
      <c r="S1535">
        <v>0</v>
      </c>
      <c r="T1535">
        <v>0</v>
      </c>
      <c r="U1535">
        <v>0</v>
      </c>
      <c r="V1535">
        <v>0</v>
      </c>
      <c r="Y1535">
        <v>1</v>
      </c>
      <c r="Z1535">
        <v>0</v>
      </c>
      <c r="AA1535">
        <v>0</v>
      </c>
      <c r="AB1535">
        <v>0</v>
      </c>
      <c r="AC1535">
        <v>0</v>
      </c>
      <c r="AI1535">
        <v>0</v>
      </c>
      <c r="AO1535">
        <v>27.2</v>
      </c>
      <c r="AP1535">
        <v>0</v>
      </c>
      <c r="AQ1535">
        <v>743.4</v>
      </c>
      <c r="AR1535">
        <v>103</v>
      </c>
      <c r="AS1535">
        <v>1079</v>
      </c>
      <c r="AV1535">
        <v>370</v>
      </c>
      <c r="AW1535" t="s">
        <v>466</v>
      </c>
      <c r="AX1535" t="s">
        <v>567</v>
      </c>
    </row>
    <row r="1536" spans="1:50" x14ac:dyDescent="0.45">
      <c r="A1536">
        <v>30092</v>
      </c>
      <c r="B1536">
        <v>1</v>
      </c>
      <c r="C1536">
        <v>82</v>
      </c>
      <c r="D1536">
        <v>0</v>
      </c>
      <c r="E1536">
        <v>0</v>
      </c>
      <c r="F1536">
        <v>0</v>
      </c>
      <c r="G1536">
        <v>0</v>
      </c>
      <c r="H1536">
        <v>9</v>
      </c>
      <c r="I1536">
        <v>0</v>
      </c>
      <c r="J1536">
        <v>0</v>
      </c>
      <c r="K1536">
        <v>0</v>
      </c>
      <c r="L1536">
        <v>0</v>
      </c>
      <c r="M1536">
        <v>0</v>
      </c>
      <c r="N1536">
        <v>0</v>
      </c>
      <c r="O1536">
        <v>9</v>
      </c>
      <c r="P1536">
        <v>0</v>
      </c>
      <c r="Q1536">
        <v>0</v>
      </c>
      <c r="R1536">
        <v>0</v>
      </c>
      <c r="S1536">
        <v>0</v>
      </c>
      <c r="T1536">
        <v>0</v>
      </c>
      <c r="U1536">
        <v>0</v>
      </c>
      <c r="V1536">
        <v>0</v>
      </c>
      <c r="Y1536">
        <v>1</v>
      </c>
      <c r="Z1536">
        <v>0</v>
      </c>
      <c r="AA1536">
        <v>0</v>
      </c>
      <c r="AB1536">
        <v>0</v>
      </c>
      <c r="AC1536">
        <v>0</v>
      </c>
      <c r="AI1536">
        <v>0</v>
      </c>
      <c r="AO1536">
        <v>28.08</v>
      </c>
      <c r="AP1536">
        <v>0</v>
      </c>
      <c r="AQ1536">
        <v>743.4</v>
      </c>
      <c r="AR1536">
        <v>99</v>
      </c>
      <c r="AS1536">
        <v>1016</v>
      </c>
      <c r="AV1536">
        <v>351</v>
      </c>
      <c r="AW1536" t="s">
        <v>466</v>
      </c>
      <c r="AX1536" t="s">
        <v>567</v>
      </c>
    </row>
    <row r="1537" spans="1:50" x14ac:dyDescent="0.45">
      <c r="A1537">
        <v>30093</v>
      </c>
      <c r="B1537">
        <v>1</v>
      </c>
      <c r="C1537">
        <v>80</v>
      </c>
      <c r="D1537">
        <v>0</v>
      </c>
      <c r="E1537">
        <v>0</v>
      </c>
      <c r="F1537">
        <v>0</v>
      </c>
      <c r="G1537">
        <v>0</v>
      </c>
      <c r="H1537">
        <v>10</v>
      </c>
      <c r="I1537">
        <v>0</v>
      </c>
      <c r="J1537">
        <v>0</v>
      </c>
      <c r="K1537">
        <v>0</v>
      </c>
      <c r="L1537">
        <v>0</v>
      </c>
      <c r="M1537">
        <v>0</v>
      </c>
      <c r="N1537">
        <v>0</v>
      </c>
      <c r="O1537">
        <v>10</v>
      </c>
      <c r="P1537">
        <v>0</v>
      </c>
      <c r="Q1537">
        <v>0</v>
      </c>
      <c r="R1537">
        <v>0</v>
      </c>
      <c r="S1537">
        <v>0</v>
      </c>
      <c r="T1537">
        <v>0</v>
      </c>
      <c r="U1537">
        <v>0</v>
      </c>
      <c r="V1537">
        <v>0</v>
      </c>
      <c r="Y1537">
        <v>1</v>
      </c>
      <c r="Z1537">
        <v>0</v>
      </c>
      <c r="AA1537">
        <v>0</v>
      </c>
      <c r="AB1537">
        <v>0</v>
      </c>
      <c r="AC1537">
        <v>0</v>
      </c>
      <c r="AI1537">
        <v>0</v>
      </c>
      <c r="AO1537">
        <v>31.2</v>
      </c>
      <c r="AP1537">
        <v>0</v>
      </c>
      <c r="AQ1537">
        <v>728</v>
      </c>
      <c r="AR1537">
        <v>92</v>
      </c>
      <c r="AS1537">
        <v>1008</v>
      </c>
      <c r="AV1537">
        <v>343</v>
      </c>
      <c r="AW1537" t="s">
        <v>466</v>
      </c>
      <c r="AX1537" t="s">
        <v>567</v>
      </c>
    </row>
    <row r="1538" spans="1:50" x14ac:dyDescent="0.45">
      <c r="A1538">
        <v>30094</v>
      </c>
      <c r="B1538">
        <v>1</v>
      </c>
      <c r="C1538">
        <v>83</v>
      </c>
      <c r="D1538">
        <v>4</v>
      </c>
      <c r="E1538">
        <v>3</v>
      </c>
      <c r="F1538">
        <v>3</v>
      </c>
      <c r="G1538">
        <v>0</v>
      </c>
      <c r="H1538">
        <v>0</v>
      </c>
      <c r="I1538">
        <v>0</v>
      </c>
      <c r="J1538">
        <v>0</v>
      </c>
      <c r="K1538">
        <v>0</v>
      </c>
      <c r="L1538">
        <v>7</v>
      </c>
      <c r="M1538">
        <v>0</v>
      </c>
      <c r="N1538">
        <v>0</v>
      </c>
      <c r="O1538">
        <v>0</v>
      </c>
      <c r="P1538">
        <v>0</v>
      </c>
      <c r="Q1538">
        <v>0</v>
      </c>
      <c r="R1538">
        <v>0</v>
      </c>
      <c r="S1538">
        <v>0</v>
      </c>
      <c r="T1538">
        <v>0</v>
      </c>
      <c r="U1538">
        <v>0</v>
      </c>
      <c r="Y1538">
        <v>0</v>
      </c>
      <c r="Z1538">
        <v>0</v>
      </c>
      <c r="AA1538">
        <v>0</v>
      </c>
      <c r="AB1538">
        <v>0</v>
      </c>
      <c r="AC1538">
        <v>1</v>
      </c>
      <c r="AD1538">
        <v>752.2</v>
      </c>
      <c r="AF1538">
        <v>1</v>
      </c>
      <c r="AG1538">
        <v>0</v>
      </c>
      <c r="AH1538">
        <v>0</v>
      </c>
      <c r="AI1538">
        <v>0</v>
      </c>
      <c r="AO1538">
        <v>9.81</v>
      </c>
      <c r="AP1538">
        <v>4</v>
      </c>
      <c r="AQ1538">
        <v>752.2</v>
      </c>
      <c r="AS1538">
        <v>829</v>
      </c>
      <c r="AT1538">
        <v>884</v>
      </c>
      <c r="AW1538" t="s">
        <v>467</v>
      </c>
      <c r="AX1538" t="s">
        <v>568</v>
      </c>
    </row>
    <row r="1539" spans="1:50" x14ac:dyDescent="0.45">
      <c r="A1539">
        <v>30095</v>
      </c>
      <c r="B1539">
        <v>1</v>
      </c>
      <c r="C1539">
        <v>82</v>
      </c>
      <c r="D1539">
        <v>5</v>
      </c>
      <c r="E1539">
        <v>5</v>
      </c>
      <c r="F1539">
        <v>3</v>
      </c>
      <c r="G1539">
        <v>0</v>
      </c>
      <c r="H1539">
        <v>0</v>
      </c>
      <c r="I1539">
        <v>0</v>
      </c>
      <c r="J1539">
        <v>0</v>
      </c>
      <c r="K1539">
        <v>0</v>
      </c>
      <c r="L1539">
        <v>5</v>
      </c>
      <c r="M1539">
        <v>0</v>
      </c>
      <c r="N1539">
        <v>0</v>
      </c>
      <c r="O1539">
        <v>0</v>
      </c>
      <c r="P1539">
        <v>0</v>
      </c>
      <c r="Q1539">
        <v>0</v>
      </c>
      <c r="R1539">
        <v>0</v>
      </c>
      <c r="S1539">
        <v>0</v>
      </c>
      <c r="T1539">
        <v>0</v>
      </c>
      <c r="U1539">
        <v>0</v>
      </c>
      <c r="Y1539">
        <v>0</v>
      </c>
      <c r="Z1539">
        <v>0</v>
      </c>
      <c r="AA1539">
        <v>0</v>
      </c>
      <c r="AB1539">
        <v>0</v>
      </c>
      <c r="AC1539">
        <v>1</v>
      </c>
      <c r="AD1539">
        <v>749.7</v>
      </c>
      <c r="AF1539">
        <v>1</v>
      </c>
      <c r="AG1539">
        <v>0</v>
      </c>
      <c r="AH1539">
        <v>0</v>
      </c>
      <c r="AI1539">
        <v>0</v>
      </c>
      <c r="AO1539">
        <v>8.15</v>
      </c>
      <c r="AP1539">
        <v>5</v>
      </c>
      <c r="AQ1539">
        <v>749.7</v>
      </c>
      <c r="AS1539">
        <v>804</v>
      </c>
      <c r="AT1539">
        <v>836</v>
      </c>
      <c r="AW1539" t="s">
        <v>467</v>
      </c>
      <c r="AX1539" t="s">
        <v>568</v>
      </c>
    </row>
    <row r="1540" spans="1:50" x14ac:dyDescent="0.45">
      <c r="A1540">
        <v>30096</v>
      </c>
      <c r="B1540">
        <v>1</v>
      </c>
      <c r="C1540">
        <v>82</v>
      </c>
      <c r="D1540">
        <v>3</v>
      </c>
      <c r="E1540">
        <v>7</v>
      </c>
      <c r="F1540">
        <v>3</v>
      </c>
      <c r="G1540">
        <v>0</v>
      </c>
      <c r="H1540">
        <v>0</v>
      </c>
      <c r="I1540">
        <v>0</v>
      </c>
      <c r="J1540">
        <v>0</v>
      </c>
      <c r="K1540">
        <v>0</v>
      </c>
      <c r="L1540">
        <v>5</v>
      </c>
      <c r="M1540">
        <v>0</v>
      </c>
      <c r="N1540">
        <v>0</v>
      </c>
      <c r="O1540">
        <v>0</v>
      </c>
      <c r="P1540">
        <v>0</v>
      </c>
      <c r="Q1540">
        <v>0</v>
      </c>
      <c r="R1540">
        <v>0</v>
      </c>
      <c r="S1540">
        <v>0</v>
      </c>
      <c r="T1540">
        <v>0</v>
      </c>
      <c r="U1540">
        <v>0</v>
      </c>
      <c r="Y1540">
        <v>0</v>
      </c>
      <c r="Z1540">
        <v>0</v>
      </c>
      <c r="AA1540">
        <v>0</v>
      </c>
      <c r="AB1540">
        <v>0</v>
      </c>
      <c r="AC1540">
        <v>1</v>
      </c>
      <c r="AD1540">
        <v>721.9</v>
      </c>
      <c r="AF1540">
        <v>1</v>
      </c>
      <c r="AG1540">
        <v>0</v>
      </c>
      <c r="AH1540">
        <v>0</v>
      </c>
      <c r="AI1540">
        <v>0</v>
      </c>
      <c r="AO1540">
        <v>11.490000000000002</v>
      </c>
      <c r="AP1540">
        <v>3</v>
      </c>
      <c r="AQ1540">
        <v>721.9</v>
      </c>
      <c r="AS1540">
        <v>750</v>
      </c>
      <c r="AT1540">
        <v>1100</v>
      </c>
      <c r="AW1540" t="s">
        <v>468</v>
      </c>
      <c r="AX1540" t="s">
        <v>569</v>
      </c>
    </row>
    <row r="1541" spans="1:50" x14ac:dyDescent="0.45">
      <c r="A1541">
        <v>30097</v>
      </c>
      <c r="B1541">
        <v>1</v>
      </c>
      <c r="C1541">
        <v>47.5</v>
      </c>
      <c r="D1541">
        <v>5</v>
      </c>
      <c r="E1541">
        <v>0</v>
      </c>
      <c r="F1541">
        <v>0</v>
      </c>
      <c r="G1541">
        <v>0</v>
      </c>
      <c r="H1541">
        <v>0</v>
      </c>
      <c r="I1541">
        <v>0</v>
      </c>
      <c r="J1541">
        <v>47.5</v>
      </c>
      <c r="K1541">
        <v>0</v>
      </c>
      <c r="L1541">
        <v>0</v>
      </c>
      <c r="M1541">
        <v>0</v>
      </c>
      <c r="N1541">
        <v>0</v>
      </c>
      <c r="O1541">
        <v>0</v>
      </c>
      <c r="P1541">
        <v>0</v>
      </c>
      <c r="Q1541">
        <v>0</v>
      </c>
      <c r="R1541">
        <v>0</v>
      </c>
      <c r="S1541">
        <v>0</v>
      </c>
      <c r="T1541">
        <v>0</v>
      </c>
      <c r="U1541">
        <v>0</v>
      </c>
      <c r="Y1541">
        <v>0</v>
      </c>
      <c r="Z1541">
        <v>0</v>
      </c>
      <c r="AA1541">
        <v>0</v>
      </c>
      <c r="AB1541">
        <v>0</v>
      </c>
      <c r="AC1541">
        <v>1</v>
      </c>
      <c r="AD1541">
        <v>564.75</v>
      </c>
      <c r="AF1541">
        <v>1</v>
      </c>
      <c r="AG1541">
        <v>0</v>
      </c>
      <c r="AH1541">
        <v>0</v>
      </c>
      <c r="AI1541">
        <v>0</v>
      </c>
      <c r="AO1541">
        <v>-5</v>
      </c>
      <c r="AP1541">
        <v>12.916666666666668</v>
      </c>
      <c r="AQ1541">
        <v>564.75</v>
      </c>
      <c r="AR1541">
        <v>100</v>
      </c>
      <c r="AS1541">
        <v>1710</v>
      </c>
      <c r="AT1541">
        <v>1665</v>
      </c>
      <c r="AW1541" t="s">
        <v>469</v>
      </c>
      <c r="AX1541" t="s">
        <v>570</v>
      </c>
    </row>
    <row r="1542" spans="1:50" x14ac:dyDescent="0.45">
      <c r="A1542">
        <v>30098</v>
      </c>
      <c r="B1542">
        <v>1</v>
      </c>
      <c r="C1542">
        <v>47</v>
      </c>
      <c r="D1542">
        <v>5</v>
      </c>
      <c r="E1542">
        <v>1</v>
      </c>
      <c r="F1542">
        <v>0</v>
      </c>
      <c r="G1542">
        <v>0</v>
      </c>
      <c r="H1542">
        <v>0</v>
      </c>
      <c r="I1542">
        <v>0</v>
      </c>
      <c r="J1542">
        <v>47</v>
      </c>
      <c r="K1542">
        <v>0</v>
      </c>
      <c r="L1542">
        <v>0</v>
      </c>
      <c r="M1542">
        <v>0</v>
      </c>
      <c r="N1542">
        <v>0</v>
      </c>
      <c r="O1542">
        <v>0</v>
      </c>
      <c r="P1542">
        <v>0</v>
      </c>
      <c r="Q1542">
        <v>0</v>
      </c>
      <c r="R1542">
        <v>0</v>
      </c>
      <c r="S1542">
        <v>0</v>
      </c>
      <c r="T1542">
        <v>0</v>
      </c>
      <c r="U1542">
        <v>0</v>
      </c>
      <c r="Y1542">
        <v>0</v>
      </c>
      <c r="Z1542">
        <v>0</v>
      </c>
      <c r="AA1542">
        <v>0</v>
      </c>
      <c r="AB1542">
        <v>0</v>
      </c>
      <c r="AC1542">
        <v>1</v>
      </c>
      <c r="AD1542">
        <v>556.40000000000009</v>
      </c>
      <c r="AF1542">
        <v>1</v>
      </c>
      <c r="AG1542">
        <v>0</v>
      </c>
      <c r="AH1542">
        <v>0</v>
      </c>
      <c r="AI1542">
        <v>0</v>
      </c>
      <c r="AO1542">
        <v>-4.33</v>
      </c>
      <c r="AP1542">
        <v>12.833333333333332</v>
      </c>
      <c r="AQ1542">
        <v>556.40000000000009</v>
      </c>
      <c r="AR1542">
        <v>72</v>
      </c>
      <c r="AS1542">
        <v>740</v>
      </c>
      <c r="AT1542">
        <v>1255</v>
      </c>
      <c r="AW1542" t="s">
        <v>469</v>
      </c>
      <c r="AX1542" t="s">
        <v>570</v>
      </c>
    </row>
    <row r="1543" spans="1:50" x14ac:dyDescent="0.45">
      <c r="A1543">
        <v>30099</v>
      </c>
      <c r="B1543">
        <v>1</v>
      </c>
      <c r="C1543">
        <v>46</v>
      </c>
      <c r="D1543">
        <v>5</v>
      </c>
      <c r="E1543">
        <v>3</v>
      </c>
      <c r="F1543">
        <v>0</v>
      </c>
      <c r="G1543">
        <v>0</v>
      </c>
      <c r="H1543">
        <v>0</v>
      </c>
      <c r="I1543">
        <v>0</v>
      </c>
      <c r="J1543">
        <v>46</v>
      </c>
      <c r="K1543">
        <v>0</v>
      </c>
      <c r="L1543">
        <v>0</v>
      </c>
      <c r="M1543">
        <v>0</v>
      </c>
      <c r="N1543">
        <v>0</v>
      </c>
      <c r="O1543">
        <v>0</v>
      </c>
      <c r="P1543">
        <v>0</v>
      </c>
      <c r="Q1543">
        <v>0</v>
      </c>
      <c r="R1543">
        <v>0</v>
      </c>
      <c r="S1543">
        <v>0</v>
      </c>
      <c r="T1543">
        <v>0</v>
      </c>
      <c r="U1543">
        <v>0</v>
      </c>
      <c r="Y1543">
        <v>0</v>
      </c>
      <c r="Z1543">
        <v>0</v>
      </c>
      <c r="AA1543">
        <v>0</v>
      </c>
      <c r="AB1543">
        <v>0</v>
      </c>
      <c r="AC1543">
        <v>1</v>
      </c>
      <c r="AD1543">
        <v>539.69999999999993</v>
      </c>
      <c r="AF1543">
        <v>1</v>
      </c>
      <c r="AG1543">
        <v>0</v>
      </c>
      <c r="AH1543">
        <v>0</v>
      </c>
      <c r="AI1543">
        <v>0</v>
      </c>
      <c r="AO1543">
        <v>-2.9899999999999998</v>
      </c>
      <c r="AP1543">
        <v>12.666666666666668</v>
      </c>
      <c r="AQ1543">
        <v>539.69999999999993</v>
      </c>
      <c r="AR1543">
        <v>68</v>
      </c>
      <c r="AS1543">
        <v>690</v>
      </c>
      <c r="AT1543">
        <v>1355</v>
      </c>
      <c r="AW1543" t="s">
        <v>469</v>
      </c>
      <c r="AX1543" t="s">
        <v>570</v>
      </c>
    </row>
    <row r="1544" spans="1:50" x14ac:dyDescent="0.45">
      <c r="A1544">
        <v>30100</v>
      </c>
      <c r="B1544">
        <v>1</v>
      </c>
      <c r="C1544">
        <v>45</v>
      </c>
      <c r="D1544">
        <v>5</v>
      </c>
      <c r="E1544">
        <v>5</v>
      </c>
      <c r="F1544">
        <v>0</v>
      </c>
      <c r="G1544">
        <v>0</v>
      </c>
      <c r="H1544">
        <v>0</v>
      </c>
      <c r="I1544">
        <v>0</v>
      </c>
      <c r="J1544">
        <v>45</v>
      </c>
      <c r="K1544">
        <v>0</v>
      </c>
      <c r="L1544">
        <v>0</v>
      </c>
      <c r="M1544">
        <v>0</v>
      </c>
      <c r="N1544">
        <v>0</v>
      </c>
      <c r="O1544">
        <v>0</v>
      </c>
      <c r="P1544">
        <v>0</v>
      </c>
      <c r="Q1544">
        <v>0</v>
      </c>
      <c r="R1544">
        <v>0</v>
      </c>
      <c r="S1544">
        <v>0</v>
      </c>
      <c r="T1544">
        <v>0</v>
      </c>
      <c r="U1544">
        <v>0</v>
      </c>
      <c r="Y1544">
        <v>0</v>
      </c>
      <c r="Z1544">
        <v>0</v>
      </c>
      <c r="AA1544">
        <v>0</v>
      </c>
      <c r="AB1544">
        <v>0</v>
      </c>
      <c r="AC1544">
        <v>1</v>
      </c>
      <c r="AD1544">
        <v>523</v>
      </c>
      <c r="AF1544">
        <v>1</v>
      </c>
      <c r="AG1544">
        <v>0</v>
      </c>
      <c r="AH1544">
        <v>0</v>
      </c>
      <c r="AI1544">
        <v>0</v>
      </c>
      <c r="AO1544">
        <v>-1.65</v>
      </c>
      <c r="AP1544">
        <v>12.5</v>
      </c>
      <c r="AQ1544">
        <v>523</v>
      </c>
      <c r="AR1544">
        <v>73</v>
      </c>
      <c r="AS1544">
        <v>955</v>
      </c>
      <c r="AT1544">
        <v>1055</v>
      </c>
      <c r="AW1544" t="s">
        <v>469</v>
      </c>
      <c r="AX1544" t="s">
        <v>570</v>
      </c>
    </row>
    <row r="1545" spans="1:50" x14ac:dyDescent="0.45">
      <c r="A1545">
        <v>30101</v>
      </c>
      <c r="B1545">
        <v>1</v>
      </c>
      <c r="C1545">
        <v>44</v>
      </c>
      <c r="D1545">
        <v>5</v>
      </c>
      <c r="E1545">
        <v>7</v>
      </c>
      <c r="F1545">
        <v>0</v>
      </c>
      <c r="G1545">
        <v>0</v>
      </c>
      <c r="H1545">
        <v>0</v>
      </c>
      <c r="I1545">
        <v>0</v>
      </c>
      <c r="J1545">
        <v>44</v>
      </c>
      <c r="K1545">
        <v>0</v>
      </c>
      <c r="L1545">
        <v>0</v>
      </c>
      <c r="M1545">
        <v>0</v>
      </c>
      <c r="N1545">
        <v>0</v>
      </c>
      <c r="O1545">
        <v>0</v>
      </c>
      <c r="P1545">
        <v>0</v>
      </c>
      <c r="Q1545">
        <v>0</v>
      </c>
      <c r="R1545">
        <v>0</v>
      </c>
      <c r="S1545">
        <v>0</v>
      </c>
      <c r="T1545">
        <v>0</v>
      </c>
      <c r="U1545">
        <v>0</v>
      </c>
      <c r="Y1545">
        <v>0</v>
      </c>
      <c r="Z1545">
        <v>0</v>
      </c>
      <c r="AA1545">
        <v>0</v>
      </c>
      <c r="AB1545">
        <v>0</v>
      </c>
      <c r="AC1545">
        <v>1</v>
      </c>
      <c r="AD1545">
        <v>506.29999999999995</v>
      </c>
      <c r="AF1545">
        <v>1</v>
      </c>
      <c r="AG1545">
        <v>0</v>
      </c>
      <c r="AH1545">
        <v>0</v>
      </c>
      <c r="AI1545">
        <v>0</v>
      </c>
      <c r="AO1545">
        <v>-0.30999999999999961</v>
      </c>
      <c r="AP1545">
        <v>12.333333333333332</v>
      </c>
      <c r="AQ1545">
        <v>506.29999999999995</v>
      </c>
      <c r="AR1545">
        <v>81</v>
      </c>
      <c r="AS1545">
        <v>1065</v>
      </c>
      <c r="AT1545">
        <v>1185</v>
      </c>
      <c r="AW1545" t="s">
        <v>469</v>
      </c>
      <c r="AX1545" t="s">
        <v>570</v>
      </c>
    </row>
    <row r="1546" spans="1:50" x14ac:dyDescent="0.45">
      <c r="A1546">
        <v>30102</v>
      </c>
      <c r="B1546">
        <v>1</v>
      </c>
      <c r="C1546">
        <v>61.87</v>
      </c>
      <c r="D1546">
        <v>0</v>
      </c>
      <c r="E1546">
        <v>0</v>
      </c>
      <c r="F1546">
        <v>0</v>
      </c>
      <c r="G1546">
        <v>0</v>
      </c>
      <c r="H1546">
        <v>0</v>
      </c>
      <c r="I1546">
        <v>0</v>
      </c>
      <c r="J1546">
        <v>0</v>
      </c>
      <c r="K1546">
        <v>38</v>
      </c>
      <c r="L1546">
        <v>0</v>
      </c>
      <c r="M1546">
        <v>0</v>
      </c>
      <c r="N1546">
        <v>0</v>
      </c>
      <c r="O1546">
        <v>0</v>
      </c>
      <c r="P1546">
        <v>0</v>
      </c>
      <c r="Q1546">
        <v>0</v>
      </c>
      <c r="R1546">
        <v>0</v>
      </c>
      <c r="S1546">
        <v>0</v>
      </c>
      <c r="T1546">
        <v>0.13</v>
      </c>
      <c r="U1546">
        <v>0</v>
      </c>
      <c r="Y1546">
        <v>0</v>
      </c>
      <c r="Z1546">
        <v>0</v>
      </c>
      <c r="AA1546">
        <v>0</v>
      </c>
      <c r="AB1546">
        <v>0</v>
      </c>
      <c r="AC1546">
        <v>1</v>
      </c>
      <c r="AD1546">
        <v>897.99</v>
      </c>
      <c r="AF1546">
        <v>1</v>
      </c>
      <c r="AG1546">
        <v>0</v>
      </c>
      <c r="AH1546">
        <v>0</v>
      </c>
      <c r="AI1546">
        <v>0</v>
      </c>
      <c r="AO1546">
        <v>10.64</v>
      </c>
      <c r="AP1546">
        <v>1.3000000000000001E-2</v>
      </c>
      <c r="AQ1546">
        <v>897.99</v>
      </c>
      <c r="AR1546">
        <v>56</v>
      </c>
      <c r="AS1546">
        <v>203</v>
      </c>
      <c r="AT1546">
        <v>481</v>
      </c>
      <c r="AW1546" t="s">
        <v>470</v>
      </c>
      <c r="AX1546" t="s">
        <v>571</v>
      </c>
    </row>
    <row r="1547" spans="1:50" x14ac:dyDescent="0.45">
      <c r="A1547">
        <v>30103</v>
      </c>
      <c r="B1547">
        <v>1</v>
      </c>
      <c r="C1547">
        <v>61.76</v>
      </c>
      <c r="D1547">
        <v>0</v>
      </c>
      <c r="E1547">
        <v>0</v>
      </c>
      <c r="F1547">
        <v>0</v>
      </c>
      <c r="G1547">
        <v>0</v>
      </c>
      <c r="H1547">
        <v>0</v>
      </c>
      <c r="I1547">
        <v>0</v>
      </c>
      <c r="J1547">
        <v>0</v>
      </c>
      <c r="K1547">
        <v>38</v>
      </c>
      <c r="L1547">
        <v>0</v>
      </c>
      <c r="M1547">
        <v>0</v>
      </c>
      <c r="N1547">
        <v>0</v>
      </c>
      <c r="O1547">
        <v>0</v>
      </c>
      <c r="P1547">
        <v>0</v>
      </c>
      <c r="Q1547">
        <v>0</v>
      </c>
      <c r="R1547">
        <v>0</v>
      </c>
      <c r="S1547">
        <v>0</v>
      </c>
      <c r="T1547">
        <v>0.24</v>
      </c>
      <c r="U1547">
        <v>0</v>
      </c>
      <c r="Y1547">
        <v>0</v>
      </c>
      <c r="Z1547">
        <v>0</v>
      </c>
      <c r="AA1547">
        <v>0</v>
      </c>
      <c r="AB1547">
        <v>0</v>
      </c>
      <c r="AC1547">
        <v>1</v>
      </c>
      <c r="AD1547">
        <v>911.52</v>
      </c>
      <c r="AF1547">
        <v>1</v>
      </c>
      <c r="AG1547">
        <v>0</v>
      </c>
      <c r="AH1547">
        <v>0</v>
      </c>
      <c r="AI1547">
        <v>0</v>
      </c>
      <c r="AO1547">
        <v>10.64</v>
      </c>
      <c r="AP1547">
        <v>2.4E-2</v>
      </c>
      <c r="AQ1547">
        <v>911.52</v>
      </c>
      <c r="AR1547">
        <v>58</v>
      </c>
      <c r="AS1547">
        <v>301</v>
      </c>
      <c r="AT1547">
        <v>578</v>
      </c>
      <c r="AW1547" t="s">
        <v>470</v>
      </c>
      <c r="AX1547" t="s">
        <v>571</v>
      </c>
    </row>
    <row r="1548" spans="1:50" x14ac:dyDescent="0.45">
      <c r="A1548">
        <v>30104</v>
      </c>
      <c r="B1548">
        <v>1</v>
      </c>
      <c r="C1548">
        <v>61.54</v>
      </c>
      <c r="D1548">
        <v>0</v>
      </c>
      <c r="E1548">
        <v>0</v>
      </c>
      <c r="F1548">
        <v>0</v>
      </c>
      <c r="G1548">
        <v>0</v>
      </c>
      <c r="H1548">
        <v>0</v>
      </c>
      <c r="I1548">
        <v>0</v>
      </c>
      <c r="J1548">
        <v>0</v>
      </c>
      <c r="K1548">
        <v>38</v>
      </c>
      <c r="L1548">
        <v>0</v>
      </c>
      <c r="M1548">
        <v>0</v>
      </c>
      <c r="N1548">
        <v>0</v>
      </c>
      <c r="O1548">
        <v>0</v>
      </c>
      <c r="P1548">
        <v>0</v>
      </c>
      <c r="Q1548">
        <v>0</v>
      </c>
      <c r="R1548">
        <v>0</v>
      </c>
      <c r="S1548">
        <v>0</v>
      </c>
      <c r="T1548">
        <v>0.46</v>
      </c>
      <c r="U1548">
        <v>0</v>
      </c>
      <c r="Y1548">
        <v>0</v>
      </c>
      <c r="Z1548">
        <v>0</v>
      </c>
      <c r="AA1548">
        <v>0</v>
      </c>
      <c r="AB1548">
        <v>0</v>
      </c>
      <c r="AC1548">
        <v>1</v>
      </c>
      <c r="AD1548">
        <v>938.58</v>
      </c>
      <c r="AF1548">
        <v>1</v>
      </c>
      <c r="AG1548">
        <v>0</v>
      </c>
      <c r="AH1548">
        <v>0</v>
      </c>
      <c r="AI1548">
        <v>0</v>
      </c>
      <c r="AO1548">
        <v>10.64</v>
      </c>
      <c r="AP1548">
        <v>4.5999999999999999E-2</v>
      </c>
      <c r="AQ1548">
        <v>938.58</v>
      </c>
      <c r="AR1548">
        <v>62</v>
      </c>
      <c r="AS1548">
        <v>575</v>
      </c>
      <c r="AT1548">
        <v>780</v>
      </c>
      <c r="AW1548" t="s">
        <v>470</v>
      </c>
      <c r="AX1548" t="s">
        <v>571</v>
      </c>
    </row>
    <row r="1549" spans="1:50" x14ac:dyDescent="0.45">
      <c r="A1549">
        <v>30105</v>
      </c>
      <c r="B1549">
        <v>1</v>
      </c>
      <c r="C1549">
        <v>83</v>
      </c>
      <c r="D1549">
        <v>0</v>
      </c>
      <c r="E1549">
        <v>0</v>
      </c>
      <c r="F1549">
        <v>0</v>
      </c>
      <c r="G1549">
        <v>0</v>
      </c>
      <c r="H1549">
        <v>0</v>
      </c>
      <c r="I1549">
        <v>0</v>
      </c>
      <c r="J1549">
        <v>5</v>
      </c>
      <c r="K1549">
        <v>0</v>
      </c>
      <c r="L1549">
        <v>12</v>
      </c>
      <c r="M1549">
        <v>0</v>
      </c>
      <c r="N1549">
        <v>0</v>
      </c>
      <c r="O1549">
        <v>0</v>
      </c>
      <c r="P1549">
        <v>0</v>
      </c>
      <c r="Q1549">
        <v>0</v>
      </c>
      <c r="R1549">
        <v>0</v>
      </c>
      <c r="S1549">
        <v>0</v>
      </c>
      <c r="T1549">
        <v>0</v>
      </c>
      <c r="U1549">
        <v>0</v>
      </c>
      <c r="Y1549">
        <v>0</v>
      </c>
      <c r="Z1549">
        <v>0</v>
      </c>
      <c r="AA1549">
        <v>0</v>
      </c>
      <c r="AB1549">
        <v>0</v>
      </c>
      <c r="AC1549">
        <v>1</v>
      </c>
      <c r="AD1549">
        <v>733.5</v>
      </c>
      <c r="AF1549">
        <v>1</v>
      </c>
      <c r="AG1549">
        <v>0</v>
      </c>
      <c r="AH1549">
        <v>0</v>
      </c>
      <c r="AI1549">
        <v>0</v>
      </c>
      <c r="AO1549">
        <v>12</v>
      </c>
      <c r="AP1549">
        <v>0.83333333333333337</v>
      </c>
      <c r="AQ1549">
        <v>733.5</v>
      </c>
      <c r="AR1549">
        <v>64.5</v>
      </c>
      <c r="AS1549">
        <v>509</v>
      </c>
      <c r="AT1549">
        <v>628</v>
      </c>
      <c r="AV1549">
        <v>442</v>
      </c>
      <c r="AW1549" t="s">
        <v>471</v>
      </c>
      <c r="AX1549" t="s">
        <v>572</v>
      </c>
    </row>
    <row r="1550" spans="1:50" x14ac:dyDescent="0.45">
      <c r="A1550">
        <v>30106</v>
      </c>
      <c r="B1550">
        <v>1</v>
      </c>
      <c r="C1550">
        <v>50</v>
      </c>
      <c r="D1550">
        <v>0</v>
      </c>
      <c r="E1550">
        <v>0</v>
      </c>
      <c r="F1550">
        <v>0</v>
      </c>
      <c r="G1550">
        <v>0</v>
      </c>
      <c r="H1550">
        <v>0</v>
      </c>
      <c r="I1550">
        <v>0</v>
      </c>
      <c r="J1550">
        <v>0</v>
      </c>
      <c r="K1550">
        <v>25</v>
      </c>
      <c r="L1550">
        <v>0</v>
      </c>
      <c r="M1550">
        <v>0</v>
      </c>
      <c r="N1550">
        <v>0</v>
      </c>
      <c r="O1550">
        <v>25</v>
      </c>
      <c r="P1550">
        <v>0</v>
      </c>
      <c r="Q1550">
        <v>0</v>
      </c>
      <c r="R1550">
        <v>0</v>
      </c>
      <c r="S1550">
        <v>0</v>
      </c>
      <c r="T1550">
        <v>0</v>
      </c>
      <c r="U1550">
        <v>0</v>
      </c>
      <c r="Y1550">
        <v>0</v>
      </c>
      <c r="Z1550">
        <v>0</v>
      </c>
      <c r="AA1550">
        <v>0</v>
      </c>
      <c r="AB1550">
        <v>0</v>
      </c>
      <c r="AC1550">
        <v>1</v>
      </c>
      <c r="AD1550">
        <v>882</v>
      </c>
      <c r="AF1550">
        <v>1</v>
      </c>
      <c r="AG1550">
        <v>0</v>
      </c>
      <c r="AH1550">
        <v>0</v>
      </c>
      <c r="AI1550">
        <v>0</v>
      </c>
      <c r="AO1550">
        <v>12.5</v>
      </c>
      <c r="AP1550">
        <v>0</v>
      </c>
      <c r="AQ1550">
        <v>882</v>
      </c>
      <c r="AR1550">
        <v>55</v>
      </c>
      <c r="AS1550">
        <v>200</v>
      </c>
      <c r="AT1550">
        <v>530</v>
      </c>
      <c r="AV1550">
        <v>145</v>
      </c>
      <c r="AW1550" t="s">
        <v>472</v>
      </c>
      <c r="AX1550" t="s">
        <v>573</v>
      </c>
    </row>
    <row r="1551" spans="1:50" x14ac:dyDescent="0.45">
      <c r="A1551">
        <v>30107</v>
      </c>
      <c r="B1551">
        <v>1</v>
      </c>
      <c r="C1551">
        <v>100</v>
      </c>
      <c r="D1551">
        <v>0</v>
      </c>
      <c r="E1551">
        <v>0</v>
      </c>
      <c r="F1551">
        <v>0</v>
      </c>
      <c r="G1551">
        <v>0</v>
      </c>
      <c r="H1551">
        <v>0</v>
      </c>
      <c r="I1551">
        <v>0</v>
      </c>
      <c r="J1551">
        <v>0</v>
      </c>
      <c r="K1551">
        <v>0</v>
      </c>
      <c r="L1551">
        <v>0</v>
      </c>
      <c r="M1551">
        <v>0</v>
      </c>
      <c r="N1551">
        <v>0</v>
      </c>
      <c r="O1551">
        <v>0</v>
      </c>
      <c r="P1551">
        <v>0</v>
      </c>
      <c r="Q1551">
        <v>0</v>
      </c>
      <c r="R1551">
        <v>0</v>
      </c>
      <c r="S1551">
        <v>0</v>
      </c>
      <c r="T1551">
        <v>0</v>
      </c>
      <c r="U1551">
        <v>0</v>
      </c>
      <c r="Y1551">
        <v>0</v>
      </c>
      <c r="Z1551">
        <v>0</v>
      </c>
      <c r="AA1551">
        <v>0</v>
      </c>
      <c r="AB1551">
        <v>0</v>
      </c>
      <c r="AC1551">
        <v>1</v>
      </c>
      <c r="AD1551">
        <v>882</v>
      </c>
      <c r="AI1551">
        <v>0</v>
      </c>
      <c r="AO1551">
        <v>0</v>
      </c>
      <c r="AP1551">
        <v>0</v>
      </c>
      <c r="AQ1551">
        <v>882</v>
      </c>
      <c r="AR1551">
        <v>105</v>
      </c>
      <c r="AS1551">
        <v>200</v>
      </c>
      <c r="AT1551">
        <v>360</v>
      </c>
      <c r="AV1551">
        <v>134</v>
      </c>
      <c r="AW1551" t="s">
        <v>472</v>
      </c>
      <c r="AX1551" t="s">
        <v>573</v>
      </c>
    </row>
    <row r="1552" spans="1:50" x14ac:dyDescent="0.45">
      <c r="A1552">
        <v>30108</v>
      </c>
      <c r="B1552">
        <v>1</v>
      </c>
      <c r="C1552">
        <v>84.85</v>
      </c>
      <c r="D1552">
        <v>0</v>
      </c>
      <c r="E1552">
        <v>0</v>
      </c>
      <c r="F1552">
        <v>0</v>
      </c>
      <c r="G1552">
        <v>0</v>
      </c>
      <c r="H1552">
        <v>0</v>
      </c>
      <c r="I1552">
        <v>0</v>
      </c>
      <c r="J1552">
        <v>0</v>
      </c>
      <c r="K1552">
        <v>15</v>
      </c>
      <c r="L1552">
        <v>0</v>
      </c>
      <c r="M1552">
        <v>0</v>
      </c>
      <c r="N1552">
        <v>0</v>
      </c>
      <c r="O1552">
        <v>0</v>
      </c>
      <c r="P1552">
        <v>0</v>
      </c>
      <c r="Q1552">
        <v>0</v>
      </c>
      <c r="R1552">
        <v>0</v>
      </c>
      <c r="S1552">
        <v>0</v>
      </c>
      <c r="T1552">
        <v>0.15</v>
      </c>
      <c r="U1552">
        <v>0</v>
      </c>
      <c r="Y1552">
        <v>0</v>
      </c>
      <c r="Z1552">
        <v>0</v>
      </c>
      <c r="AA1552">
        <v>0</v>
      </c>
      <c r="AB1552">
        <v>0</v>
      </c>
      <c r="AC1552">
        <v>1</v>
      </c>
      <c r="AD1552">
        <v>900.45</v>
      </c>
      <c r="AI1552">
        <v>0</v>
      </c>
      <c r="AO1552">
        <v>4.2</v>
      </c>
      <c r="AP1552">
        <v>1.4999999999999999E-2</v>
      </c>
      <c r="AQ1552">
        <v>900.45</v>
      </c>
      <c r="AR1552">
        <v>96</v>
      </c>
      <c r="AS1552">
        <v>558</v>
      </c>
      <c r="AV1552">
        <v>211</v>
      </c>
      <c r="AW1552" t="s">
        <v>473</v>
      </c>
      <c r="AX1552" t="s">
        <v>574</v>
      </c>
    </row>
    <row r="1553" spans="1:50" x14ac:dyDescent="0.45">
      <c r="A1553">
        <v>30109</v>
      </c>
      <c r="B1553">
        <v>1</v>
      </c>
      <c r="C1553">
        <v>84.75</v>
      </c>
      <c r="D1553">
        <v>0</v>
      </c>
      <c r="E1553">
        <v>0</v>
      </c>
      <c r="F1553">
        <v>0</v>
      </c>
      <c r="G1553">
        <v>0</v>
      </c>
      <c r="H1553">
        <v>0</v>
      </c>
      <c r="I1553">
        <v>0</v>
      </c>
      <c r="J1553">
        <v>0</v>
      </c>
      <c r="K1553">
        <v>15</v>
      </c>
      <c r="L1553">
        <v>0</v>
      </c>
      <c r="M1553">
        <v>0</v>
      </c>
      <c r="N1553">
        <v>0</v>
      </c>
      <c r="O1553">
        <v>0</v>
      </c>
      <c r="P1553">
        <v>0</v>
      </c>
      <c r="Q1553">
        <v>0</v>
      </c>
      <c r="R1553">
        <v>0</v>
      </c>
      <c r="S1553">
        <v>0</v>
      </c>
      <c r="T1553">
        <v>0.25</v>
      </c>
      <c r="U1553">
        <v>0</v>
      </c>
      <c r="Y1553">
        <v>0</v>
      </c>
      <c r="Z1553">
        <v>0</v>
      </c>
      <c r="AA1553">
        <v>0</v>
      </c>
      <c r="AB1553">
        <v>0</v>
      </c>
      <c r="AC1553">
        <v>1</v>
      </c>
      <c r="AD1553">
        <v>912.75</v>
      </c>
      <c r="AI1553">
        <v>0</v>
      </c>
      <c r="AO1553">
        <v>4.2</v>
      </c>
      <c r="AP1553">
        <v>2.5000000000000001E-2</v>
      </c>
      <c r="AQ1553">
        <v>912.75</v>
      </c>
      <c r="AR1553">
        <v>103</v>
      </c>
      <c r="AS1553">
        <v>744</v>
      </c>
      <c r="AV1553">
        <v>245</v>
      </c>
      <c r="AW1553" t="s">
        <v>473</v>
      </c>
      <c r="AX1553" t="s">
        <v>574</v>
      </c>
    </row>
    <row r="1554" spans="1:50" x14ac:dyDescent="0.45">
      <c r="A1554">
        <v>30110</v>
      </c>
      <c r="B1554">
        <v>1</v>
      </c>
      <c r="C1554">
        <v>84.6</v>
      </c>
      <c r="D1554">
        <v>0</v>
      </c>
      <c r="E1554">
        <v>0</v>
      </c>
      <c r="F1554">
        <v>0</v>
      </c>
      <c r="G1554">
        <v>0</v>
      </c>
      <c r="H1554">
        <v>0</v>
      </c>
      <c r="I1554">
        <v>0</v>
      </c>
      <c r="J1554">
        <v>0</v>
      </c>
      <c r="K1554">
        <v>15</v>
      </c>
      <c r="L1554">
        <v>0</v>
      </c>
      <c r="M1554">
        <v>0</v>
      </c>
      <c r="N1554">
        <v>0</v>
      </c>
      <c r="O1554">
        <v>0</v>
      </c>
      <c r="P1554">
        <v>0</v>
      </c>
      <c r="Q1554">
        <v>0</v>
      </c>
      <c r="R1554">
        <v>0</v>
      </c>
      <c r="S1554">
        <v>0</v>
      </c>
      <c r="T1554">
        <v>0.4</v>
      </c>
      <c r="U1554">
        <v>0</v>
      </c>
      <c r="Y1554">
        <v>0</v>
      </c>
      <c r="Z1554">
        <v>0</v>
      </c>
      <c r="AA1554">
        <v>0</v>
      </c>
      <c r="AB1554">
        <v>0</v>
      </c>
      <c r="AC1554">
        <v>1</v>
      </c>
      <c r="AD1554">
        <v>931.2</v>
      </c>
      <c r="AI1554">
        <v>0</v>
      </c>
      <c r="AO1554">
        <v>4.2</v>
      </c>
      <c r="AP1554">
        <v>0.04</v>
      </c>
      <c r="AQ1554">
        <v>931.2</v>
      </c>
      <c r="AR1554">
        <v>102</v>
      </c>
      <c r="AS1554">
        <v>962</v>
      </c>
      <c r="AV1554">
        <v>265</v>
      </c>
      <c r="AW1554" t="s">
        <v>473</v>
      </c>
      <c r="AX1554" t="s">
        <v>574</v>
      </c>
    </row>
    <row r="1555" spans="1:50" x14ac:dyDescent="0.45">
      <c r="A1555">
        <v>30111</v>
      </c>
      <c r="B1555">
        <v>1</v>
      </c>
      <c r="C1555">
        <v>82.35</v>
      </c>
      <c r="D1555">
        <v>0</v>
      </c>
      <c r="E1555">
        <v>0</v>
      </c>
      <c r="F1555">
        <v>0</v>
      </c>
      <c r="G1555">
        <v>0</v>
      </c>
      <c r="H1555">
        <v>0</v>
      </c>
      <c r="I1555">
        <v>0</v>
      </c>
      <c r="J1555">
        <v>0</v>
      </c>
      <c r="K1555">
        <v>17.5</v>
      </c>
      <c r="L1555">
        <v>0</v>
      </c>
      <c r="M1555">
        <v>0</v>
      </c>
      <c r="N1555">
        <v>0</v>
      </c>
      <c r="O1555">
        <v>0</v>
      </c>
      <c r="P1555">
        <v>0</v>
      </c>
      <c r="Q1555">
        <v>0</v>
      </c>
      <c r="R1555">
        <v>0</v>
      </c>
      <c r="S1555">
        <v>0</v>
      </c>
      <c r="T1555">
        <v>0.15</v>
      </c>
      <c r="U1555">
        <v>0</v>
      </c>
      <c r="Y1555">
        <v>0</v>
      </c>
      <c r="Z1555">
        <v>0</v>
      </c>
      <c r="AA1555">
        <v>0</v>
      </c>
      <c r="AB1555">
        <v>0</v>
      </c>
      <c r="AC1555">
        <v>1</v>
      </c>
      <c r="AD1555">
        <v>900.45</v>
      </c>
      <c r="AI1555">
        <v>0</v>
      </c>
      <c r="AO1555">
        <v>4.9000000000000004</v>
      </c>
      <c r="AP1555">
        <v>1.4999999999999999E-2</v>
      </c>
      <c r="AQ1555">
        <v>900.45</v>
      </c>
      <c r="AR1555">
        <v>89</v>
      </c>
      <c r="AS1555">
        <v>628</v>
      </c>
      <c r="AV1555">
        <v>220</v>
      </c>
      <c r="AW1555" t="s">
        <v>473</v>
      </c>
      <c r="AX1555" t="s">
        <v>574</v>
      </c>
    </row>
    <row r="1556" spans="1:50" x14ac:dyDescent="0.45">
      <c r="A1556">
        <v>30112</v>
      </c>
      <c r="B1556">
        <v>1</v>
      </c>
      <c r="C1556">
        <v>82.25</v>
      </c>
      <c r="D1556">
        <v>0</v>
      </c>
      <c r="E1556">
        <v>0</v>
      </c>
      <c r="F1556">
        <v>0</v>
      </c>
      <c r="G1556">
        <v>0</v>
      </c>
      <c r="H1556">
        <v>0</v>
      </c>
      <c r="I1556">
        <v>0</v>
      </c>
      <c r="J1556">
        <v>0</v>
      </c>
      <c r="K1556">
        <v>17.5</v>
      </c>
      <c r="L1556">
        <v>0</v>
      </c>
      <c r="M1556">
        <v>0</v>
      </c>
      <c r="N1556">
        <v>0</v>
      </c>
      <c r="O1556">
        <v>0</v>
      </c>
      <c r="P1556">
        <v>0</v>
      </c>
      <c r="Q1556">
        <v>0</v>
      </c>
      <c r="R1556">
        <v>0</v>
      </c>
      <c r="S1556">
        <v>0</v>
      </c>
      <c r="T1556">
        <v>0.25</v>
      </c>
      <c r="U1556">
        <v>0</v>
      </c>
      <c r="Y1556">
        <v>0</v>
      </c>
      <c r="Z1556">
        <v>0</v>
      </c>
      <c r="AA1556">
        <v>0</v>
      </c>
      <c r="AB1556">
        <v>0</v>
      </c>
      <c r="AC1556">
        <v>1</v>
      </c>
      <c r="AD1556">
        <v>912.75</v>
      </c>
      <c r="AI1556">
        <v>0</v>
      </c>
      <c r="AO1556">
        <v>4.9000000000000004</v>
      </c>
      <c r="AP1556">
        <v>2.5000000000000001E-2</v>
      </c>
      <c r="AQ1556">
        <v>912.75</v>
      </c>
      <c r="AR1556">
        <v>91</v>
      </c>
      <c r="AS1556">
        <v>822</v>
      </c>
      <c r="AV1556">
        <v>252</v>
      </c>
      <c r="AW1556" t="s">
        <v>473</v>
      </c>
      <c r="AX1556" t="s">
        <v>574</v>
      </c>
    </row>
    <row r="1557" spans="1:50" x14ac:dyDescent="0.45">
      <c r="A1557">
        <v>30113</v>
      </c>
      <c r="B1557">
        <v>1</v>
      </c>
      <c r="C1557">
        <v>82.1</v>
      </c>
      <c r="D1557">
        <v>0</v>
      </c>
      <c r="E1557">
        <v>0</v>
      </c>
      <c r="F1557">
        <v>0</v>
      </c>
      <c r="G1557">
        <v>0</v>
      </c>
      <c r="H1557">
        <v>0</v>
      </c>
      <c r="I1557">
        <v>0</v>
      </c>
      <c r="J1557">
        <v>0</v>
      </c>
      <c r="K1557">
        <v>17.5</v>
      </c>
      <c r="L1557">
        <v>0</v>
      </c>
      <c r="M1557">
        <v>0</v>
      </c>
      <c r="N1557">
        <v>0</v>
      </c>
      <c r="O1557">
        <v>0</v>
      </c>
      <c r="P1557">
        <v>0</v>
      </c>
      <c r="Q1557">
        <v>0</v>
      </c>
      <c r="R1557">
        <v>0</v>
      </c>
      <c r="S1557">
        <v>0</v>
      </c>
      <c r="T1557">
        <v>0.4</v>
      </c>
      <c r="U1557">
        <v>0</v>
      </c>
      <c r="Y1557">
        <v>0</v>
      </c>
      <c r="Z1557">
        <v>0</v>
      </c>
      <c r="AA1557">
        <v>0</v>
      </c>
      <c r="AB1557">
        <v>0</v>
      </c>
      <c r="AC1557">
        <v>1</v>
      </c>
      <c r="AD1557">
        <v>931.2</v>
      </c>
      <c r="AI1557">
        <v>0</v>
      </c>
      <c r="AO1557">
        <v>4.9000000000000004</v>
      </c>
      <c r="AP1557">
        <v>0.04</v>
      </c>
      <c r="AQ1557">
        <v>931.2</v>
      </c>
      <c r="AR1557">
        <v>92</v>
      </c>
      <c r="AS1557">
        <v>893</v>
      </c>
      <c r="AV1557">
        <v>275</v>
      </c>
      <c r="AW1557" t="s">
        <v>473</v>
      </c>
      <c r="AX1557" t="s">
        <v>574</v>
      </c>
    </row>
    <row r="1558" spans="1:50" x14ac:dyDescent="0.45">
      <c r="A1558">
        <v>30114</v>
      </c>
      <c r="B1558">
        <v>1</v>
      </c>
      <c r="C1558">
        <v>79.849999999999994</v>
      </c>
      <c r="D1558">
        <v>0</v>
      </c>
      <c r="E1558">
        <v>0</v>
      </c>
      <c r="F1558">
        <v>0</v>
      </c>
      <c r="G1558">
        <v>0</v>
      </c>
      <c r="H1558">
        <v>0</v>
      </c>
      <c r="I1558">
        <v>0</v>
      </c>
      <c r="J1558">
        <v>0</v>
      </c>
      <c r="K1558">
        <v>20</v>
      </c>
      <c r="L1558">
        <v>0</v>
      </c>
      <c r="M1558">
        <v>0</v>
      </c>
      <c r="N1558">
        <v>0</v>
      </c>
      <c r="O1558">
        <v>0</v>
      </c>
      <c r="P1558">
        <v>0</v>
      </c>
      <c r="Q1558">
        <v>0</v>
      </c>
      <c r="R1558">
        <v>0</v>
      </c>
      <c r="S1558">
        <v>0</v>
      </c>
      <c r="T1558">
        <v>0.15</v>
      </c>
      <c r="U1558">
        <v>0</v>
      </c>
      <c r="Y1558">
        <v>0</v>
      </c>
      <c r="Z1558">
        <v>0</v>
      </c>
      <c r="AA1558">
        <v>0</v>
      </c>
      <c r="AB1558">
        <v>0</v>
      </c>
      <c r="AC1558">
        <v>1</v>
      </c>
      <c r="AD1558">
        <v>900.45</v>
      </c>
      <c r="AI1558">
        <v>0</v>
      </c>
      <c r="AO1558">
        <v>5.6000000000000005</v>
      </c>
      <c r="AP1558">
        <v>1.4999999999999999E-2</v>
      </c>
      <c r="AQ1558">
        <v>900.45</v>
      </c>
      <c r="AR1558">
        <v>89</v>
      </c>
      <c r="AS1558">
        <v>655</v>
      </c>
      <c r="AV1558">
        <v>239</v>
      </c>
      <c r="AW1558" t="s">
        <v>473</v>
      </c>
      <c r="AX1558" t="s">
        <v>574</v>
      </c>
    </row>
    <row r="1559" spans="1:50" x14ac:dyDescent="0.45">
      <c r="A1559">
        <v>30115</v>
      </c>
      <c r="B1559">
        <v>1</v>
      </c>
      <c r="C1559">
        <v>79.75</v>
      </c>
      <c r="D1559">
        <v>0</v>
      </c>
      <c r="E1559">
        <v>0</v>
      </c>
      <c r="F1559">
        <v>0</v>
      </c>
      <c r="G1559">
        <v>0</v>
      </c>
      <c r="H1559">
        <v>0</v>
      </c>
      <c r="I1559">
        <v>0</v>
      </c>
      <c r="J1559">
        <v>0</v>
      </c>
      <c r="K1559">
        <v>20</v>
      </c>
      <c r="L1559">
        <v>0</v>
      </c>
      <c r="M1559">
        <v>0</v>
      </c>
      <c r="N1559">
        <v>0</v>
      </c>
      <c r="O1559">
        <v>0</v>
      </c>
      <c r="P1559">
        <v>0</v>
      </c>
      <c r="Q1559">
        <v>0</v>
      </c>
      <c r="R1559">
        <v>0</v>
      </c>
      <c r="S1559">
        <v>0</v>
      </c>
      <c r="T1559">
        <v>0.25</v>
      </c>
      <c r="U1559">
        <v>0</v>
      </c>
      <c r="Y1559">
        <v>0</v>
      </c>
      <c r="Z1559">
        <v>0</v>
      </c>
      <c r="AA1559">
        <v>0</v>
      </c>
      <c r="AB1559">
        <v>0</v>
      </c>
      <c r="AC1559">
        <v>1</v>
      </c>
      <c r="AD1559">
        <v>912.75</v>
      </c>
      <c r="AI1559">
        <v>0</v>
      </c>
      <c r="AO1559">
        <v>5.6000000000000005</v>
      </c>
      <c r="AP1559">
        <v>2.5000000000000001E-2</v>
      </c>
      <c r="AQ1559">
        <v>912.75</v>
      </c>
      <c r="AR1559">
        <v>87</v>
      </c>
      <c r="AS1559">
        <v>818</v>
      </c>
      <c r="AV1559">
        <v>273</v>
      </c>
      <c r="AW1559" t="s">
        <v>473</v>
      </c>
      <c r="AX1559" t="s">
        <v>574</v>
      </c>
    </row>
    <row r="1560" spans="1:50" x14ac:dyDescent="0.45">
      <c r="A1560">
        <v>30116</v>
      </c>
      <c r="B1560">
        <v>1</v>
      </c>
      <c r="C1560">
        <v>79.599999999999994</v>
      </c>
      <c r="D1560">
        <v>0</v>
      </c>
      <c r="E1560">
        <v>0</v>
      </c>
      <c r="F1560">
        <v>0</v>
      </c>
      <c r="G1560">
        <v>0</v>
      </c>
      <c r="H1560">
        <v>0</v>
      </c>
      <c r="I1560">
        <v>0</v>
      </c>
      <c r="J1560">
        <v>0</v>
      </c>
      <c r="K1560">
        <v>20</v>
      </c>
      <c r="L1560">
        <v>0</v>
      </c>
      <c r="M1560">
        <v>0</v>
      </c>
      <c r="N1560">
        <v>0</v>
      </c>
      <c r="O1560">
        <v>0</v>
      </c>
      <c r="P1560">
        <v>0</v>
      </c>
      <c r="Q1560">
        <v>0</v>
      </c>
      <c r="R1560">
        <v>0</v>
      </c>
      <c r="S1560">
        <v>0</v>
      </c>
      <c r="T1560">
        <v>0.4</v>
      </c>
      <c r="U1560">
        <v>0</v>
      </c>
      <c r="Y1560">
        <v>0</v>
      </c>
      <c r="Z1560">
        <v>0</v>
      </c>
      <c r="AA1560">
        <v>0</v>
      </c>
      <c r="AB1560">
        <v>0</v>
      </c>
      <c r="AC1560">
        <v>1</v>
      </c>
      <c r="AD1560">
        <v>931.2</v>
      </c>
      <c r="AI1560">
        <v>0</v>
      </c>
      <c r="AO1560">
        <v>5.6000000000000005</v>
      </c>
      <c r="AP1560">
        <v>0.04</v>
      </c>
      <c r="AQ1560">
        <v>931.2</v>
      </c>
      <c r="AR1560">
        <v>94</v>
      </c>
      <c r="AS1560">
        <v>906</v>
      </c>
      <c r="AV1560">
        <v>291</v>
      </c>
      <c r="AW1560" t="s">
        <v>473</v>
      </c>
      <c r="AX1560" t="s">
        <v>574</v>
      </c>
    </row>
    <row r="1561" spans="1:50" x14ac:dyDescent="0.45">
      <c r="A1561">
        <v>30117</v>
      </c>
      <c r="B1561">
        <v>1</v>
      </c>
      <c r="C1561">
        <v>77.349999999999994</v>
      </c>
      <c r="D1561">
        <v>0</v>
      </c>
      <c r="E1561">
        <v>0</v>
      </c>
      <c r="F1561">
        <v>0</v>
      </c>
      <c r="G1561">
        <v>0</v>
      </c>
      <c r="H1561">
        <v>0</v>
      </c>
      <c r="I1561">
        <v>0</v>
      </c>
      <c r="J1561">
        <v>0</v>
      </c>
      <c r="K1561">
        <v>22.5</v>
      </c>
      <c r="L1561">
        <v>0</v>
      </c>
      <c r="M1561">
        <v>0</v>
      </c>
      <c r="N1561">
        <v>0</v>
      </c>
      <c r="O1561">
        <v>0</v>
      </c>
      <c r="P1561">
        <v>0</v>
      </c>
      <c r="Q1561">
        <v>0</v>
      </c>
      <c r="R1561">
        <v>0</v>
      </c>
      <c r="S1561">
        <v>0</v>
      </c>
      <c r="T1561">
        <v>0.15</v>
      </c>
      <c r="U1561">
        <v>0</v>
      </c>
      <c r="Y1561">
        <v>0</v>
      </c>
      <c r="Z1561">
        <v>0</v>
      </c>
      <c r="AA1561">
        <v>0</v>
      </c>
      <c r="AB1561">
        <v>0</v>
      </c>
      <c r="AC1561">
        <v>1</v>
      </c>
      <c r="AD1561">
        <v>900.45</v>
      </c>
      <c r="AI1561">
        <v>0</v>
      </c>
      <c r="AO1561">
        <v>6.3000000000000007</v>
      </c>
      <c r="AP1561">
        <v>1.4999999999999999E-2</v>
      </c>
      <c r="AQ1561">
        <v>900.45</v>
      </c>
      <c r="AR1561">
        <v>89</v>
      </c>
      <c r="AS1561">
        <v>734</v>
      </c>
      <c r="AV1561">
        <v>262</v>
      </c>
      <c r="AW1561" t="s">
        <v>473</v>
      </c>
      <c r="AX1561" t="s">
        <v>574</v>
      </c>
    </row>
    <row r="1562" spans="1:50" x14ac:dyDescent="0.45">
      <c r="A1562">
        <v>30118</v>
      </c>
      <c r="B1562">
        <v>1</v>
      </c>
      <c r="C1562">
        <v>77.25</v>
      </c>
      <c r="D1562">
        <v>0</v>
      </c>
      <c r="E1562">
        <v>0</v>
      </c>
      <c r="F1562">
        <v>0</v>
      </c>
      <c r="G1562">
        <v>0</v>
      </c>
      <c r="H1562">
        <v>0</v>
      </c>
      <c r="I1562">
        <v>0</v>
      </c>
      <c r="J1562">
        <v>0</v>
      </c>
      <c r="K1562">
        <v>22.5</v>
      </c>
      <c r="L1562">
        <v>0</v>
      </c>
      <c r="M1562">
        <v>0</v>
      </c>
      <c r="N1562">
        <v>0</v>
      </c>
      <c r="O1562">
        <v>0</v>
      </c>
      <c r="P1562">
        <v>0</v>
      </c>
      <c r="Q1562">
        <v>0</v>
      </c>
      <c r="R1562">
        <v>0</v>
      </c>
      <c r="S1562">
        <v>0</v>
      </c>
      <c r="T1562">
        <v>0.25</v>
      </c>
      <c r="U1562">
        <v>0</v>
      </c>
      <c r="Y1562">
        <v>0</v>
      </c>
      <c r="Z1562">
        <v>0</v>
      </c>
      <c r="AA1562">
        <v>0</v>
      </c>
      <c r="AB1562">
        <v>0</v>
      </c>
      <c r="AC1562">
        <v>1</v>
      </c>
      <c r="AD1562">
        <v>912.75</v>
      </c>
      <c r="AI1562">
        <v>0</v>
      </c>
      <c r="AO1562">
        <v>6.3000000000000007</v>
      </c>
      <c r="AP1562">
        <v>2.5000000000000001E-2</v>
      </c>
      <c r="AQ1562">
        <v>912.75</v>
      </c>
      <c r="AR1562">
        <v>99</v>
      </c>
      <c r="AS1562">
        <v>854</v>
      </c>
      <c r="AV1562">
        <v>290</v>
      </c>
      <c r="AW1562" t="s">
        <v>473</v>
      </c>
      <c r="AX1562" t="s">
        <v>574</v>
      </c>
    </row>
    <row r="1563" spans="1:50" x14ac:dyDescent="0.45">
      <c r="A1563">
        <v>30119</v>
      </c>
      <c r="B1563">
        <v>1</v>
      </c>
      <c r="C1563">
        <v>77.099999999999994</v>
      </c>
      <c r="D1563">
        <v>0</v>
      </c>
      <c r="E1563">
        <v>0</v>
      </c>
      <c r="F1563">
        <v>0</v>
      </c>
      <c r="G1563">
        <v>0</v>
      </c>
      <c r="H1563">
        <v>0</v>
      </c>
      <c r="I1563">
        <v>0</v>
      </c>
      <c r="J1563">
        <v>0</v>
      </c>
      <c r="K1563">
        <v>22.5</v>
      </c>
      <c r="L1563">
        <v>0</v>
      </c>
      <c r="M1563">
        <v>0</v>
      </c>
      <c r="N1563">
        <v>0</v>
      </c>
      <c r="O1563">
        <v>0</v>
      </c>
      <c r="P1563">
        <v>0</v>
      </c>
      <c r="Q1563">
        <v>0</v>
      </c>
      <c r="R1563">
        <v>0</v>
      </c>
      <c r="S1563">
        <v>0</v>
      </c>
      <c r="T1563">
        <v>0.4</v>
      </c>
      <c r="U1563">
        <v>0</v>
      </c>
      <c r="Y1563">
        <v>0</v>
      </c>
      <c r="Z1563">
        <v>0</v>
      </c>
      <c r="AA1563">
        <v>0</v>
      </c>
      <c r="AB1563">
        <v>0</v>
      </c>
      <c r="AC1563">
        <v>1</v>
      </c>
      <c r="AD1563">
        <v>931.2</v>
      </c>
      <c r="AI1563">
        <v>0</v>
      </c>
      <c r="AO1563">
        <v>6.3000000000000007</v>
      </c>
      <c r="AP1563">
        <v>0.04</v>
      </c>
      <c r="AQ1563">
        <v>931.2</v>
      </c>
      <c r="AR1563">
        <v>100</v>
      </c>
      <c r="AS1563">
        <v>930</v>
      </c>
      <c r="AV1563">
        <v>303</v>
      </c>
      <c r="AW1563" t="s">
        <v>473</v>
      </c>
      <c r="AX1563" t="s">
        <v>574</v>
      </c>
    </row>
    <row r="1564" spans="1:50" x14ac:dyDescent="0.45">
      <c r="A1564">
        <v>30120</v>
      </c>
      <c r="B1564">
        <v>1</v>
      </c>
      <c r="C1564">
        <v>99.801699999999997</v>
      </c>
      <c r="D1564">
        <v>0</v>
      </c>
      <c r="E1564">
        <v>0</v>
      </c>
      <c r="F1564">
        <v>0</v>
      </c>
      <c r="G1564">
        <v>0</v>
      </c>
      <c r="H1564">
        <v>0.1983</v>
      </c>
      <c r="I1564">
        <v>0</v>
      </c>
      <c r="J1564">
        <v>0</v>
      </c>
      <c r="K1564">
        <v>0</v>
      </c>
      <c r="L1564">
        <v>0</v>
      </c>
      <c r="M1564">
        <v>0</v>
      </c>
      <c r="N1564">
        <v>0</v>
      </c>
      <c r="O1564">
        <v>0</v>
      </c>
      <c r="P1564">
        <v>0</v>
      </c>
      <c r="Q1564">
        <v>0</v>
      </c>
      <c r="R1564">
        <v>0</v>
      </c>
      <c r="S1564">
        <v>0</v>
      </c>
      <c r="T1564">
        <v>0</v>
      </c>
      <c r="U1564">
        <v>0</v>
      </c>
      <c r="Y1564">
        <v>0</v>
      </c>
      <c r="Z1564">
        <v>0</v>
      </c>
      <c r="AA1564">
        <v>0</v>
      </c>
      <c r="AB1564">
        <v>0</v>
      </c>
      <c r="AC1564">
        <v>1</v>
      </c>
      <c r="AD1564">
        <v>878.94655000575472</v>
      </c>
      <c r="AI1564">
        <v>0</v>
      </c>
      <c r="AO1564">
        <v>0.57500032359165043</v>
      </c>
      <c r="AP1564">
        <v>0</v>
      </c>
      <c r="AQ1564">
        <v>878.94655000575472</v>
      </c>
      <c r="AR1564">
        <v>102</v>
      </c>
      <c r="AS1564">
        <v>170</v>
      </c>
      <c r="AW1564" t="s">
        <v>474</v>
      </c>
      <c r="AX1564" t="s">
        <v>575</v>
      </c>
    </row>
    <row r="1565" spans="1:50" x14ac:dyDescent="0.45">
      <c r="A1565">
        <v>30121</v>
      </c>
      <c r="B1565">
        <v>1</v>
      </c>
      <c r="C1565">
        <v>99.801699999999997</v>
      </c>
      <c r="D1565">
        <v>0</v>
      </c>
      <c r="E1565">
        <v>0</v>
      </c>
      <c r="F1565">
        <v>0</v>
      </c>
      <c r="G1565">
        <v>0</v>
      </c>
      <c r="H1565">
        <v>0.1983</v>
      </c>
      <c r="I1565">
        <v>0</v>
      </c>
      <c r="J1565">
        <v>0</v>
      </c>
      <c r="K1565">
        <v>0</v>
      </c>
      <c r="L1565">
        <v>0</v>
      </c>
      <c r="M1565">
        <v>0</v>
      </c>
      <c r="N1565">
        <v>0</v>
      </c>
      <c r="O1565">
        <v>0</v>
      </c>
      <c r="P1565">
        <v>0</v>
      </c>
      <c r="Q1565">
        <v>0</v>
      </c>
      <c r="R1565">
        <v>0</v>
      </c>
      <c r="S1565">
        <v>0</v>
      </c>
      <c r="T1565">
        <v>0</v>
      </c>
      <c r="U1565">
        <v>0</v>
      </c>
      <c r="Y1565">
        <v>0</v>
      </c>
      <c r="Z1565">
        <v>0</v>
      </c>
      <c r="AA1565">
        <v>0</v>
      </c>
      <c r="AB1565">
        <v>0</v>
      </c>
      <c r="AC1565">
        <v>1</v>
      </c>
      <c r="AD1565">
        <v>878.94655000575472</v>
      </c>
      <c r="AI1565">
        <v>0</v>
      </c>
      <c r="AO1565">
        <v>0.57500032359165043</v>
      </c>
      <c r="AP1565">
        <v>0</v>
      </c>
      <c r="AQ1565">
        <v>878.94655000575472</v>
      </c>
      <c r="AR1565">
        <v>102</v>
      </c>
      <c r="AS1565">
        <v>275</v>
      </c>
      <c r="AW1565" t="s">
        <v>474</v>
      </c>
      <c r="AX1565" t="s">
        <v>575</v>
      </c>
    </row>
    <row r="1566" spans="1:50" x14ac:dyDescent="0.45">
      <c r="A1566">
        <v>30122</v>
      </c>
      <c r="B1566">
        <v>1</v>
      </c>
      <c r="C1566">
        <v>99.801699999999997</v>
      </c>
      <c r="D1566">
        <v>0</v>
      </c>
      <c r="E1566">
        <v>0</v>
      </c>
      <c r="F1566">
        <v>0</v>
      </c>
      <c r="G1566">
        <v>0</v>
      </c>
      <c r="H1566">
        <v>0.1983</v>
      </c>
      <c r="I1566">
        <v>0</v>
      </c>
      <c r="J1566">
        <v>0</v>
      </c>
      <c r="K1566">
        <v>0</v>
      </c>
      <c r="L1566">
        <v>0</v>
      </c>
      <c r="M1566">
        <v>0</v>
      </c>
      <c r="N1566">
        <v>0</v>
      </c>
      <c r="O1566">
        <v>0</v>
      </c>
      <c r="P1566">
        <v>0</v>
      </c>
      <c r="Q1566">
        <v>0</v>
      </c>
      <c r="R1566">
        <v>0</v>
      </c>
      <c r="S1566">
        <v>0</v>
      </c>
      <c r="T1566">
        <v>0</v>
      </c>
      <c r="U1566">
        <v>0</v>
      </c>
      <c r="Y1566">
        <v>0</v>
      </c>
      <c r="Z1566">
        <v>0</v>
      </c>
      <c r="AA1566">
        <v>0</v>
      </c>
      <c r="AB1566">
        <v>0</v>
      </c>
      <c r="AC1566">
        <v>1</v>
      </c>
      <c r="AD1566">
        <v>878.94655000575472</v>
      </c>
      <c r="AI1566">
        <v>0</v>
      </c>
      <c r="AO1566">
        <v>0.57500032359165043</v>
      </c>
      <c r="AP1566">
        <v>0</v>
      </c>
      <c r="AQ1566">
        <v>878.94655000575472</v>
      </c>
      <c r="AR1566">
        <v>102</v>
      </c>
      <c r="AS1566">
        <v>380</v>
      </c>
      <c r="AW1566" t="s">
        <v>474</v>
      </c>
      <c r="AX1566" t="s">
        <v>575</v>
      </c>
    </row>
    <row r="1567" spans="1:50" x14ac:dyDescent="0.45">
      <c r="A1567">
        <v>30123</v>
      </c>
      <c r="B1567">
        <v>1</v>
      </c>
      <c r="C1567">
        <v>99.696799999999996</v>
      </c>
      <c r="D1567">
        <v>0</v>
      </c>
      <c r="E1567">
        <v>0</v>
      </c>
      <c r="F1567">
        <v>0</v>
      </c>
      <c r="G1567">
        <v>0</v>
      </c>
      <c r="H1567">
        <v>0.30320000000000003</v>
      </c>
      <c r="I1567">
        <v>0</v>
      </c>
      <c r="J1567">
        <v>0</v>
      </c>
      <c r="K1567">
        <v>0</v>
      </c>
      <c r="L1567">
        <v>0</v>
      </c>
      <c r="M1567">
        <v>0</v>
      </c>
      <c r="N1567">
        <v>0</v>
      </c>
      <c r="O1567">
        <v>0</v>
      </c>
      <c r="P1567">
        <v>0</v>
      </c>
      <c r="Q1567">
        <v>0</v>
      </c>
      <c r="R1567">
        <v>0</v>
      </c>
      <c r="S1567">
        <v>0</v>
      </c>
      <c r="T1567">
        <v>0</v>
      </c>
      <c r="U1567">
        <v>0</v>
      </c>
      <c r="Y1567">
        <v>0</v>
      </c>
      <c r="Z1567">
        <v>0</v>
      </c>
      <c r="AA1567">
        <v>0</v>
      </c>
      <c r="AB1567">
        <v>0</v>
      </c>
      <c r="AC1567">
        <v>1</v>
      </c>
      <c r="AD1567">
        <v>877.33071782055117</v>
      </c>
      <c r="AI1567">
        <v>0</v>
      </c>
      <c r="AO1567">
        <v>0.87928041041568017</v>
      </c>
      <c r="AP1567">
        <v>0</v>
      </c>
      <c r="AQ1567">
        <v>877.33071782055117</v>
      </c>
      <c r="AR1567">
        <v>104</v>
      </c>
      <c r="AS1567">
        <v>483</v>
      </c>
      <c r="AW1567" t="s">
        <v>474</v>
      </c>
      <c r="AX1567" t="s">
        <v>575</v>
      </c>
    </row>
    <row r="1568" spans="1:50" x14ac:dyDescent="0.45">
      <c r="A1568">
        <v>30124</v>
      </c>
      <c r="B1568">
        <v>1</v>
      </c>
      <c r="C1568">
        <v>93</v>
      </c>
      <c r="D1568">
        <v>0</v>
      </c>
      <c r="E1568">
        <v>0</v>
      </c>
      <c r="F1568">
        <v>0</v>
      </c>
      <c r="G1568">
        <v>0</v>
      </c>
      <c r="H1568">
        <v>7</v>
      </c>
      <c r="I1568">
        <v>0</v>
      </c>
      <c r="J1568">
        <v>0</v>
      </c>
      <c r="K1568">
        <v>0</v>
      </c>
      <c r="L1568">
        <v>0</v>
      </c>
      <c r="M1568">
        <v>0</v>
      </c>
      <c r="N1568">
        <v>0</v>
      </c>
      <c r="O1568">
        <v>0</v>
      </c>
      <c r="P1568">
        <v>0</v>
      </c>
      <c r="Q1568">
        <v>0</v>
      </c>
      <c r="R1568">
        <v>0</v>
      </c>
      <c r="S1568">
        <v>0</v>
      </c>
      <c r="T1568">
        <v>0</v>
      </c>
      <c r="U1568">
        <v>0</v>
      </c>
      <c r="V1568">
        <v>0</v>
      </c>
      <c r="Y1568">
        <v>1</v>
      </c>
      <c r="Z1568">
        <v>0</v>
      </c>
      <c r="AA1568">
        <v>0</v>
      </c>
      <c r="AB1568">
        <v>0</v>
      </c>
      <c r="AC1568">
        <v>0</v>
      </c>
      <c r="AI1568">
        <v>0</v>
      </c>
      <c r="AO1568">
        <v>20.3</v>
      </c>
      <c r="AP1568">
        <v>0</v>
      </c>
      <c r="AQ1568">
        <v>774.2</v>
      </c>
      <c r="AR1568">
        <v>130</v>
      </c>
      <c r="AS1568">
        <v>1847</v>
      </c>
      <c r="AV1568">
        <v>560</v>
      </c>
      <c r="AW1568" t="s">
        <v>475</v>
      </c>
      <c r="AX1568" t="s">
        <v>558</v>
      </c>
    </row>
    <row r="1569" spans="1:50" x14ac:dyDescent="0.45">
      <c r="A1569">
        <v>30125</v>
      </c>
      <c r="B1569">
        <v>1</v>
      </c>
      <c r="C1569">
        <v>92</v>
      </c>
      <c r="D1569">
        <v>0</v>
      </c>
      <c r="E1569">
        <v>0</v>
      </c>
      <c r="F1569">
        <v>0</v>
      </c>
      <c r="G1569">
        <v>0</v>
      </c>
      <c r="H1569">
        <v>7</v>
      </c>
      <c r="I1569">
        <v>0</v>
      </c>
      <c r="J1569">
        <v>0</v>
      </c>
      <c r="K1569">
        <v>1</v>
      </c>
      <c r="L1569">
        <v>0</v>
      </c>
      <c r="M1569">
        <v>0</v>
      </c>
      <c r="N1569">
        <v>0</v>
      </c>
      <c r="O1569">
        <v>0</v>
      </c>
      <c r="P1569">
        <v>0</v>
      </c>
      <c r="Q1569">
        <v>0</v>
      </c>
      <c r="R1569">
        <v>0</v>
      </c>
      <c r="S1569">
        <v>0</v>
      </c>
      <c r="T1569">
        <v>0</v>
      </c>
      <c r="U1569">
        <v>0</v>
      </c>
      <c r="V1569">
        <v>0</v>
      </c>
      <c r="Y1569">
        <v>1</v>
      </c>
      <c r="Z1569">
        <v>0</v>
      </c>
      <c r="AA1569">
        <v>0</v>
      </c>
      <c r="AB1569">
        <v>0</v>
      </c>
      <c r="AC1569">
        <v>0</v>
      </c>
      <c r="AI1569">
        <v>0</v>
      </c>
      <c r="AO1569">
        <v>20.580000000000002</v>
      </c>
      <c r="AP1569">
        <v>0</v>
      </c>
      <c r="AQ1569">
        <v>774.2</v>
      </c>
      <c r="AR1569">
        <v>124</v>
      </c>
      <c r="AS1569">
        <v>1785</v>
      </c>
      <c r="AV1569">
        <v>525</v>
      </c>
      <c r="AW1569" t="s">
        <v>475</v>
      </c>
      <c r="AX1569" t="s">
        <v>558</v>
      </c>
    </row>
    <row r="1570" spans="1:50" x14ac:dyDescent="0.45">
      <c r="A1570">
        <v>30126</v>
      </c>
      <c r="B1570">
        <v>1</v>
      </c>
      <c r="C1570">
        <v>89</v>
      </c>
      <c r="D1570">
        <v>0</v>
      </c>
      <c r="E1570">
        <v>0</v>
      </c>
      <c r="F1570">
        <v>0</v>
      </c>
      <c r="G1570">
        <v>0</v>
      </c>
      <c r="H1570">
        <v>7</v>
      </c>
      <c r="I1570">
        <v>0</v>
      </c>
      <c r="J1570">
        <v>0</v>
      </c>
      <c r="K1570">
        <v>4</v>
      </c>
      <c r="L1570">
        <v>0</v>
      </c>
      <c r="M1570">
        <v>0</v>
      </c>
      <c r="N1570">
        <v>0</v>
      </c>
      <c r="O1570">
        <v>0</v>
      </c>
      <c r="P1570">
        <v>0</v>
      </c>
      <c r="Q1570">
        <v>0</v>
      </c>
      <c r="R1570">
        <v>0</v>
      </c>
      <c r="S1570">
        <v>0</v>
      </c>
      <c r="T1570">
        <v>0</v>
      </c>
      <c r="U1570">
        <v>0</v>
      </c>
      <c r="V1570">
        <v>0</v>
      </c>
      <c r="Y1570">
        <v>1</v>
      </c>
      <c r="Z1570">
        <v>0</v>
      </c>
      <c r="AA1570">
        <v>0</v>
      </c>
      <c r="AB1570">
        <v>0</v>
      </c>
      <c r="AC1570">
        <v>0</v>
      </c>
      <c r="AI1570">
        <v>0</v>
      </c>
      <c r="AO1570">
        <v>21.42</v>
      </c>
      <c r="AP1570">
        <v>0</v>
      </c>
      <c r="AQ1570">
        <v>774.2</v>
      </c>
      <c r="AR1570">
        <v>115</v>
      </c>
      <c r="AS1570">
        <v>1539</v>
      </c>
      <c r="AV1570">
        <v>472</v>
      </c>
      <c r="AW1570" t="s">
        <v>475</v>
      </c>
      <c r="AX1570" t="s">
        <v>558</v>
      </c>
    </row>
    <row r="1571" spans="1:50" x14ac:dyDescent="0.45">
      <c r="A1571">
        <v>30127</v>
      </c>
      <c r="B1571">
        <v>1</v>
      </c>
      <c r="C1571">
        <v>87</v>
      </c>
      <c r="D1571">
        <v>0</v>
      </c>
      <c r="E1571">
        <v>0</v>
      </c>
      <c r="F1571">
        <v>0</v>
      </c>
      <c r="G1571">
        <v>0</v>
      </c>
      <c r="H1571">
        <v>7</v>
      </c>
      <c r="I1571">
        <v>0</v>
      </c>
      <c r="J1571">
        <v>0</v>
      </c>
      <c r="K1571">
        <v>6</v>
      </c>
      <c r="L1571">
        <v>0</v>
      </c>
      <c r="M1571">
        <v>0</v>
      </c>
      <c r="N1571">
        <v>0</v>
      </c>
      <c r="O1571">
        <v>0</v>
      </c>
      <c r="P1571">
        <v>0</v>
      </c>
      <c r="Q1571">
        <v>0</v>
      </c>
      <c r="R1571">
        <v>0</v>
      </c>
      <c r="S1571">
        <v>0</v>
      </c>
      <c r="T1571">
        <v>0</v>
      </c>
      <c r="U1571">
        <v>0</v>
      </c>
      <c r="V1571">
        <v>0</v>
      </c>
      <c r="Y1571">
        <v>1</v>
      </c>
      <c r="Z1571">
        <v>0</v>
      </c>
      <c r="AA1571">
        <v>0</v>
      </c>
      <c r="AB1571">
        <v>0</v>
      </c>
      <c r="AC1571">
        <v>0</v>
      </c>
      <c r="AI1571">
        <v>0</v>
      </c>
      <c r="AO1571">
        <v>21.98</v>
      </c>
      <c r="AP1571">
        <v>0</v>
      </c>
      <c r="AQ1571">
        <v>774.2</v>
      </c>
      <c r="AR1571">
        <v>97</v>
      </c>
      <c r="AS1571">
        <v>1144</v>
      </c>
      <c r="AV1571">
        <v>372</v>
      </c>
      <c r="AW1571" t="s">
        <v>475</v>
      </c>
      <c r="AX1571" t="s">
        <v>558</v>
      </c>
    </row>
    <row r="1572" spans="1:50" x14ac:dyDescent="0.45">
      <c r="A1572">
        <v>30128</v>
      </c>
      <c r="B1572">
        <v>1</v>
      </c>
      <c r="C1572">
        <v>84</v>
      </c>
      <c r="D1572">
        <v>0</v>
      </c>
      <c r="E1572">
        <v>0</v>
      </c>
      <c r="F1572">
        <v>0</v>
      </c>
      <c r="G1572">
        <v>0</v>
      </c>
      <c r="H1572">
        <v>7</v>
      </c>
      <c r="I1572">
        <v>0</v>
      </c>
      <c r="J1572">
        <v>0</v>
      </c>
      <c r="K1572">
        <v>9</v>
      </c>
      <c r="L1572">
        <v>0</v>
      </c>
      <c r="M1572">
        <v>0</v>
      </c>
      <c r="N1572">
        <v>0</v>
      </c>
      <c r="O1572">
        <v>0</v>
      </c>
      <c r="P1572">
        <v>0</v>
      </c>
      <c r="Q1572">
        <v>0</v>
      </c>
      <c r="R1572">
        <v>0</v>
      </c>
      <c r="S1572">
        <v>0</v>
      </c>
      <c r="T1572">
        <v>0</v>
      </c>
      <c r="U1572">
        <v>0</v>
      </c>
      <c r="V1572">
        <v>0</v>
      </c>
      <c r="Y1572">
        <v>1</v>
      </c>
      <c r="Z1572">
        <v>0</v>
      </c>
      <c r="AA1572">
        <v>0</v>
      </c>
      <c r="AB1572">
        <v>0</v>
      </c>
      <c r="AC1572">
        <v>0</v>
      </c>
      <c r="AI1572">
        <v>0</v>
      </c>
      <c r="AO1572">
        <v>22.82</v>
      </c>
      <c r="AP1572">
        <v>0</v>
      </c>
      <c r="AQ1572">
        <v>774.2</v>
      </c>
      <c r="AR1572">
        <v>89</v>
      </c>
      <c r="AS1572">
        <v>1010</v>
      </c>
      <c r="AV1572">
        <v>335</v>
      </c>
      <c r="AW1572" t="s">
        <v>475</v>
      </c>
      <c r="AX1572" t="s">
        <v>558</v>
      </c>
    </row>
    <row r="1573" spans="1:50" x14ac:dyDescent="0.45">
      <c r="A1573">
        <v>30129</v>
      </c>
      <c r="B1573">
        <v>1</v>
      </c>
      <c r="C1573">
        <v>82</v>
      </c>
      <c r="D1573">
        <v>0</v>
      </c>
      <c r="E1573">
        <v>0</v>
      </c>
      <c r="F1573">
        <v>0</v>
      </c>
      <c r="G1573">
        <v>0</v>
      </c>
      <c r="H1573">
        <v>7</v>
      </c>
      <c r="I1573">
        <v>0</v>
      </c>
      <c r="J1573">
        <v>0</v>
      </c>
      <c r="K1573">
        <v>11</v>
      </c>
      <c r="L1573">
        <v>0</v>
      </c>
      <c r="M1573">
        <v>0</v>
      </c>
      <c r="N1573">
        <v>0</v>
      </c>
      <c r="O1573">
        <v>0</v>
      </c>
      <c r="P1573">
        <v>0</v>
      </c>
      <c r="Q1573">
        <v>0</v>
      </c>
      <c r="R1573">
        <v>0</v>
      </c>
      <c r="S1573">
        <v>0</v>
      </c>
      <c r="T1573">
        <v>0</v>
      </c>
      <c r="U1573">
        <v>0</v>
      </c>
      <c r="V1573">
        <v>0</v>
      </c>
      <c r="Y1573">
        <v>1</v>
      </c>
      <c r="Z1573">
        <v>0</v>
      </c>
      <c r="AA1573">
        <v>0</v>
      </c>
      <c r="AB1573">
        <v>0</v>
      </c>
      <c r="AC1573">
        <v>0</v>
      </c>
      <c r="AI1573">
        <v>0</v>
      </c>
      <c r="AO1573">
        <v>23.380000000000003</v>
      </c>
      <c r="AP1573">
        <v>0</v>
      </c>
      <c r="AQ1573">
        <v>774.2</v>
      </c>
      <c r="AR1573">
        <v>86</v>
      </c>
      <c r="AS1573">
        <v>985</v>
      </c>
      <c r="AV1573">
        <v>325</v>
      </c>
      <c r="AW1573" t="s">
        <v>475</v>
      </c>
      <c r="AX1573" t="s">
        <v>558</v>
      </c>
    </row>
    <row r="1574" spans="1:50" x14ac:dyDescent="0.45">
      <c r="A1574">
        <v>30130</v>
      </c>
      <c r="B1574">
        <v>1</v>
      </c>
      <c r="C1574">
        <v>62</v>
      </c>
      <c r="D1574">
        <v>0</v>
      </c>
      <c r="E1574">
        <v>0</v>
      </c>
      <c r="F1574">
        <v>2</v>
      </c>
      <c r="G1574">
        <v>0</v>
      </c>
      <c r="H1574">
        <v>3</v>
      </c>
      <c r="I1574">
        <v>0</v>
      </c>
      <c r="J1574">
        <v>33</v>
      </c>
      <c r="K1574">
        <v>0</v>
      </c>
      <c r="L1574">
        <v>0</v>
      </c>
      <c r="M1574">
        <v>0</v>
      </c>
      <c r="N1574">
        <v>0</v>
      </c>
      <c r="O1574">
        <v>0</v>
      </c>
      <c r="P1574">
        <v>0</v>
      </c>
      <c r="Q1574">
        <v>0</v>
      </c>
      <c r="R1574">
        <v>0</v>
      </c>
      <c r="S1574">
        <v>0</v>
      </c>
      <c r="T1574">
        <v>0</v>
      </c>
      <c r="U1574">
        <v>0</v>
      </c>
      <c r="V1574">
        <v>0</v>
      </c>
      <c r="Y1574">
        <v>1</v>
      </c>
      <c r="Z1574">
        <v>0</v>
      </c>
      <c r="AA1574">
        <v>0</v>
      </c>
      <c r="AB1574">
        <v>0</v>
      </c>
      <c r="AC1574">
        <v>0</v>
      </c>
      <c r="AI1574">
        <v>0</v>
      </c>
      <c r="AO1574">
        <v>11.899999999999999</v>
      </c>
      <c r="AP1574">
        <v>5.5</v>
      </c>
      <c r="AQ1574">
        <v>583.89999999999986</v>
      </c>
      <c r="AR1574">
        <v>140</v>
      </c>
      <c r="AS1574">
        <v>1049</v>
      </c>
      <c r="AT1574">
        <v>1755</v>
      </c>
      <c r="AW1574" t="s">
        <v>476</v>
      </c>
      <c r="AX1574" t="s">
        <v>576</v>
      </c>
    </row>
    <row r="1575" spans="1:50" x14ac:dyDescent="0.45">
      <c r="A1575">
        <v>30131</v>
      </c>
      <c r="B1575">
        <v>1</v>
      </c>
      <c r="C1575">
        <v>60</v>
      </c>
      <c r="D1575">
        <v>0</v>
      </c>
      <c r="E1575">
        <v>0</v>
      </c>
      <c r="F1575">
        <v>2</v>
      </c>
      <c r="G1575">
        <v>0</v>
      </c>
      <c r="H1575">
        <v>5</v>
      </c>
      <c r="I1575">
        <v>0</v>
      </c>
      <c r="J1575">
        <v>33</v>
      </c>
      <c r="K1575">
        <v>0</v>
      </c>
      <c r="L1575">
        <v>0</v>
      </c>
      <c r="M1575">
        <v>0</v>
      </c>
      <c r="N1575">
        <v>0</v>
      </c>
      <c r="O1575">
        <v>0</v>
      </c>
      <c r="P1575">
        <v>0</v>
      </c>
      <c r="Q1575">
        <v>0</v>
      </c>
      <c r="R1575">
        <v>0</v>
      </c>
      <c r="S1575">
        <v>0</v>
      </c>
      <c r="T1575">
        <v>0</v>
      </c>
      <c r="U1575">
        <v>0</v>
      </c>
      <c r="V1575">
        <v>0</v>
      </c>
      <c r="Y1575">
        <v>1</v>
      </c>
      <c r="Z1575">
        <v>0</v>
      </c>
      <c r="AA1575">
        <v>0</v>
      </c>
      <c r="AB1575">
        <v>0</v>
      </c>
      <c r="AC1575">
        <v>0</v>
      </c>
      <c r="AI1575">
        <v>0</v>
      </c>
      <c r="AO1575">
        <v>17.7</v>
      </c>
      <c r="AP1575">
        <v>5.5</v>
      </c>
      <c r="AQ1575">
        <v>553.09999999999991</v>
      </c>
      <c r="AR1575">
        <v>145</v>
      </c>
      <c r="AS1575">
        <v>1130</v>
      </c>
      <c r="AT1575">
        <v>1830</v>
      </c>
      <c r="AW1575" t="s">
        <v>476</v>
      </c>
      <c r="AX1575" t="s">
        <v>576</v>
      </c>
    </row>
    <row r="1576" spans="1:50" x14ac:dyDescent="0.45">
      <c r="A1576">
        <v>30132</v>
      </c>
      <c r="B1576">
        <v>1</v>
      </c>
      <c r="C1576">
        <v>58</v>
      </c>
      <c r="D1576">
        <v>0</v>
      </c>
      <c r="E1576">
        <v>0</v>
      </c>
      <c r="F1576">
        <v>2</v>
      </c>
      <c r="G1576">
        <v>0</v>
      </c>
      <c r="H1576">
        <v>7</v>
      </c>
      <c r="I1576">
        <v>0</v>
      </c>
      <c r="J1576">
        <v>33</v>
      </c>
      <c r="K1576">
        <v>0</v>
      </c>
      <c r="L1576">
        <v>0</v>
      </c>
      <c r="M1576">
        <v>0</v>
      </c>
      <c r="N1576">
        <v>0</v>
      </c>
      <c r="O1576">
        <v>0</v>
      </c>
      <c r="P1576">
        <v>0</v>
      </c>
      <c r="Q1576">
        <v>0</v>
      </c>
      <c r="R1576">
        <v>0</v>
      </c>
      <c r="S1576">
        <v>0</v>
      </c>
      <c r="T1576">
        <v>0</v>
      </c>
      <c r="U1576">
        <v>0</v>
      </c>
      <c r="V1576">
        <v>0</v>
      </c>
      <c r="Y1576">
        <v>1</v>
      </c>
      <c r="Z1576">
        <v>0</v>
      </c>
      <c r="AA1576">
        <v>0</v>
      </c>
      <c r="AB1576">
        <v>0</v>
      </c>
      <c r="AC1576">
        <v>0</v>
      </c>
      <c r="AI1576">
        <v>0</v>
      </c>
      <c r="AO1576">
        <v>23.5</v>
      </c>
      <c r="AP1576">
        <v>5.5</v>
      </c>
      <c r="AQ1576">
        <v>522.29999999999995</v>
      </c>
      <c r="AR1576">
        <v>157</v>
      </c>
      <c r="AS1576">
        <v>1239</v>
      </c>
      <c r="AT1576">
        <v>1901</v>
      </c>
      <c r="AW1576" t="s">
        <v>476</v>
      </c>
      <c r="AX1576" t="s">
        <v>576</v>
      </c>
    </row>
    <row r="1577" spans="1:50" x14ac:dyDescent="0.45">
      <c r="A1577">
        <v>30133</v>
      </c>
      <c r="B1577">
        <v>1</v>
      </c>
      <c r="C1577">
        <v>60</v>
      </c>
      <c r="D1577">
        <v>0</v>
      </c>
      <c r="E1577">
        <v>0</v>
      </c>
      <c r="F1577">
        <v>4</v>
      </c>
      <c r="G1577">
        <v>0</v>
      </c>
      <c r="H1577">
        <v>3</v>
      </c>
      <c r="I1577">
        <v>0</v>
      </c>
      <c r="J1577">
        <v>33</v>
      </c>
      <c r="K1577">
        <v>0</v>
      </c>
      <c r="L1577">
        <v>0</v>
      </c>
      <c r="M1577">
        <v>0</v>
      </c>
      <c r="N1577">
        <v>0</v>
      </c>
      <c r="O1577">
        <v>0</v>
      </c>
      <c r="P1577">
        <v>0</v>
      </c>
      <c r="Q1577">
        <v>0</v>
      </c>
      <c r="R1577">
        <v>0</v>
      </c>
      <c r="S1577">
        <v>0</v>
      </c>
      <c r="T1577">
        <v>0</v>
      </c>
      <c r="U1577">
        <v>0</v>
      </c>
      <c r="V1577">
        <v>0</v>
      </c>
      <c r="Y1577">
        <v>1</v>
      </c>
      <c r="Z1577">
        <v>0</v>
      </c>
      <c r="AA1577">
        <v>0</v>
      </c>
      <c r="AB1577">
        <v>0</v>
      </c>
      <c r="AC1577">
        <v>0</v>
      </c>
      <c r="AI1577">
        <v>0</v>
      </c>
      <c r="AO1577">
        <v>15.1</v>
      </c>
      <c r="AP1577">
        <v>5.5</v>
      </c>
      <c r="AQ1577">
        <v>559.69999999999993</v>
      </c>
      <c r="AR1577">
        <v>130</v>
      </c>
      <c r="AS1577">
        <v>1113</v>
      </c>
      <c r="AT1577">
        <v>2008</v>
      </c>
      <c r="AW1577" t="s">
        <v>476</v>
      </c>
      <c r="AX1577" t="s">
        <v>576</v>
      </c>
    </row>
    <row r="1578" spans="1:50" x14ac:dyDescent="0.45">
      <c r="A1578">
        <v>30134</v>
      </c>
      <c r="B1578">
        <v>1</v>
      </c>
      <c r="C1578">
        <v>58</v>
      </c>
      <c r="D1578">
        <v>0</v>
      </c>
      <c r="E1578">
        <v>0</v>
      </c>
      <c r="F1578">
        <v>4</v>
      </c>
      <c r="G1578">
        <v>0</v>
      </c>
      <c r="H1578">
        <v>5</v>
      </c>
      <c r="I1578">
        <v>0</v>
      </c>
      <c r="J1578">
        <v>33</v>
      </c>
      <c r="K1578">
        <v>0</v>
      </c>
      <c r="L1578">
        <v>0</v>
      </c>
      <c r="M1578">
        <v>0</v>
      </c>
      <c r="N1578">
        <v>0</v>
      </c>
      <c r="O1578">
        <v>0</v>
      </c>
      <c r="P1578">
        <v>0</v>
      </c>
      <c r="Q1578">
        <v>0</v>
      </c>
      <c r="R1578">
        <v>0</v>
      </c>
      <c r="S1578">
        <v>0</v>
      </c>
      <c r="T1578">
        <v>0</v>
      </c>
      <c r="U1578">
        <v>0</v>
      </c>
      <c r="V1578">
        <v>0</v>
      </c>
      <c r="Y1578">
        <v>1</v>
      </c>
      <c r="Z1578">
        <v>0</v>
      </c>
      <c r="AA1578">
        <v>0</v>
      </c>
      <c r="AB1578">
        <v>0</v>
      </c>
      <c r="AC1578">
        <v>0</v>
      </c>
      <c r="AI1578">
        <v>0</v>
      </c>
      <c r="AO1578">
        <v>20.9</v>
      </c>
      <c r="AP1578">
        <v>5.5</v>
      </c>
      <c r="AQ1578">
        <v>528.9</v>
      </c>
      <c r="AR1578">
        <v>142</v>
      </c>
      <c r="AS1578">
        <v>1210</v>
      </c>
      <c r="AT1578">
        <v>1712</v>
      </c>
      <c r="AW1578" t="s">
        <v>476</v>
      </c>
      <c r="AX1578" t="s">
        <v>576</v>
      </c>
    </row>
    <row r="1579" spans="1:50" x14ac:dyDescent="0.45">
      <c r="A1579">
        <v>30135</v>
      </c>
      <c r="B1579">
        <v>1</v>
      </c>
      <c r="C1579">
        <v>56</v>
      </c>
      <c r="D1579">
        <v>0</v>
      </c>
      <c r="E1579">
        <v>0</v>
      </c>
      <c r="F1579">
        <v>4</v>
      </c>
      <c r="G1579">
        <v>0</v>
      </c>
      <c r="H1579">
        <v>7</v>
      </c>
      <c r="I1579">
        <v>0</v>
      </c>
      <c r="J1579">
        <v>33</v>
      </c>
      <c r="K1579">
        <v>0</v>
      </c>
      <c r="L1579">
        <v>0</v>
      </c>
      <c r="M1579">
        <v>0</v>
      </c>
      <c r="N1579">
        <v>0</v>
      </c>
      <c r="O1579">
        <v>0</v>
      </c>
      <c r="P1579">
        <v>0</v>
      </c>
      <c r="Q1579">
        <v>0</v>
      </c>
      <c r="R1579">
        <v>0</v>
      </c>
      <c r="S1579">
        <v>0</v>
      </c>
      <c r="T1579">
        <v>0</v>
      </c>
      <c r="U1579">
        <v>0</v>
      </c>
      <c r="V1579">
        <v>0</v>
      </c>
      <c r="Y1579">
        <v>1</v>
      </c>
      <c r="Z1579">
        <v>0</v>
      </c>
      <c r="AA1579">
        <v>0</v>
      </c>
      <c r="AB1579">
        <v>0</v>
      </c>
      <c r="AC1579">
        <v>0</v>
      </c>
      <c r="AI1579">
        <v>0</v>
      </c>
      <c r="AO1579">
        <v>26.700000000000003</v>
      </c>
      <c r="AP1579">
        <v>5.5</v>
      </c>
      <c r="AQ1579">
        <v>498.09999999999997</v>
      </c>
      <c r="AR1579">
        <v>149</v>
      </c>
      <c r="AS1579">
        <v>1287</v>
      </c>
      <c r="AT1579">
        <v>1567</v>
      </c>
      <c r="AW1579" t="s">
        <v>476</v>
      </c>
      <c r="AX1579" t="s">
        <v>576</v>
      </c>
    </row>
    <row r="1580" spans="1:50" x14ac:dyDescent="0.45">
      <c r="A1580">
        <v>30136</v>
      </c>
      <c r="B1580">
        <v>1</v>
      </c>
      <c r="C1580">
        <v>66</v>
      </c>
      <c r="D1580">
        <v>0</v>
      </c>
      <c r="E1580">
        <v>0</v>
      </c>
      <c r="F1580">
        <v>0</v>
      </c>
      <c r="G1580">
        <v>0</v>
      </c>
      <c r="H1580">
        <v>7</v>
      </c>
      <c r="I1580">
        <v>0</v>
      </c>
      <c r="J1580">
        <v>0</v>
      </c>
      <c r="K1580">
        <v>27</v>
      </c>
      <c r="L1580">
        <v>0</v>
      </c>
      <c r="M1580">
        <v>0</v>
      </c>
      <c r="N1580">
        <v>0</v>
      </c>
      <c r="O1580">
        <v>0</v>
      </c>
      <c r="P1580">
        <v>0</v>
      </c>
      <c r="Q1580">
        <v>0</v>
      </c>
      <c r="R1580">
        <v>0</v>
      </c>
      <c r="S1580">
        <v>0</v>
      </c>
      <c r="T1580">
        <v>0</v>
      </c>
      <c r="U1580">
        <v>0</v>
      </c>
      <c r="V1580">
        <v>0</v>
      </c>
      <c r="Y1580">
        <v>1</v>
      </c>
      <c r="Z1580">
        <v>0</v>
      </c>
      <c r="AA1580">
        <v>0</v>
      </c>
      <c r="AB1580">
        <v>0</v>
      </c>
      <c r="AC1580">
        <v>0</v>
      </c>
      <c r="AI1580">
        <v>0</v>
      </c>
      <c r="AO1580">
        <v>27.86</v>
      </c>
      <c r="AP1580">
        <v>0</v>
      </c>
      <c r="AQ1580">
        <v>774.2</v>
      </c>
      <c r="AR1580">
        <v>116</v>
      </c>
      <c r="AS1580">
        <v>784</v>
      </c>
      <c r="AW1580" t="s">
        <v>477</v>
      </c>
      <c r="AX1580" t="s">
        <v>577</v>
      </c>
    </row>
    <row r="1581" spans="1:50" x14ac:dyDescent="0.45">
      <c r="A1581">
        <v>30137</v>
      </c>
      <c r="B1581">
        <v>1</v>
      </c>
      <c r="C1581">
        <v>64</v>
      </c>
      <c r="D1581">
        <v>0</v>
      </c>
      <c r="E1581">
        <v>0</v>
      </c>
      <c r="F1581">
        <v>2</v>
      </c>
      <c r="G1581">
        <v>0</v>
      </c>
      <c r="H1581">
        <v>7</v>
      </c>
      <c r="I1581">
        <v>0</v>
      </c>
      <c r="J1581">
        <v>0</v>
      </c>
      <c r="K1581">
        <v>27</v>
      </c>
      <c r="L1581">
        <v>0</v>
      </c>
      <c r="M1581">
        <v>0</v>
      </c>
      <c r="N1581">
        <v>0</v>
      </c>
      <c r="O1581">
        <v>0</v>
      </c>
      <c r="P1581">
        <v>0</v>
      </c>
      <c r="Q1581">
        <v>0</v>
      </c>
      <c r="R1581">
        <v>0</v>
      </c>
      <c r="S1581">
        <v>0</v>
      </c>
      <c r="T1581">
        <v>0</v>
      </c>
      <c r="U1581">
        <v>0</v>
      </c>
      <c r="V1581">
        <v>0</v>
      </c>
      <c r="Y1581">
        <v>1</v>
      </c>
      <c r="Z1581">
        <v>0</v>
      </c>
      <c r="AA1581">
        <v>0</v>
      </c>
      <c r="AB1581">
        <v>0</v>
      </c>
      <c r="AC1581">
        <v>0</v>
      </c>
      <c r="AI1581">
        <v>0</v>
      </c>
      <c r="AO1581">
        <v>31.06</v>
      </c>
      <c r="AP1581">
        <v>0</v>
      </c>
      <c r="AQ1581">
        <v>750</v>
      </c>
      <c r="AR1581">
        <v>99</v>
      </c>
      <c r="AS1581">
        <v>1097</v>
      </c>
      <c r="AW1581" t="s">
        <v>477</v>
      </c>
      <c r="AX1581" t="s">
        <v>577</v>
      </c>
    </row>
    <row r="1582" spans="1:50" x14ac:dyDescent="0.45">
      <c r="A1582">
        <v>30138</v>
      </c>
      <c r="B1582">
        <v>1</v>
      </c>
      <c r="C1582">
        <v>62</v>
      </c>
      <c r="D1582">
        <v>0</v>
      </c>
      <c r="E1582">
        <v>0</v>
      </c>
      <c r="F1582">
        <v>4</v>
      </c>
      <c r="G1582">
        <v>0</v>
      </c>
      <c r="H1582">
        <v>7</v>
      </c>
      <c r="I1582">
        <v>0</v>
      </c>
      <c r="J1582">
        <v>0</v>
      </c>
      <c r="K1582">
        <v>27</v>
      </c>
      <c r="L1582">
        <v>0</v>
      </c>
      <c r="M1582">
        <v>0</v>
      </c>
      <c r="N1582">
        <v>0</v>
      </c>
      <c r="O1582">
        <v>0</v>
      </c>
      <c r="P1582">
        <v>0</v>
      </c>
      <c r="Q1582">
        <v>0</v>
      </c>
      <c r="R1582">
        <v>0</v>
      </c>
      <c r="S1582">
        <v>0</v>
      </c>
      <c r="T1582">
        <v>0</v>
      </c>
      <c r="U1582">
        <v>0</v>
      </c>
      <c r="V1582">
        <v>0</v>
      </c>
      <c r="Y1582">
        <v>1</v>
      </c>
      <c r="Z1582">
        <v>0</v>
      </c>
      <c r="AA1582">
        <v>0</v>
      </c>
      <c r="AB1582">
        <v>0</v>
      </c>
      <c r="AC1582">
        <v>0</v>
      </c>
      <c r="AI1582">
        <v>0</v>
      </c>
      <c r="AO1582">
        <v>34.26</v>
      </c>
      <c r="AP1582">
        <v>0</v>
      </c>
      <c r="AQ1582">
        <v>725.80000000000007</v>
      </c>
      <c r="AR1582">
        <v>81</v>
      </c>
      <c r="AS1582">
        <v>947</v>
      </c>
      <c r="AW1582" t="s">
        <v>477</v>
      </c>
      <c r="AX1582" t="s">
        <v>577</v>
      </c>
    </row>
    <row r="1583" spans="1:50" x14ac:dyDescent="0.45">
      <c r="A1583">
        <v>30139</v>
      </c>
      <c r="B1583">
        <v>1</v>
      </c>
      <c r="C1583">
        <v>60</v>
      </c>
      <c r="D1583">
        <v>0</v>
      </c>
      <c r="E1583">
        <v>0</v>
      </c>
      <c r="F1583">
        <v>6</v>
      </c>
      <c r="G1583">
        <v>0</v>
      </c>
      <c r="H1583">
        <v>7</v>
      </c>
      <c r="I1583">
        <v>0</v>
      </c>
      <c r="J1583">
        <v>0</v>
      </c>
      <c r="K1583">
        <v>27</v>
      </c>
      <c r="L1583">
        <v>0</v>
      </c>
      <c r="M1583">
        <v>0</v>
      </c>
      <c r="N1583">
        <v>0</v>
      </c>
      <c r="O1583">
        <v>0</v>
      </c>
      <c r="P1583">
        <v>0</v>
      </c>
      <c r="Q1583">
        <v>0</v>
      </c>
      <c r="R1583">
        <v>0</v>
      </c>
      <c r="S1583">
        <v>0</v>
      </c>
      <c r="T1583">
        <v>0</v>
      </c>
      <c r="U1583">
        <v>0</v>
      </c>
      <c r="V1583">
        <v>0</v>
      </c>
      <c r="Y1583">
        <v>1</v>
      </c>
      <c r="Z1583">
        <v>0</v>
      </c>
      <c r="AA1583">
        <v>0</v>
      </c>
      <c r="AB1583">
        <v>0</v>
      </c>
      <c r="AC1583">
        <v>0</v>
      </c>
      <c r="AI1583">
        <v>0</v>
      </c>
      <c r="AO1583">
        <v>37.46</v>
      </c>
      <c r="AP1583">
        <v>0</v>
      </c>
      <c r="AQ1583">
        <v>701.6</v>
      </c>
      <c r="AR1583">
        <v>77</v>
      </c>
      <c r="AS1583">
        <v>922</v>
      </c>
      <c r="AW1583" t="s">
        <v>477</v>
      </c>
      <c r="AX1583" t="s">
        <v>577</v>
      </c>
    </row>
    <row r="1584" spans="1:50" x14ac:dyDescent="0.45">
      <c r="A1584">
        <v>30140</v>
      </c>
      <c r="B1584">
        <v>1</v>
      </c>
      <c r="C1584">
        <v>58</v>
      </c>
      <c r="D1584">
        <v>0</v>
      </c>
      <c r="E1584">
        <v>0</v>
      </c>
      <c r="F1584">
        <v>8</v>
      </c>
      <c r="G1584">
        <v>0</v>
      </c>
      <c r="H1584">
        <v>7</v>
      </c>
      <c r="I1584">
        <v>0</v>
      </c>
      <c r="J1584">
        <v>0</v>
      </c>
      <c r="K1584">
        <v>27</v>
      </c>
      <c r="L1584">
        <v>0</v>
      </c>
      <c r="M1584">
        <v>0</v>
      </c>
      <c r="N1584">
        <v>0</v>
      </c>
      <c r="O1584">
        <v>0</v>
      </c>
      <c r="P1584">
        <v>0</v>
      </c>
      <c r="Q1584">
        <v>0</v>
      </c>
      <c r="R1584">
        <v>0</v>
      </c>
      <c r="S1584">
        <v>0</v>
      </c>
      <c r="T1584">
        <v>0</v>
      </c>
      <c r="U1584">
        <v>0</v>
      </c>
      <c r="V1584">
        <v>0</v>
      </c>
      <c r="Y1584">
        <v>1</v>
      </c>
      <c r="Z1584">
        <v>0</v>
      </c>
      <c r="AA1584">
        <v>0</v>
      </c>
      <c r="AB1584">
        <v>0</v>
      </c>
      <c r="AC1584">
        <v>0</v>
      </c>
      <c r="AI1584">
        <v>0</v>
      </c>
      <c r="AO1584">
        <v>40.659999999999997</v>
      </c>
      <c r="AP1584">
        <v>0</v>
      </c>
      <c r="AQ1584">
        <v>677.40000000000009</v>
      </c>
      <c r="AR1584">
        <v>72</v>
      </c>
      <c r="AS1584">
        <v>941</v>
      </c>
      <c r="AW1584" t="s">
        <v>477</v>
      </c>
      <c r="AX1584" t="s">
        <v>577</v>
      </c>
    </row>
    <row r="1585" spans="1:50" x14ac:dyDescent="0.45">
      <c r="A1585">
        <v>30141</v>
      </c>
      <c r="B1585">
        <v>0</v>
      </c>
      <c r="C1585">
        <v>91</v>
      </c>
      <c r="D1585">
        <v>0</v>
      </c>
      <c r="E1585">
        <v>0</v>
      </c>
      <c r="F1585">
        <v>0</v>
      </c>
      <c r="G1585">
        <v>9</v>
      </c>
      <c r="H1585">
        <v>0</v>
      </c>
      <c r="I1585">
        <v>0</v>
      </c>
      <c r="J1585">
        <v>0</v>
      </c>
      <c r="K1585">
        <v>0</v>
      </c>
      <c r="L1585">
        <v>0</v>
      </c>
      <c r="M1585">
        <v>0</v>
      </c>
      <c r="N1585">
        <v>0</v>
      </c>
      <c r="O1585">
        <v>0</v>
      </c>
      <c r="P1585">
        <v>0</v>
      </c>
      <c r="Q1585">
        <v>0</v>
      </c>
      <c r="R1585">
        <v>0</v>
      </c>
      <c r="S1585">
        <v>0</v>
      </c>
      <c r="T1585">
        <v>0</v>
      </c>
      <c r="U1585">
        <v>0</v>
      </c>
      <c r="Y1585">
        <v>0</v>
      </c>
      <c r="Z1585">
        <v>0</v>
      </c>
      <c r="AA1585">
        <v>0</v>
      </c>
      <c r="AB1585">
        <v>0</v>
      </c>
      <c r="AC1585">
        <v>1</v>
      </c>
      <c r="AD1585">
        <v>882</v>
      </c>
      <c r="AF1585">
        <v>1</v>
      </c>
      <c r="AG1585">
        <v>0</v>
      </c>
      <c r="AH1585">
        <v>0</v>
      </c>
      <c r="AI1585">
        <v>0</v>
      </c>
      <c r="AO1585">
        <v>15.299999999999999</v>
      </c>
      <c r="AP1585">
        <v>0</v>
      </c>
      <c r="AQ1585">
        <v>882</v>
      </c>
      <c r="AR1585">
        <v>94</v>
      </c>
      <c r="AS1585">
        <v>1023</v>
      </c>
      <c r="AT1585">
        <v>1048</v>
      </c>
      <c r="AV1585">
        <v>338</v>
      </c>
      <c r="AW1585" t="s">
        <v>478</v>
      </c>
      <c r="AX1585" t="s">
        <v>578</v>
      </c>
    </row>
    <row r="1586" spans="1:50" x14ac:dyDescent="0.45">
      <c r="A1586">
        <v>30142</v>
      </c>
      <c r="B1586">
        <v>0</v>
      </c>
      <c r="C1586">
        <v>87</v>
      </c>
      <c r="D1586">
        <v>0</v>
      </c>
      <c r="E1586">
        <v>0</v>
      </c>
      <c r="F1586">
        <v>0</v>
      </c>
      <c r="G1586">
        <v>13</v>
      </c>
      <c r="H1586">
        <v>0</v>
      </c>
      <c r="I1586">
        <v>0</v>
      </c>
      <c r="J1586">
        <v>0</v>
      </c>
      <c r="K1586">
        <v>0</v>
      </c>
      <c r="L1586">
        <v>0</v>
      </c>
      <c r="M1586">
        <v>0</v>
      </c>
      <c r="N1586">
        <v>0</v>
      </c>
      <c r="O1586">
        <v>0</v>
      </c>
      <c r="P1586">
        <v>0</v>
      </c>
      <c r="Q1586">
        <v>0</v>
      </c>
      <c r="R1586">
        <v>0</v>
      </c>
      <c r="S1586">
        <v>0</v>
      </c>
      <c r="T1586">
        <v>0</v>
      </c>
      <c r="U1586">
        <v>0</v>
      </c>
      <c r="Y1586">
        <v>0</v>
      </c>
      <c r="Z1586">
        <v>0</v>
      </c>
      <c r="AA1586">
        <v>0</v>
      </c>
      <c r="AB1586">
        <v>0</v>
      </c>
      <c r="AC1586">
        <v>1</v>
      </c>
      <c r="AD1586">
        <v>882</v>
      </c>
      <c r="AF1586">
        <v>1</v>
      </c>
      <c r="AG1586">
        <v>0</v>
      </c>
      <c r="AH1586">
        <v>0</v>
      </c>
      <c r="AI1586">
        <v>0</v>
      </c>
      <c r="AO1586">
        <v>22.099999999999998</v>
      </c>
      <c r="AP1586">
        <v>0</v>
      </c>
      <c r="AQ1586">
        <v>882</v>
      </c>
      <c r="AR1586">
        <v>100</v>
      </c>
      <c r="AS1586">
        <v>927</v>
      </c>
      <c r="AT1586">
        <v>939</v>
      </c>
      <c r="AV1586">
        <v>312</v>
      </c>
      <c r="AW1586" t="s">
        <v>478</v>
      </c>
      <c r="AX1586" t="s">
        <v>578</v>
      </c>
    </row>
    <row r="1587" spans="1:50" x14ac:dyDescent="0.45">
      <c r="A1587">
        <v>30143</v>
      </c>
      <c r="B1587">
        <v>0</v>
      </c>
      <c r="C1587">
        <v>92</v>
      </c>
      <c r="D1587">
        <v>0</v>
      </c>
      <c r="E1587">
        <v>0</v>
      </c>
      <c r="F1587">
        <v>0</v>
      </c>
      <c r="G1587">
        <v>5</v>
      </c>
      <c r="H1587">
        <v>0</v>
      </c>
      <c r="I1587">
        <v>0</v>
      </c>
      <c r="J1587">
        <v>0</v>
      </c>
      <c r="K1587">
        <v>0</v>
      </c>
      <c r="L1587">
        <v>3</v>
      </c>
      <c r="M1587">
        <v>0</v>
      </c>
      <c r="N1587">
        <v>0</v>
      </c>
      <c r="O1587">
        <v>0</v>
      </c>
      <c r="P1587">
        <v>0</v>
      </c>
      <c r="Q1587">
        <v>0</v>
      </c>
      <c r="R1587">
        <v>0</v>
      </c>
      <c r="S1587">
        <v>0</v>
      </c>
      <c r="T1587">
        <v>0</v>
      </c>
      <c r="U1587">
        <v>0</v>
      </c>
      <c r="V1587">
        <v>0</v>
      </c>
      <c r="Y1587">
        <v>1</v>
      </c>
      <c r="Z1587">
        <v>0</v>
      </c>
      <c r="AA1587">
        <v>0</v>
      </c>
      <c r="AB1587">
        <v>0</v>
      </c>
      <c r="AC1587">
        <v>0</v>
      </c>
      <c r="AI1587">
        <v>0</v>
      </c>
      <c r="AO1587">
        <v>11.5</v>
      </c>
      <c r="AP1587">
        <v>0</v>
      </c>
      <c r="AQ1587">
        <v>853.5</v>
      </c>
      <c r="AR1587">
        <v>88</v>
      </c>
      <c r="AS1587">
        <v>980</v>
      </c>
      <c r="AT1587">
        <v>1036</v>
      </c>
      <c r="AV1587">
        <v>331</v>
      </c>
      <c r="AW1587" t="s">
        <v>479</v>
      </c>
      <c r="AX1587" t="s">
        <v>579</v>
      </c>
    </row>
    <row r="1588" spans="1:50" x14ac:dyDescent="0.45">
      <c r="A1588">
        <v>30144</v>
      </c>
      <c r="B1588">
        <v>0</v>
      </c>
      <c r="C1588">
        <v>91</v>
      </c>
      <c r="D1588">
        <v>0</v>
      </c>
      <c r="E1588">
        <v>0</v>
      </c>
      <c r="F1588">
        <v>0</v>
      </c>
      <c r="G1588">
        <v>5</v>
      </c>
      <c r="H1588">
        <v>0</v>
      </c>
      <c r="I1588">
        <v>0</v>
      </c>
      <c r="J1588">
        <v>0</v>
      </c>
      <c r="K1588">
        <v>0</v>
      </c>
      <c r="L1588">
        <v>4</v>
      </c>
      <c r="M1588">
        <v>0</v>
      </c>
      <c r="N1588">
        <v>0</v>
      </c>
      <c r="O1588">
        <v>0</v>
      </c>
      <c r="P1588">
        <v>0</v>
      </c>
      <c r="Q1588">
        <v>0</v>
      </c>
      <c r="R1588">
        <v>0</v>
      </c>
      <c r="S1588">
        <v>0</v>
      </c>
      <c r="T1588">
        <v>0</v>
      </c>
      <c r="U1588">
        <v>0</v>
      </c>
      <c r="V1588">
        <v>0</v>
      </c>
      <c r="Y1588">
        <v>1</v>
      </c>
      <c r="Z1588">
        <v>0</v>
      </c>
      <c r="AA1588">
        <v>0</v>
      </c>
      <c r="AB1588">
        <v>0</v>
      </c>
      <c r="AC1588">
        <v>0</v>
      </c>
      <c r="AI1588">
        <v>0</v>
      </c>
      <c r="AO1588">
        <v>12.5</v>
      </c>
      <c r="AP1588">
        <v>0</v>
      </c>
      <c r="AQ1588">
        <v>844</v>
      </c>
      <c r="AR1588">
        <v>84</v>
      </c>
      <c r="AS1588">
        <v>1046</v>
      </c>
      <c r="AT1588">
        <v>1104</v>
      </c>
      <c r="AV1588">
        <v>337</v>
      </c>
      <c r="AW1588" t="s">
        <v>479</v>
      </c>
      <c r="AX1588" t="s">
        <v>579</v>
      </c>
    </row>
    <row r="1589" spans="1:50" x14ac:dyDescent="0.45">
      <c r="A1589">
        <v>30145</v>
      </c>
      <c r="B1589">
        <v>0</v>
      </c>
      <c r="C1589">
        <v>91</v>
      </c>
      <c r="D1589">
        <v>0</v>
      </c>
      <c r="E1589">
        <v>0</v>
      </c>
      <c r="F1589">
        <v>0</v>
      </c>
      <c r="G1589">
        <v>6</v>
      </c>
      <c r="H1589">
        <v>0</v>
      </c>
      <c r="I1589">
        <v>0</v>
      </c>
      <c r="J1589">
        <v>0</v>
      </c>
      <c r="K1589">
        <v>0</v>
      </c>
      <c r="L1589">
        <v>3</v>
      </c>
      <c r="M1589">
        <v>0</v>
      </c>
      <c r="N1589">
        <v>0</v>
      </c>
      <c r="O1589">
        <v>0</v>
      </c>
      <c r="P1589">
        <v>0</v>
      </c>
      <c r="Q1589">
        <v>0</v>
      </c>
      <c r="R1589">
        <v>0</v>
      </c>
      <c r="S1589">
        <v>0</v>
      </c>
      <c r="T1589">
        <v>0</v>
      </c>
      <c r="U1589">
        <v>0</v>
      </c>
      <c r="V1589">
        <v>0</v>
      </c>
      <c r="Y1589">
        <v>1</v>
      </c>
      <c r="Z1589">
        <v>0</v>
      </c>
      <c r="AA1589">
        <v>0</v>
      </c>
      <c r="AB1589">
        <v>0</v>
      </c>
      <c r="AC1589">
        <v>0</v>
      </c>
      <c r="AI1589">
        <v>0</v>
      </c>
      <c r="AO1589">
        <v>13.2</v>
      </c>
      <c r="AP1589">
        <v>0</v>
      </c>
      <c r="AQ1589">
        <v>853.5</v>
      </c>
      <c r="AR1589">
        <v>86</v>
      </c>
      <c r="AS1589">
        <v>1077</v>
      </c>
      <c r="AT1589">
        <v>1143</v>
      </c>
      <c r="AV1589">
        <v>359</v>
      </c>
      <c r="AW1589" t="s">
        <v>479</v>
      </c>
      <c r="AX1589" t="s">
        <v>579</v>
      </c>
    </row>
    <row r="1590" spans="1:50" x14ac:dyDescent="0.45">
      <c r="A1590">
        <v>30146</v>
      </c>
      <c r="B1590">
        <v>0</v>
      </c>
      <c r="C1590">
        <v>90</v>
      </c>
      <c r="D1590">
        <v>0</v>
      </c>
      <c r="E1590">
        <v>0</v>
      </c>
      <c r="F1590">
        <v>0</v>
      </c>
      <c r="G1590">
        <v>6</v>
      </c>
      <c r="H1590">
        <v>0</v>
      </c>
      <c r="I1590">
        <v>0</v>
      </c>
      <c r="J1590">
        <v>0</v>
      </c>
      <c r="K1590">
        <v>0</v>
      </c>
      <c r="L1590">
        <v>4</v>
      </c>
      <c r="M1590">
        <v>0</v>
      </c>
      <c r="N1590">
        <v>0</v>
      </c>
      <c r="O1590">
        <v>0</v>
      </c>
      <c r="P1590">
        <v>0</v>
      </c>
      <c r="Q1590">
        <v>0</v>
      </c>
      <c r="R1590">
        <v>0</v>
      </c>
      <c r="S1590">
        <v>0</v>
      </c>
      <c r="T1590">
        <v>0</v>
      </c>
      <c r="U1590">
        <v>0</v>
      </c>
      <c r="V1590">
        <v>0</v>
      </c>
      <c r="Y1590">
        <v>1</v>
      </c>
      <c r="Z1590">
        <v>0</v>
      </c>
      <c r="AA1590">
        <v>0</v>
      </c>
      <c r="AB1590">
        <v>0</v>
      </c>
      <c r="AC1590">
        <v>0</v>
      </c>
      <c r="AI1590">
        <v>0</v>
      </c>
      <c r="AO1590">
        <v>14.2</v>
      </c>
      <c r="AP1590">
        <v>0</v>
      </c>
      <c r="AQ1590">
        <v>844</v>
      </c>
      <c r="AR1590">
        <v>85</v>
      </c>
      <c r="AS1590">
        <v>1033</v>
      </c>
      <c r="AT1590">
        <v>1093</v>
      </c>
      <c r="AV1590">
        <v>312</v>
      </c>
      <c r="AW1590" t="s">
        <v>479</v>
      </c>
      <c r="AX1590" t="s">
        <v>579</v>
      </c>
    </row>
    <row r="1591" spans="1:50" x14ac:dyDescent="0.45">
      <c r="A1591">
        <v>30147</v>
      </c>
      <c r="B1591">
        <v>1</v>
      </c>
      <c r="C1591">
        <v>78</v>
      </c>
      <c r="D1591">
        <v>2</v>
      </c>
      <c r="E1591">
        <v>0</v>
      </c>
      <c r="F1591">
        <v>5</v>
      </c>
      <c r="G1591">
        <v>0</v>
      </c>
      <c r="H1591">
        <v>0</v>
      </c>
      <c r="I1591">
        <v>0</v>
      </c>
      <c r="J1591">
        <v>15</v>
      </c>
      <c r="K1591">
        <v>0</v>
      </c>
      <c r="L1591">
        <v>0</v>
      </c>
      <c r="M1591">
        <v>0</v>
      </c>
      <c r="N1591">
        <v>0</v>
      </c>
      <c r="O1591">
        <v>0</v>
      </c>
      <c r="P1591">
        <v>0</v>
      </c>
      <c r="Q1591">
        <v>0</v>
      </c>
      <c r="R1591">
        <v>0</v>
      </c>
      <c r="S1591">
        <v>0</v>
      </c>
      <c r="T1591">
        <v>0</v>
      </c>
      <c r="U1591">
        <v>0</v>
      </c>
      <c r="Y1591">
        <v>0</v>
      </c>
      <c r="Z1591">
        <v>0</v>
      </c>
      <c r="AA1591">
        <v>0</v>
      </c>
      <c r="AB1591">
        <v>0</v>
      </c>
      <c r="AC1591">
        <v>1</v>
      </c>
      <c r="AD1591">
        <v>722.2</v>
      </c>
      <c r="AF1591">
        <v>1</v>
      </c>
      <c r="AG1591">
        <v>0</v>
      </c>
      <c r="AH1591">
        <v>0</v>
      </c>
      <c r="AI1591">
        <v>0</v>
      </c>
      <c r="AO1591">
        <v>6</v>
      </c>
      <c r="AP1591">
        <v>4.5</v>
      </c>
      <c r="AQ1591">
        <v>722.2</v>
      </c>
      <c r="AR1591">
        <v>58</v>
      </c>
      <c r="AS1591">
        <v>625.4</v>
      </c>
      <c r="AT1591">
        <v>1879.9</v>
      </c>
      <c r="AV1591">
        <v>302</v>
      </c>
      <c r="AW1591" t="s">
        <v>480</v>
      </c>
      <c r="AX1591" t="s">
        <v>580</v>
      </c>
    </row>
    <row r="1592" spans="1:50" x14ac:dyDescent="0.45">
      <c r="A1592">
        <v>30148</v>
      </c>
      <c r="B1592">
        <v>1</v>
      </c>
      <c r="C1592">
        <v>58.7</v>
      </c>
      <c r="D1592">
        <v>0</v>
      </c>
      <c r="E1592">
        <v>0</v>
      </c>
      <c r="F1592">
        <v>0</v>
      </c>
      <c r="G1592">
        <v>0</v>
      </c>
      <c r="H1592">
        <v>0</v>
      </c>
      <c r="I1592">
        <v>0</v>
      </c>
      <c r="J1592">
        <v>3</v>
      </c>
      <c r="K1592">
        <v>36</v>
      </c>
      <c r="L1592">
        <v>0</v>
      </c>
      <c r="M1592">
        <v>0</v>
      </c>
      <c r="N1592">
        <v>0</v>
      </c>
      <c r="O1592">
        <v>2</v>
      </c>
      <c r="P1592">
        <v>0</v>
      </c>
      <c r="Q1592">
        <v>0</v>
      </c>
      <c r="R1592">
        <v>0</v>
      </c>
      <c r="S1592">
        <v>0</v>
      </c>
      <c r="T1592">
        <v>0.3</v>
      </c>
      <c r="U1592">
        <v>0</v>
      </c>
      <c r="Y1592">
        <v>0</v>
      </c>
      <c r="Z1592">
        <v>0</v>
      </c>
      <c r="AA1592">
        <v>0</v>
      </c>
      <c r="AB1592">
        <v>0</v>
      </c>
      <c r="AC1592">
        <v>1</v>
      </c>
      <c r="AD1592">
        <v>898.19999999999993</v>
      </c>
      <c r="AF1592">
        <v>1</v>
      </c>
      <c r="AG1592">
        <v>0</v>
      </c>
      <c r="AH1592">
        <v>0</v>
      </c>
      <c r="AI1592">
        <v>0</v>
      </c>
      <c r="AO1592">
        <v>10.520000000000001</v>
      </c>
      <c r="AP1592">
        <v>0.53</v>
      </c>
      <c r="AQ1592">
        <v>898.19999999999993</v>
      </c>
      <c r="AR1592">
        <v>64.5</v>
      </c>
      <c r="AS1592">
        <v>700</v>
      </c>
      <c r="AT1592">
        <v>840</v>
      </c>
      <c r="AW1592" t="s">
        <v>481</v>
      </c>
      <c r="AX1592" t="s">
        <v>581</v>
      </c>
    </row>
    <row r="1593" spans="1:50" x14ac:dyDescent="0.45">
      <c r="A1593">
        <v>30149</v>
      </c>
      <c r="B1593">
        <v>1</v>
      </c>
      <c r="C1593">
        <v>58</v>
      </c>
      <c r="D1593">
        <v>0</v>
      </c>
      <c r="E1593">
        <v>0</v>
      </c>
      <c r="F1593">
        <v>0</v>
      </c>
      <c r="G1593">
        <v>0</v>
      </c>
      <c r="H1593">
        <v>0</v>
      </c>
      <c r="I1593">
        <v>0</v>
      </c>
      <c r="J1593">
        <v>6.8</v>
      </c>
      <c r="K1593">
        <v>32.5</v>
      </c>
      <c r="L1593">
        <v>0</v>
      </c>
      <c r="M1593">
        <v>2.7</v>
      </c>
      <c r="N1593">
        <v>0</v>
      </c>
      <c r="O1593">
        <v>0</v>
      </c>
      <c r="P1593">
        <v>0</v>
      </c>
      <c r="Q1593">
        <v>0</v>
      </c>
      <c r="R1593">
        <v>0</v>
      </c>
      <c r="S1593">
        <v>0</v>
      </c>
      <c r="T1593">
        <v>0</v>
      </c>
      <c r="U1593">
        <v>0</v>
      </c>
      <c r="Y1593">
        <v>0</v>
      </c>
      <c r="Z1593">
        <v>0</v>
      </c>
      <c r="AA1593">
        <v>0</v>
      </c>
      <c r="AB1593">
        <v>0</v>
      </c>
      <c r="AC1593">
        <v>1</v>
      </c>
      <c r="AD1593">
        <v>846.42000000000007</v>
      </c>
      <c r="AF1593">
        <v>1</v>
      </c>
      <c r="AG1593">
        <v>0</v>
      </c>
      <c r="AH1593">
        <v>0</v>
      </c>
      <c r="AI1593">
        <v>0</v>
      </c>
      <c r="AO1593">
        <v>9.1000000000000014</v>
      </c>
      <c r="AP1593">
        <v>2.0333333333333332</v>
      </c>
      <c r="AQ1593">
        <v>846.42000000000007</v>
      </c>
      <c r="AR1593">
        <v>54.2</v>
      </c>
      <c r="AS1593">
        <v>380</v>
      </c>
      <c r="AT1593">
        <v>562</v>
      </c>
      <c r="AW1593" t="s">
        <v>282</v>
      </c>
      <c r="AX1593" t="s">
        <v>582</v>
      </c>
    </row>
    <row r="1594" spans="1:50" x14ac:dyDescent="0.45">
      <c r="A1594">
        <v>30150</v>
      </c>
      <c r="B1594">
        <v>1</v>
      </c>
      <c r="C1594">
        <v>88</v>
      </c>
      <c r="D1594">
        <v>0</v>
      </c>
      <c r="E1594">
        <v>0</v>
      </c>
      <c r="F1594">
        <v>0</v>
      </c>
      <c r="G1594">
        <v>0</v>
      </c>
      <c r="H1594">
        <v>0</v>
      </c>
      <c r="I1594">
        <v>0</v>
      </c>
      <c r="J1594">
        <v>0</v>
      </c>
      <c r="K1594">
        <v>0</v>
      </c>
      <c r="L1594">
        <v>12</v>
      </c>
      <c r="M1594">
        <v>0</v>
      </c>
      <c r="N1594">
        <v>0</v>
      </c>
      <c r="O1594">
        <v>0</v>
      </c>
      <c r="P1594">
        <v>0</v>
      </c>
      <c r="Q1594">
        <v>0</v>
      </c>
      <c r="R1594">
        <v>0</v>
      </c>
      <c r="S1594">
        <v>0</v>
      </c>
      <c r="T1594">
        <v>0</v>
      </c>
      <c r="U1594">
        <v>0</v>
      </c>
      <c r="Y1594">
        <v>0</v>
      </c>
      <c r="Z1594">
        <v>0</v>
      </c>
      <c r="AA1594">
        <v>0</v>
      </c>
      <c r="AB1594">
        <v>0</v>
      </c>
      <c r="AC1594">
        <v>1</v>
      </c>
      <c r="AD1594">
        <v>768</v>
      </c>
      <c r="AF1594">
        <v>1</v>
      </c>
      <c r="AG1594">
        <v>0</v>
      </c>
      <c r="AH1594">
        <v>0</v>
      </c>
      <c r="AI1594">
        <v>0</v>
      </c>
      <c r="AO1594">
        <v>12</v>
      </c>
      <c r="AP1594">
        <v>0</v>
      </c>
      <c r="AQ1594">
        <v>768</v>
      </c>
      <c r="AS1594">
        <v>480</v>
      </c>
      <c r="AT1594">
        <v>1000</v>
      </c>
      <c r="AW1594" t="s">
        <v>482</v>
      </c>
      <c r="AX1594" t="s">
        <v>583</v>
      </c>
    </row>
    <row r="1595" spans="1:50" x14ac:dyDescent="0.45">
      <c r="A1595">
        <v>30151</v>
      </c>
      <c r="B1595">
        <v>1</v>
      </c>
      <c r="C1595">
        <v>83</v>
      </c>
      <c r="D1595">
        <v>0</v>
      </c>
      <c r="E1595">
        <v>0</v>
      </c>
      <c r="F1595">
        <v>0</v>
      </c>
      <c r="G1595">
        <v>0</v>
      </c>
      <c r="H1595">
        <v>0</v>
      </c>
      <c r="I1595">
        <v>0</v>
      </c>
      <c r="J1595">
        <v>5</v>
      </c>
      <c r="K1595">
        <v>0</v>
      </c>
      <c r="L1595">
        <v>12</v>
      </c>
      <c r="M1595">
        <v>0</v>
      </c>
      <c r="N1595">
        <v>0</v>
      </c>
      <c r="O1595">
        <v>0</v>
      </c>
      <c r="P1595">
        <v>0</v>
      </c>
      <c r="Q1595">
        <v>0</v>
      </c>
      <c r="R1595">
        <v>0</v>
      </c>
      <c r="S1595">
        <v>0</v>
      </c>
      <c r="T1595">
        <v>0</v>
      </c>
      <c r="U1595">
        <v>0</v>
      </c>
      <c r="Y1595">
        <v>0</v>
      </c>
      <c r="Z1595">
        <v>0</v>
      </c>
      <c r="AA1595">
        <v>0</v>
      </c>
      <c r="AB1595">
        <v>0</v>
      </c>
      <c r="AC1595">
        <v>1</v>
      </c>
      <c r="AD1595">
        <v>733.5</v>
      </c>
      <c r="AF1595">
        <v>1</v>
      </c>
      <c r="AG1595">
        <v>0</v>
      </c>
      <c r="AH1595">
        <v>0</v>
      </c>
      <c r="AI1595">
        <v>0</v>
      </c>
      <c r="AO1595">
        <v>12</v>
      </c>
      <c r="AP1595">
        <v>0.83333333333333337</v>
      </c>
      <c r="AQ1595">
        <v>733.5</v>
      </c>
      <c r="AS1595">
        <v>650</v>
      </c>
      <c r="AT1595">
        <v>950</v>
      </c>
      <c r="AW1595" t="s">
        <v>482</v>
      </c>
      <c r="AX1595" t="s">
        <v>583</v>
      </c>
    </row>
    <row r="1596" spans="1:50" x14ac:dyDescent="0.45">
      <c r="A1596">
        <v>30152</v>
      </c>
      <c r="B1596">
        <v>1</v>
      </c>
      <c r="C1596">
        <v>65</v>
      </c>
      <c r="D1596">
        <v>0</v>
      </c>
      <c r="E1596">
        <v>0</v>
      </c>
      <c r="F1596">
        <v>0</v>
      </c>
      <c r="G1596">
        <v>0</v>
      </c>
      <c r="H1596">
        <v>0</v>
      </c>
      <c r="I1596">
        <v>0</v>
      </c>
      <c r="J1596">
        <v>0</v>
      </c>
      <c r="K1596">
        <v>35</v>
      </c>
      <c r="L1596">
        <v>0</v>
      </c>
      <c r="M1596">
        <v>0</v>
      </c>
      <c r="N1596">
        <v>0</v>
      </c>
      <c r="O1596">
        <v>0</v>
      </c>
      <c r="P1596">
        <v>0</v>
      </c>
      <c r="Q1596">
        <v>0</v>
      </c>
      <c r="R1596">
        <v>0</v>
      </c>
      <c r="S1596">
        <v>0</v>
      </c>
      <c r="T1596">
        <v>0</v>
      </c>
      <c r="U1596">
        <v>0</v>
      </c>
      <c r="Y1596">
        <v>0</v>
      </c>
      <c r="Z1596">
        <v>0</v>
      </c>
      <c r="AA1596">
        <v>0</v>
      </c>
      <c r="AB1596">
        <v>0</v>
      </c>
      <c r="AC1596">
        <v>1</v>
      </c>
      <c r="AD1596">
        <v>882</v>
      </c>
      <c r="AF1596">
        <v>1</v>
      </c>
      <c r="AG1596">
        <v>0</v>
      </c>
      <c r="AH1596">
        <v>0</v>
      </c>
      <c r="AI1596">
        <v>0</v>
      </c>
      <c r="AO1596">
        <v>9.8000000000000007</v>
      </c>
      <c r="AP1596">
        <v>0</v>
      </c>
      <c r="AQ1596">
        <v>882</v>
      </c>
      <c r="AR1596">
        <v>73.900000000000006</v>
      </c>
      <c r="AS1596">
        <v>289</v>
      </c>
      <c r="AT1596">
        <v>561</v>
      </c>
      <c r="AV1596">
        <v>202</v>
      </c>
      <c r="AW1596" t="s">
        <v>483</v>
      </c>
      <c r="AX1596" t="s">
        <v>584</v>
      </c>
    </row>
    <row r="1597" spans="1:50" x14ac:dyDescent="0.45">
      <c r="A1597">
        <v>30153</v>
      </c>
      <c r="B1597">
        <v>1</v>
      </c>
      <c r="C1597">
        <v>62.5</v>
      </c>
      <c r="D1597">
        <v>0</v>
      </c>
      <c r="E1597">
        <v>0</v>
      </c>
      <c r="F1597">
        <v>0</v>
      </c>
      <c r="G1597">
        <v>0</v>
      </c>
      <c r="H1597">
        <v>0</v>
      </c>
      <c r="I1597">
        <v>0</v>
      </c>
      <c r="J1597">
        <v>0</v>
      </c>
      <c r="K1597">
        <v>35</v>
      </c>
      <c r="L1597">
        <v>0</v>
      </c>
      <c r="M1597">
        <v>2.5</v>
      </c>
      <c r="N1597">
        <v>0</v>
      </c>
      <c r="O1597">
        <v>0</v>
      </c>
      <c r="P1597">
        <v>0</v>
      </c>
      <c r="Q1597">
        <v>0</v>
      </c>
      <c r="R1597">
        <v>0</v>
      </c>
      <c r="S1597">
        <v>0</v>
      </c>
      <c r="T1597">
        <v>0</v>
      </c>
      <c r="U1597">
        <v>0</v>
      </c>
      <c r="Y1597">
        <v>0</v>
      </c>
      <c r="Z1597">
        <v>0</v>
      </c>
      <c r="AA1597">
        <v>0</v>
      </c>
      <c r="AB1597">
        <v>0</v>
      </c>
      <c r="AC1597">
        <v>1</v>
      </c>
      <c r="AD1597">
        <v>892.5</v>
      </c>
      <c r="AF1597">
        <v>1</v>
      </c>
      <c r="AG1597">
        <v>0</v>
      </c>
      <c r="AH1597">
        <v>0</v>
      </c>
      <c r="AI1597">
        <v>0</v>
      </c>
      <c r="AO1597">
        <v>9.8000000000000007</v>
      </c>
      <c r="AP1597">
        <v>0.83333333333333337</v>
      </c>
      <c r="AQ1597">
        <v>892.5</v>
      </c>
      <c r="AR1597">
        <v>65.8</v>
      </c>
      <c r="AS1597">
        <v>237</v>
      </c>
      <c r="AT1597">
        <v>566</v>
      </c>
      <c r="AV1597">
        <v>195</v>
      </c>
      <c r="AW1597" t="s">
        <v>483</v>
      </c>
      <c r="AX1597" t="s">
        <v>584</v>
      </c>
    </row>
    <row r="1598" spans="1:50" x14ac:dyDescent="0.45">
      <c r="A1598">
        <v>30154</v>
      </c>
      <c r="B1598">
        <v>1</v>
      </c>
      <c r="C1598">
        <v>60</v>
      </c>
      <c r="D1598">
        <v>0</v>
      </c>
      <c r="E1598">
        <v>0</v>
      </c>
      <c r="F1598">
        <v>0</v>
      </c>
      <c r="G1598">
        <v>0</v>
      </c>
      <c r="H1598">
        <v>0</v>
      </c>
      <c r="I1598">
        <v>0</v>
      </c>
      <c r="J1598">
        <v>0</v>
      </c>
      <c r="K1598">
        <v>35</v>
      </c>
      <c r="L1598">
        <v>0</v>
      </c>
      <c r="M1598">
        <v>5</v>
      </c>
      <c r="N1598">
        <v>0</v>
      </c>
      <c r="O1598">
        <v>0</v>
      </c>
      <c r="P1598">
        <v>0</v>
      </c>
      <c r="Q1598">
        <v>0</v>
      </c>
      <c r="R1598">
        <v>0</v>
      </c>
      <c r="S1598">
        <v>0</v>
      </c>
      <c r="T1598">
        <v>0</v>
      </c>
      <c r="U1598">
        <v>0</v>
      </c>
      <c r="Y1598">
        <v>0</v>
      </c>
      <c r="Z1598">
        <v>0</v>
      </c>
      <c r="AA1598">
        <v>0</v>
      </c>
      <c r="AB1598">
        <v>0</v>
      </c>
      <c r="AC1598">
        <v>1</v>
      </c>
      <c r="AD1598">
        <v>903</v>
      </c>
      <c r="AF1598">
        <v>1</v>
      </c>
      <c r="AG1598">
        <v>0</v>
      </c>
      <c r="AH1598">
        <v>0</v>
      </c>
      <c r="AI1598">
        <v>0</v>
      </c>
      <c r="AO1598">
        <v>9.8000000000000007</v>
      </c>
      <c r="AP1598">
        <v>1.6666666666666667</v>
      </c>
      <c r="AQ1598">
        <v>903</v>
      </c>
      <c r="AR1598">
        <v>68.2</v>
      </c>
      <c r="AS1598">
        <v>216</v>
      </c>
      <c r="AT1598">
        <v>563</v>
      </c>
      <c r="AV1598">
        <v>184</v>
      </c>
      <c r="AW1598" t="s">
        <v>483</v>
      </c>
      <c r="AX1598" t="s">
        <v>584</v>
      </c>
    </row>
    <row r="1599" spans="1:50" x14ac:dyDescent="0.45">
      <c r="A1599">
        <v>30155</v>
      </c>
      <c r="B1599">
        <v>1</v>
      </c>
      <c r="C1599">
        <v>57.5</v>
      </c>
      <c r="D1599">
        <v>0</v>
      </c>
      <c r="E1599">
        <v>0</v>
      </c>
      <c r="F1599">
        <v>0</v>
      </c>
      <c r="G1599">
        <v>0</v>
      </c>
      <c r="H1599">
        <v>0</v>
      </c>
      <c r="I1599">
        <v>0</v>
      </c>
      <c r="J1599">
        <v>0</v>
      </c>
      <c r="K1599">
        <v>35</v>
      </c>
      <c r="L1599">
        <v>0</v>
      </c>
      <c r="M1599">
        <v>7.5</v>
      </c>
      <c r="N1599">
        <v>0</v>
      </c>
      <c r="O1599">
        <v>0</v>
      </c>
      <c r="P1599">
        <v>0</v>
      </c>
      <c r="Q1599">
        <v>0</v>
      </c>
      <c r="R1599">
        <v>0</v>
      </c>
      <c r="S1599">
        <v>0</v>
      </c>
      <c r="T1599">
        <v>0</v>
      </c>
      <c r="U1599">
        <v>0</v>
      </c>
      <c r="Y1599">
        <v>0</v>
      </c>
      <c r="Z1599">
        <v>0</v>
      </c>
      <c r="AA1599">
        <v>0</v>
      </c>
      <c r="AB1599">
        <v>0</v>
      </c>
      <c r="AC1599">
        <v>1</v>
      </c>
      <c r="AD1599">
        <v>913.5</v>
      </c>
      <c r="AF1599">
        <v>1</v>
      </c>
      <c r="AG1599">
        <v>0</v>
      </c>
      <c r="AH1599">
        <v>0</v>
      </c>
      <c r="AI1599">
        <v>0</v>
      </c>
      <c r="AO1599">
        <v>9.8000000000000007</v>
      </c>
      <c r="AP1599">
        <v>2.5</v>
      </c>
      <c r="AQ1599">
        <v>913.5</v>
      </c>
      <c r="AR1599">
        <v>86.4</v>
      </c>
      <c r="AS1599">
        <v>262</v>
      </c>
      <c r="AT1599">
        <v>478</v>
      </c>
      <c r="AV1599">
        <v>202</v>
      </c>
      <c r="AW1599" t="s">
        <v>483</v>
      </c>
      <c r="AX1599" t="s">
        <v>584</v>
      </c>
    </row>
    <row r="1600" spans="1:50" x14ac:dyDescent="0.45">
      <c r="A1600">
        <v>30156</v>
      </c>
      <c r="B1600">
        <v>1</v>
      </c>
      <c r="C1600">
        <v>90</v>
      </c>
      <c r="D1600">
        <v>0</v>
      </c>
      <c r="E1600">
        <v>0</v>
      </c>
      <c r="F1600">
        <v>8.5</v>
      </c>
      <c r="G1600">
        <v>0</v>
      </c>
      <c r="H1600">
        <v>0</v>
      </c>
      <c r="I1600">
        <v>0</v>
      </c>
      <c r="J1600">
        <v>0</v>
      </c>
      <c r="K1600">
        <v>0</v>
      </c>
      <c r="L1600">
        <v>0</v>
      </c>
      <c r="M1600">
        <v>1.5</v>
      </c>
      <c r="N1600">
        <v>0</v>
      </c>
      <c r="O1600">
        <v>0</v>
      </c>
      <c r="P1600">
        <v>0</v>
      </c>
      <c r="Q1600">
        <v>0</v>
      </c>
      <c r="R1600">
        <v>0</v>
      </c>
      <c r="S1600">
        <v>0</v>
      </c>
      <c r="T1600">
        <v>0</v>
      </c>
      <c r="U1600">
        <v>0</v>
      </c>
      <c r="Y1600">
        <v>0</v>
      </c>
      <c r="Z1600">
        <v>0</v>
      </c>
      <c r="AA1600">
        <v>0</v>
      </c>
      <c r="AB1600">
        <v>0</v>
      </c>
      <c r="AC1600">
        <v>1</v>
      </c>
      <c r="AD1600">
        <v>785.44999999999993</v>
      </c>
      <c r="AF1600">
        <v>1</v>
      </c>
      <c r="AG1600">
        <v>0</v>
      </c>
      <c r="AH1600">
        <v>0</v>
      </c>
      <c r="AI1600">
        <v>0</v>
      </c>
      <c r="AO1600">
        <v>13.600000000000001</v>
      </c>
      <c r="AP1600">
        <v>0.5</v>
      </c>
      <c r="AQ1600">
        <v>785.44999999999993</v>
      </c>
      <c r="AR1600">
        <v>83</v>
      </c>
      <c r="AS1600">
        <v>554</v>
      </c>
      <c r="AT1600">
        <v>1240</v>
      </c>
      <c r="AW1600" t="s">
        <v>343</v>
      </c>
      <c r="AX1600" t="s">
        <v>585</v>
      </c>
    </row>
    <row r="1601" spans="1:50" x14ac:dyDescent="0.45">
      <c r="A1601">
        <v>30157</v>
      </c>
      <c r="B1601">
        <v>0</v>
      </c>
      <c r="C1601">
        <v>85</v>
      </c>
      <c r="D1601">
        <v>0</v>
      </c>
      <c r="E1601">
        <v>0</v>
      </c>
      <c r="F1601">
        <v>0</v>
      </c>
      <c r="G1601">
        <v>0</v>
      </c>
      <c r="H1601">
        <v>0</v>
      </c>
      <c r="I1601">
        <v>0</v>
      </c>
      <c r="J1601">
        <v>0</v>
      </c>
      <c r="K1601">
        <v>0</v>
      </c>
      <c r="L1601">
        <v>9</v>
      </c>
      <c r="M1601">
        <v>0</v>
      </c>
      <c r="N1601">
        <v>0</v>
      </c>
      <c r="O1601">
        <v>0</v>
      </c>
      <c r="P1601">
        <v>6</v>
      </c>
      <c r="Q1601">
        <v>0</v>
      </c>
      <c r="R1601">
        <v>0</v>
      </c>
      <c r="S1601">
        <v>0</v>
      </c>
      <c r="T1601">
        <v>0</v>
      </c>
      <c r="U1601">
        <v>0</v>
      </c>
      <c r="Y1601">
        <v>0</v>
      </c>
      <c r="Z1601">
        <v>0</v>
      </c>
      <c r="AA1601">
        <v>0</v>
      </c>
      <c r="AB1601">
        <v>0</v>
      </c>
      <c r="AC1601">
        <v>1</v>
      </c>
      <c r="AD1601">
        <v>796.5</v>
      </c>
      <c r="AF1601">
        <v>1</v>
      </c>
      <c r="AG1601">
        <v>0</v>
      </c>
      <c r="AH1601">
        <v>0</v>
      </c>
      <c r="AI1601">
        <v>0</v>
      </c>
      <c r="AO1601">
        <v>11.64</v>
      </c>
      <c r="AP1601">
        <v>0</v>
      </c>
      <c r="AQ1601">
        <v>796.5</v>
      </c>
      <c r="AR1601">
        <v>59</v>
      </c>
      <c r="AS1601">
        <v>519</v>
      </c>
      <c r="AT1601">
        <v>1098</v>
      </c>
      <c r="AW1601" t="s">
        <v>484</v>
      </c>
      <c r="AX1601" t="s">
        <v>586</v>
      </c>
    </row>
    <row r="1602" spans="1:50" x14ac:dyDescent="0.45">
      <c r="A1602">
        <v>30158</v>
      </c>
      <c r="B1602">
        <v>1</v>
      </c>
      <c r="C1602">
        <v>88</v>
      </c>
      <c r="D1602">
        <v>0</v>
      </c>
      <c r="E1602">
        <v>0</v>
      </c>
      <c r="F1602">
        <v>0</v>
      </c>
      <c r="G1602">
        <v>0</v>
      </c>
      <c r="H1602">
        <v>0</v>
      </c>
      <c r="I1602">
        <v>0</v>
      </c>
      <c r="J1602">
        <v>0</v>
      </c>
      <c r="K1602">
        <v>0</v>
      </c>
      <c r="L1602">
        <v>12</v>
      </c>
      <c r="M1602">
        <v>0</v>
      </c>
      <c r="N1602">
        <v>0</v>
      </c>
      <c r="O1602">
        <v>0</v>
      </c>
      <c r="P1602">
        <v>0</v>
      </c>
      <c r="Q1602">
        <v>0</v>
      </c>
      <c r="R1602">
        <v>0</v>
      </c>
      <c r="S1602">
        <v>0</v>
      </c>
      <c r="T1602">
        <v>0</v>
      </c>
      <c r="U1602">
        <v>0</v>
      </c>
      <c r="Y1602">
        <v>0</v>
      </c>
      <c r="Z1602">
        <v>0</v>
      </c>
      <c r="AA1602">
        <v>0</v>
      </c>
      <c r="AB1602">
        <v>0</v>
      </c>
      <c r="AC1602">
        <v>1</v>
      </c>
      <c r="AD1602">
        <v>768</v>
      </c>
      <c r="AF1602">
        <v>1</v>
      </c>
      <c r="AG1602">
        <v>0</v>
      </c>
      <c r="AH1602">
        <v>0</v>
      </c>
      <c r="AI1602">
        <v>0</v>
      </c>
      <c r="AO1602">
        <v>12</v>
      </c>
      <c r="AP1602">
        <v>0</v>
      </c>
      <c r="AQ1602">
        <v>768</v>
      </c>
      <c r="AR1602">
        <v>78</v>
      </c>
      <c r="AS1602">
        <v>481</v>
      </c>
      <c r="AT1602">
        <v>974</v>
      </c>
      <c r="AW1602" t="s">
        <v>485</v>
      </c>
      <c r="AX1602" t="s">
        <v>587</v>
      </c>
    </row>
    <row r="1603" spans="1:50" x14ac:dyDescent="0.45">
      <c r="A1603">
        <v>30159</v>
      </c>
      <c r="B1603">
        <v>1</v>
      </c>
      <c r="C1603">
        <v>64</v>
      </c>
      <c r="D1603">
        <v>0</v>
      </c>
      <c r="E1603">
        <v>0</v>
      </c>
      <c r="F1603">
        <v>0</v>
      </c>
      <c r="G1603">
        <v>0</v>
      </c>
      <c r="H1603">
        <v>0</v>
      </c>
      <c r="I1603">
        <v>0</v>
      </c>
      <c r="J1603">
        <v>4</v>
      </c>
      <c r="K1603">
        <v>24</v>
      </c>
      <c r="L1603">
        <v>0</v>
      </c>
      <c r="M1603">
        <v>8</v>
      </c>
      <c r="N1603">
        <v>0</v>
      </c>
      <c r="O1603">
        <v>0</v>
      </c>
      <c r="P1603">
        <v>0</v>
      </c>
      <c r="Q1603">
        <v>0</v>
      </c>
      <c r="R1603">
        <v>0</v>
      </c>
      <c r="S1603">
        <v>0</v>
      </c>
      <c r="T1603">
        <v>0</v>
      </c>
      <c r="U1603">
        <v>0</v>
      </c>
      <c r="Y1603">
        <v>0</v>
      </c>
      <c r="Z1603">
        <v>0</v>
      </c>
      <c r="AA1603">
        <v>0</v>
      </c>
      <c r="AB1603">
        <v>0</v>
      </c>
      <c r="AC1603">
        <v>1</v>
      </c>
      <c r="AD1603">
        <v>888</v>
      </c>
      <c r="AF1603">
        <v>0</v>
      </c>
      <c r="AG1603">
        <v>1</v>
      </c>
      <c r="AH1603">
        <v>0</v>
      </c>
      <c r="AI1603">
        <v>0</v>
      </c>
      <c r="AO1603">
        <v>6.7200000000000006</v>
      </c>
      <c r="AP1603">
        <v>3.333333333333333</v>
      </c>
      <c r="AQ1603">
        <v>888</v>
      </c>
      <c r="AR1603">
        <v>50</v>
      </c>
      <c r="AS1603">
        <v>350</v>
      </c>
      <c r="AW1603" t="s">
        <v>486</v>
      </c>
      <c r="AX1603" t="s">
        <v>588</v>
      </c>
    </row>
    <row r="1604" spans="1:50" x14ac:dyDescent="0.45">
      <c r="A1604">
        <v>30160</v>
      </c>
      <c r="B1604">
        <v>1</v>
      </c>
      <c r="C1604">
        <v>36.4</v>
      </c>
      <c r="D1604">
        <v>0</v>
      </c>
      <c r="E1604">
        <v>20</v>
      </c>
      <c r="F1604">
        <v>0</v>
      </c>
      <c r="G1604">
        <v>0</v>
      </c>
      <c r="H1604">
        <v>0</v>
      </c>
      <c r="I1604">
        <v>0</v>
      </c>
      <c r="J1604">
        <v>43</v>
      </c>
      <c r="K1604">
        <v>0</v>
      </c>
      <c r="L1604">
        <v>0</v>
      </c>
      <c r="M1604">
        <v>0</v>
      </c>
      <c r="N1604">
        <v>0</v>
      </c>
      <c r="O1604">
        <v>0</v>
      </c>
      <c r="P1604">
        <v>0</v>
      </c>
      <c r="Q1604">
        <v>0</v>
      </c>
      <c r="R1604">
        <v>0</v>
      </c>
      <c r="S1604">
        <v>0</v>
      </c>
      <c r="T1604">
        <v>0.6</v>
      </c>
      <c r="U1604">
        <v>0</v>
      </c>
      <c r="Y1604">
        <v>0</v>
      </c>
      <c r="Z1604">
        <v>0</v>
      </c>
      <c r="AA1604">
        <v>0</v>
      </c>
      <c r="AB1604">
        <v>0</v>
      </c>
      <c r="AC1604">
        <v>1</v>
      </c>
      <c r="AD1604">
        <v>423.09999999999997</v>
      </c>
      <c r="AF1604">
        <v>0</v>
      </c>
      <c r="AG1604">
        <v>1</v>
      </c>
      <c r="AH1604">
        <v>0</v>
      </c>
      <c r="AI1604">
        <v>0</v>
      </c>
      <c r="AO1604">
        <v>13.4</v>
      </c>
      <c r="AP1604">
        <v>7.2266666666666666</v>
      </c>
      <c r="AQ1604">
        <v>423.09999999999997</v>
      </c>
      <c r="AR1604">
        <v>82.18</v>
      </c>
      <c r="AS1604">
        <v>635</v>
      </c>
      <c r="AT1604">
        <v>635</v>
      </c>
      <c r="AW1604" t="s">
        <v>487</v>
      </c>
      <c r="AX1604" t="s">
        <v>589</v>
      </c>
    </row>
    <row r="1605" spans="1:50" x14ac:dyDescent="0.45">
      <c r="A1605">
        <v>30161</v>
      </c>
      <c r="B1605">
        <v>1</v>
      </c>
      <c r="C1605">
        <v>64</v>
      </c>
      <c r="D1605">
        <v>0</v>
      </c>
      <c r="E1605">
        <v>0</v>
      </c>
      <c r="F1605">
        <v>0</v>
      </c>
      <c r="G1605">
        <v>0</v>
      </c>
      <c r="H1605">
        <v>0</v>
      </c>
      <c r="I1605">
        <v>0</v>
      </c>
      <c r="J1605">
        <v>4</v>
      </c>
      <c r="K1605">
        <v>24</v>
      </c>
      <c r="L1605">
        <v>0</v>
      </c>
      <c r="M1605">
        <v>8</v>
      </c>
      <c r="N1605">
        <v>0</v>
      </c>
      <c r="O1605">
        <v>0</v>
      </c>
      <c r="P1605">
        <v>0</v>
      </c>
      <c r="Q1605">
        <v>0</v>
      </c>
      <c r="R1605">
        <v>0</v>
      </c>
      <c r="S1605">
        <v>0</v>
      </c>
      <c r="T1605">
        <v>0</v>
      </c>
      <c r="U1605">
        <v>0</v>
      </c>
      <c r="Y1605">
        <v>0</v>
      </c>
      <c r="Z1605">
        <v>0</v>
      </c>
      <c r="AA1605">
        <v>0</v>
      </c>
      <c r="AB1605">
        <v>0</v>
      </c>
      <c r="AC1605">
        <v>1</v>
      </c>
      <c r="AD1605">
        <v>888</v>
      </c>
      <c r="AF1605">
        <v>0</v>
      </c>
      <c r="AG1605">
        <v>1</v>
      </c>
      <c r="AH1605">
        <v>0</v>
      </c>
      <c r="AI1605">
        <v>0</v>
      </c>
      <c r="AO1605">
        <v>6.7200000000000006</v>
      </c>
      <c r="AP1605">
        <v>3.333333333333333</v>
      </c>
      <c r="AQ1605">
        <v>888</v>
      </c>
      <c r="AR1605">
        <v>59.2</v>
      </c>
      <c r="AS1605">
        <v>282</v>
      </c>
      <c r="AT1605">
        <v>665</v>
      </c>
      <c r="AW1605" t="s">
        <v>488</v>
      </c>
      <c r="AX1605" t="s">
        <v>590</v>
      </c>
    </row>
    <row r="1606" spans="1:50" x14ac:dyDescent="0.45">
      <c r="A1606">
        <v>30162</v>
      </c>
      <c r="B1606">
        <v>1</v>
      </c>
      <c r="C1606">
        <v>63.85</v>
      </c>
      <c r="D1606">
        <v>0</v>
      </c>
      <c r="E1606">
        <v>0</v>
      </c>
      <c r="F1606">
        <v>0</v>
      </c>
      <c r="G1606">
        <v>0</v>
      </c>
      <c r="H1606">
        <v>0</v>
      </c>
      <c r="I1606">
        <v>0</v>
      </c>
      <c r="J1606">
        <v>4</v>
      </c>
      <c r="K1606">
        <v>24</v>
      </c>
      <c r="L1606">
        <v>0</v>
      </c>
      <c r="M1606">
        <v>8</v>
      </c>
      <c r="N1606">
        <v>0</v>
      </c>
      <c r="O1606">
        <v>0</v>
      </c>
      <c r="P1606">
        <v>0</v>
      </c>
      <c r="Q1606">
        <v>0</v>
      </c>
      <c r="R1606">
        <v>0</v>
      </c>
      <c r="S1606">
        <v>0</v>
      </c>
      <c r="T1606">
        <v>0.15</v>
      </c>
      <c r="U1606">
        <v>0</v>
      </c>
      <c r="Y1606">
        <v>0</v>
      </c>
      <c r="Z1606">
        <v>0</v>
      </c>
      <c r="AA1606">
        <v>0</v>
      </c>
      <c r="AB1606">
        <v>0</v>
      </c>
      <c r="AC1606">
        <v>1</v>
      </c>
      <c r="AD1606">
        <v>906.45</v>
      </c>
      <c r="AF1606">
        <v>0</v>
      </c>
      <c r="AG1606">
        <v>1</v>
      </c>
      <c r="AH1606">
        <v>0</v>
      </c>
      <c r="AI1606">
        <v>0</v>
      </c>
      <c r="AO1606">
        <v>6.7200000000000006</v>
      </c>
      <c r="AP1606">
        <v>3.3483333333333332</v>
      </c>
      <c r="AQ1606">
        <v>906.45</v>
      </c>
      <c r="AR1606">
        <v>61.6</v>
      </c>
      <c r="AS1606">
        <v>380</v>
      </c>
      <c r="AT1606">
        <v>797</v>
      </c>
      <c r="AW1606" t="s">
        <v>488</v>
      </c>
      <c r="AX1606" t="s">
        <v>590</v>
      </c>
    </row>
    <row r="1607" spans="1:50" x14ac:dyDescent="0.45">
      <c r="A1607">
        <v>30163</v>
      </c>
      <c r="B1607">
        <v>1</v>
      </c>
      <c r="C1607">
        <v>63.8</v>
      </c>
      <c r="D1607">
        <v>0</v>
      </c>
      <c r="E1607">
        <v>0</v>
      </c>
      <c r="F1607">
        <v>0</v>
      </c>
      <c r="G1607">
        <v>0</v>
      </c>
      <c r="H1607">
        <v>0</v>
      </c>
      <c r="I1607">
        <v>0</v>
      </c>
      <c r="J1607">
        <v>4</v>
      </c>
      <c r="K1607">
        <v>24</v>
      </c>
      <c r="L1607">
        <v>0</v>
      </c>
      <c r="M1607">
        <v>8</v>
      </c>
      <c r="N1607">
        <v>0</v>
      </c>
      <c r="O1607">
        <v>0</v>
      </c>
      <c r="P1607">
        <v>0</v>
      </c>
      <c r="Q1607">
        <v>0</v>
      </c>
      <c r="R1607">
        <v>0</v>
      </c>
      <c r="S1607">
        <v>0</v>
      </c>
      <c r="T1607">
        <v>0.2</v>
      </c>
      <c r="U1607">
        <v>0</v>
      </c>
      <c r="Y1607">
        <v>0</v>
      </c>
      <c r="Z1607">
        <v>0</v>
      </c>
      <c r="AA1607">
        <v>0</v>
      </c>
      <c r="AB1607">
        <v>0</v>
      </c>
      <c r="AC1607">
        <v>1</v>
      </c>
      <c r="AD1607">
        <v>912.6</v>
      </c>
      <c r="AF1607">
        <v>0</v>
      </c>
      <c r="AG1607">
        <v>1</v>
      </c>
      <c r="AH1607">
        <v>0</v>
      </c>
      <c r="AI1607">
        <v>0</v>
      </c>
      <c r="AO1607">
        <v>6.7200000000000006</v>
      </c>
      <c r="AP1607">
        <v>3.3533333333333331</v>
      </c>
      <c r="AQ1607">
        <v>912.6</v>
      </c>
      <c r="AR1607">
        <v>47.8</v>
      </c>
      <c r="AS1607">
        <v>515</v>
      </c>
      <c r="AT1607">
        <v>852</v>
      </c>
      <c r="AW1607" t="s">
        <v>488</v>
      </c>
      <c r="AX1607" t="s">
        <v>590</v>
      </c>
    </row>
    <row r="1608" spans="1:50" x14ac:dyDescent="0.45">
      <c r="A1608">
        <v>30164</v>
      </c>
      <c r="B1608">
        <v>1</v>
      </c>
      <c r="C1608">
        <v>63.6</v>
      </c>
      <c r="D1608">
        <v>0</v>
      </c>
      <c r="E1608">
        <v>0</v>
      </c>
      <c r="F1608">
        <v>0</v>
      </c>
      <c r="G1608">
        <v>0</v>
      </c>
      <c r="H1608">
        <v>0</v>
      </c>
      <c r="I1608">
        <v>0</v>
      </c>
      <c r="J1608">
        <v>4</v>
      </c>
      <c r="K1608">
        <v>24</v>
      </c>
      <c r="L1608">
        <v>0</v>
      </c>
      <c r="M1608">
        <v>8</v>
      </c>
      <c r="N1608">
        <v>0</v>
      </c>
      <c r="O1608">
        <v>0</v>
      </c>
      <c r="P1608">
        <v>0</v>
      </c>
      <c r="Q1608">
        <v>0</v>
      </c>
      <c r="R1608">
        <v>0</v>
      </c>
      <c r="S1608">
        <v>0</v>
      </c>
      <c r="T1608">
        <v>0.4</v>
      </c>
      <c r="U1608">
        <v>0</v>
      </c>
      <c r="Y1608">
        <v>0</v>
      </c>
      <c r="Z1608">
        <v>0</v>
      </c>
      <c r="AA1608">
        <v>0</v>
      </c>
      <c r="AB1608">
        <v>0</v>
      </c>
      <c r="AC1608">
        <v>1</v>
      </c>
      <c r="AD1608">
        <v>937.2</v>
      </c>
      <c r="AF1608">
        <v>0</v>
      </c>
      <c r="AG1608">
        <v>1</v>
      </c>
      <c r="AH1608">
        <v>0</v>
      </c>
      <c r="AI1608">
        <v>0</v>
      </c>
      <c r="AO1608">
        <v>6.7200000000000006</v>
      </c>
      <c r="AP1608">
        <v>3.3733333333333331</v>
      </c>
      <c r="AQ1608">
        <v>937.2</v>
      </c>
      <c r="AR1608">
        <v>53.2</v>
      </c>
      <c r="AS1608">
        <v>649</v>
      </c>
      <c r="AT1608">
        <v>778</v>
      </c>
      <c r="AW1608" t="s">
        <v>488</v>
      </c>
      <c r="AX1608" t="s">
        <v>590</v>
      </c>
    </row>
    <row r="1609" spans="1:50" x14ac:dyDescent="0.45">
      <c r="A1609">
        <v>30165</v>
      </c>
      <c r="B1609">
        <v>1</v>
      </c>
      <c r="C1609">
        <v>75</v>
      </c>
      <c r="D1609">
        <v>0</v>
      </c>
      <c r="E1609">
        <v>0</v>
      </c>
      <c r="F1609">
        <v>0</v>
      </c>
      <c r="G1609">
        <v>0</v>
      </c>
      <c r="H1609">
        <v>0</v>
      </c>
      <c r="I1609">
        <v>0</v>
      </c>
      <c r="J1609">
        <v>0</v>
      </c>
      <c r="K1609">
        <v>25</v>
      </c>
      <c r="L1609">
        <v>0</v>
      </c>
      <c r="M1609">
        <v>0</v>
      </c>
      <c r="N1609">
        <v>0</v>
      </c>
      <c r="O1609">
        <v>0</v>
      </c>
      <c r="P1609">
        <v>0</v>
      </c>
      <c r="Q1609">
        <v>0</v>
      </c>
      <c r="R1609">
        <v>0</v>
      </c>
      <c r="S1609">
        <v>0</v>
      </c>
      <c r="T1609">
        <v>0</v>
      </c>
      <c r="U1609">
        <v>0</v>
      </c>
      <c r="Y1609">
        <v>0</v>
      </c>
      <c r="Z1609">
        <v>0</v>
      </c>
      <c r="AA1609">
        <v>0</v>
      </c>
      <c r="AB1609">
        <v>0</v>
      </c>
      <c r="AC1609">
        <v>1</v>
      </c>
      <c r="AD1609">
        <v>882</v>
      </c>
      <c r="AF1609">
        <v>1</v>
      </c>
      <c r="AG1609">
        <v>0</v>
      </c>
      <c r="AH1609">
        <v>0</v>
      </c>
      <c r="AI1609">
        <v>0</v>
      </c>
      <c r="AO1609">
        <v>7.0000000000000009</v>
      </c>
      <c r="AP1609">
        <v>0</v>
      </c>
      <c r="AQ1609">
        <v>882</v>
      </c>
      <c r="AR1609">
        <v>64</v>
      </c>
      <c r="AS1609">
        <v>456</v>
      </c>
      <c r="AT1609">
        <v>688</v>
      </c>
      <c r="AV1609">
        <v>181</v>
      </c>
      <c r="AW1609" t="s">
        <v>489</v>
      </c>
      <c r="AX1609" t="s">
        <v>591</v>
      </c>
    </row>
    <row r="1610" spans="1:50" x14ac:dyDescent="0.45">
      <c r="A1610">
        <v>30166</v>
      </c>
      <c r="B1610">
        <v>1</v>
      </c>
      <c r="C1610">
        <v>72.5</v>
      </c>
      <c r="D1610">
        <v>0</v>
      </c>
      <c r="E1610">
        <v>0</v>
      </c>
      <c r="F1610">
        <v>0</v>
      </c>
      <c r="G1610">
        <v>0</v>
      </c>
      <c r="H1610">
        <v>0</v>
      </c>
      <c r="I1610">
        <v>0</v>
      </c>
      <c r="J1610">
        <v>0</v>
      </c>
      <c r="K1610">
        <v>25</v>
      </c>
      <c r="L1610">
        <v>0</v>
      </c>
      <c r="M1610">
        <v>0</v>
      </c>
      <c r="N1610">
        <v>0</v>
      </c>
      <c r="O1610">
        <v>2.5</v>
      </c>
      <c r="P1610">
        <v>0</v>
      </c>
      <c r="Q1610">
        <v>0</v>
      </c>
      <c r="R1610">
        <v>0</v>
      </c>
      <c r="S1610">
        <v>0</v>
      </c>
      <c r="T1610">
        <v>0</v>
      </c>
      <c r="U1610">
        <v>0</v>
      </c>
      <c r="Y1610">
        <v>0</v>
      </c>
      <c r="Z1610">
        <v>0</v>
      </c>
      <c r="AA1610">
        <v>0</v>
      </c>
      <c r="AB1610">
        <v>0</v>
      </c>
      <c r="AC1610">
        <v>1</v>
      </c>
      <c r="AD1610">
        <v>882</v>
      </c>
      <c r="AF1610">
        <v>1</v>
      </c>
      <c r="AG1610">
        <v>0</v>
      </c>
      <c r="AH1610">
        <v>0</v>
      </c>
      <c r="AI1610">
        <v>0</v>
      </c>
      <c r="AO1610">
        <v>7.5500000000000007</v>
      </c>
      <c r="AP1610">
        <v>0</v>
      </c>
      <c r="AQ1610">
        <v>882</v>
      </c>
      <c r="AR1610">
        <v>71</v>
      </c>
      <c r="AS1610">
        <v>374</v>
      </c>
      <c r="AT1610">
        <v>642</v>
      </c>
      <c r="AV1610">
        <v>159</v>
      </c>
      <c r="AW1610" t="s">
        <v>489</v>
      </c>
      <c r="AX1610" t="s">
        <v>591</v>
      </c>
    </row>
    <row r="1611" spans="1:50" x14ac:dyDescent="0.45">
      <c r="A1611">
        <v>30167</v>
      </c>
      <c r="B1611">
        <v>1</v>
      </c>
      <c r="C1611">
        <v>70</v>
      </c>
      <c r="D1611">
        <v>0</v>
      </c>
      <c r="E1611">
        <v>0</v>
      </c>
      <c r="F1611">
        <v>0</v>
      </c>
      <c r="G1611">
        <v>0</v>
      </c>
      <c r="H1611">
        <v>0</v>
      </c>
      <c r="I1611">
        <v>0</v>
      </c>
      <c r="J1611">
        <v>0</v>
      </c>
      <c r="K1611">
        <v>25</v>
      </c>
      <c r="L1611">
        <v>0</v>
      </c>
      <c r="M1611">
        <v>0</v>
      </c>
      <c r="N1611">
        <v>0</v>
      </c>
      <c r="O1611">
        <v>5</v>
      </c>
      <c r="P1611">
        <v>0</v>
      </c>
      <c r="Q1611">
        <v>0</v>
      </c>
      <c r="R1611">
        <v>0</v>
      </c>
      <c r="S1611">
        <v>0</v>
      </c>
      <c r="T1611">
        <v>0</v>
      </c>
      <c r="U1611">
        <v>0</v>
      </c>
      <c r="Y1611">
        <v>0</v>
      </c>
      <c r="Z1611">
        <v>0</v>
      </c>
      <c r="AA1611">
        <v>0</v>
      </c>
      <c r="AB1611">
        <v>0</v>
      </c>
      <c r="AC1611">
        <v>1</v>
      </c>
      <c r="AD1611">
        <v>882</v>
      </c>
      <c r="AF1611">
        <v>1</v>
      </c>
      <c r="AG1611">
        <v>0</v>
      </c>
      <c r="AH1611">
        <v>0</v>
      </c>
      <c r="AI1611">
        <v>0</v>
      </c>
      <c r="AO1611">
        <v>8.1000000000000014</v>
      </c>
      <c r="AP1611">
        <v>0</v>
      </c>
      <c r="AQ1611">
        <v>882</v>
      </c>
      <c r="AR1611">
        <v>78</v>
      </c>
      <c r="AS1611">
        <v>433</v>
      </c>
      <c r="AT1611">
        <v>543</v>
      </c>
      <c r="AV1611">
        <v>165</v>
      </c>
      <c r="AW1611" t="s">
        <v>489</v>
      </c>
      <c r="AX1611" t="s">
        <v>591</v>
      </c>
    </row>
    <row r="1612" spans="1:50" x14ac:dyDescent="0.45">
      <c r="A1612">
        <v>30168</v>
      </c>
      <c r="B1612">
        <v>1</v>
      </c>
      <c r="C1612">
        <v>67.5</v>
      </c>
      <c r="D1612">
        <v>0</v>
      </c>
      <c r="E1612">
        <v>0</v>
      </c>
      <c r="F1612">
        <v>0</v>
      </c>
      <c r="G1612">
        <v>0</v>
      </c>
      <c r="H1612">
        <v>0</v>
      </c>
      <c r="I1612">
        <v>0</v>
      </c>
      <c r="J1612">
        <v>0</v>
      </c>
      <c r="K1612">
        <v>25</v>
      </c>
      <c r="L1612">
        <v>0</v>
      </c>
      <c r="M1612">
        <v>0</v>
      </c>
      <c r="N1612">
        <v>0</v>
      </c>
      <c r="O1612">
        <v>7.5</v>
      </c>
      <c r="P1612">
        <v>0</v>
      </c>
      <c r="Q1612">
        <v>0</v>
      </c>
      <c r="R1612">
        <v>0</v>
      </c>
      <c r="S1612">
        <v>0</v>
      </c>
      <c r="T1612">
        <v>0</v>
      </c>
      <c r="U1612">
        <v>0</v>
      </c>
      <c r="Y1612">
        <v>0</v>
      </c>
      <c r="Z1612">
        <v>0</v>
      </c>
      <c r="AA1612">
        <v>0</v>
      </c>
      <c r="AB1612">
        <v>0</v>
      </c>
      <c r="AC1612">
        <v>1</v>
      </c>
      <c r="AD1612">
        <v>882</v>
      </c>
      <c r="AF1612">
        <v>1</v>
      </c>
      <c r="AG1612">
        <v>0</v>
      </c>
      <c r="AH1612">
        <v>0</v>
      </c>
      <c r="AI1612">
        <v>0</v>
      </c>
      <c r="AO1612">
        <v>8.65</v>
      </c>
      <c r="AP1612">
        <v>0</v>
      </c>
      <c r="AQ1612">
        <v>882</v>
      </c>
      <c r="AR1612">
        <v>78</v>
      </c>
      <c r="AS1612">
        <v>376</v>
      </c>
      <c r="AT1612">
        <v>590</v>
      </c>
      <c r="AV1612">
        <v>172</v>
      </c>
      <c r="AW1612" t="s">
        <v>489</v>
      </c>
      <c r="AX1612" t="s">
        <v>591</v>
      </c>
    </row>
    <row r="1613" spans="1:50" x14ac:dyDescent="0.45">
      <c r="A1613">
        <v>30169</v>
      </c>
      <c r="B1613">
        <v>1</v>
      </c>
      <c r="C1613">
        <v>70</v>
      </c>
      <c r="D1613">
        <v>0</v>
      </c>
      <c r="E1613">
        <v>0</v>
      </c>
      <c r="F1613">
        <v>0</v>
      </c>
      <c r="G1613">
        <v>0</v>
      </c>
      <c r="H1613">
        <v>0</v>
      </c>
      <c r="I1613">
        <v>0</v>
      </c>
      <c r="J1613">
        <v>0</v>
      </c>
      <c r="K1613">
        <v>30</v>
      </c>
      <c r="L1613">
        <v>0</v>
      </c>
      <c r="M1613">
        <v>0</v>
      </c>
      <c r="N1613">
        <v>0</v>
      </c>
      <c r="O1613">
        <v>0</v>
      </c>
      <c r="P1613">
        <v>0</v>
      </c>
      <c r="Q1613">
        <v>0</v>
      </c>
      <c r="R1613">
        <v>0</v>
      </c>
      <c r="S1613">
        <v>0</v>
      </c>
      <c r="T1613">
        <v>0</v>
      </c>
      <c r="U1613">
        <v>0</v>
      </c>
      <c r="Y1613">
        <v>0</v>
      </c>
      <c r="Z1613">
        <v>0</v>
      </c>
      <c r="AA1613">
        <v>0</v>
      </c>
      <c r="AB1613">
        <v>0</v>
      </c>
      <c r="AC1613">
        <v>1</v>
      </c>
      <c r="AD1613">
        <v>882</v>
      </c>
      <c r="AF1613">
        <v>1</v>
      </c>
      <c r="AG1613">
        <v>0</v>
      </c>
      <c r="AH1613">
        <v>0</v>
      </c>
      <c r="AI1613">
        <v>0</v>
      </c>
      <c r="AO1613">
        <v>8.4</v>
      </c>
      <c r="AP1613">
        <v>0</v>
      </c>
      <c r="AQ1613">
        <v>882</v>
      </c>
      <c r="AR1613">
        <v>79</v>
      </c>
      <c r="AS1613">
        <v>327</v>
      </c>
      <c r="AT1613">
        <v>532</v>
      </c>
      <c r="AV1613">
        <v>193</v>
      </c>
      <c r="AW1613" t="s">
        <v>489</v>
      </c>
      <c r="AX1613" t="s">
        <v>591</v>
      </c>
    </row>
    <row r="1614" spans="1:50" x14ac:dyDescent="0.45">
      <c r="A1614">
        <v>30170</v>
      </c>
      <c r="B1614">
        <v>1</v>
      </c>
      <c r="C1614">
        <v>67.5</v>
      </c>
      <c r="D1614">
        <v>0</v>
      </c>
      <c r="E1614">
        <v>0</v>
      </c>
      <c r="F1614">
        <v>0</v>
      </c>
      <c r="G1614">
        <v>0</v>
      </c>
      <c r="H1614">
        <v>0</v>
      </c>
      <c r="I1614">
        <v>0</v>
      </c>
      <c r="J1614">
        <v>0</v>
      </c>
      <c r="K1614">
        <v>30</v>
      </c>
      <c r="L1614">
        <v>0</v>
      </c>
      <c r="M1614">
        <v>0</v>
      </c>
      <c r="N1614">
        <v>0</v>
      </c>
      <c r="O1614">
        <v>2.5</v>
      </c>
      <c r="P1614">
        <v>0</v>
      </c>
      <c r="Q1614">
        <v>0</v>
      </c>
      <c r="R1614">
        <v>0</v>
      </c>
      <c r="S1614">
        <v>0</v>
      </c>
      <c r="T1614">
        <v>0</v>
      </c>
      <c r="U1614">
        <v>0</v>
      </c>
      <c r="Y1614">
        <v>0</v>
      </c>
      <c r="Z1614">
        <v>0</v>
      </c>
      <c r="AA1614">
        <v>0</v>
      </c>
      <c r="AB1614">
        <v>0</v>
      </c>
      <c r="AC1614">
        <v>1</v>
      </c>
      <c r="AD1614">
        <v>882</v>
      </c>
      <c r="AF1614">
        <v>1</v>
      </c>
      <c r="AG1614">
        <v>0</v>
      </c>
      <c r="AH1614">
        <v>0</v>
      </c>
      <c r="AI1614">
        <v>0</v>
      </c>
      <c r="AO1614">
        <v>8.9500000000000011</v>
      </c>
      <c r="AP1614">
        <v>0</v>
      </c>
      <c r="AQ1614">
        <v>882</v>
      </c>
      <c r="AR1614">
        <v>81</v>
      </c>
      <c r="AS1614">
        <v>411</v>
      </c>
      <c r="AT1614">
        <v>584</v>
      </c>
      <c r="AV1614">
        <v>180</v>
      </c>
      <c r="AW1614" t="s">
        <v>489</v>
      </c>
      <c r="AX1614" t="s">
        <v>591</v>
      </c>
    </row>
    <row r="1615" spans="1:50" x14ac:dyDescent="0.45">
      <c r="A1615">
        <v>30171</v>
      </c>
      <c r="B1615">
        <v>1</v>
      </c>
      <c r="C1615">
        <v>65</v>
      </c>
      <c r="D1615">
        <v>0</v>
      </c>
      <c r="E1615">
        <v>0</v>
      </c>
      <c r="F1615">
        <v>0</v>
      </c>
      <c r="G1615">
        <v>0</v>
      </c>
      <c r="H1615">
        <v>0</v>
      </c>
      <c r="I1615">
        <v>0</v>
      </c>
      <c r="J1615">
        <v>0</v>
      </c>
      <c r="K1615">
        <v>30</v>
      </c>
      <c r="L1615">
        <v>0</v>
      </c>
      <c r="M1615">
        <v>0</v>
      </c>
      <c r="N1615">
        <v>0</v>
      </c>
      <c r="O1615">
        <v>5</v>
      </c>
      <c r="P1615">
        <v>0</v>
      </c>
      <c r="Q1615">
        <v>0</v>
      </c>
      <c r="R1615">
        <v>0</v>
      </c>
      <c r="S1615">
        <v>0</v>
      </c>
      <c r="T1615">
        <v>0</v>
      </c>
      <c r="U1615">
        <v>0</v>
      </c>
      <c r="Y1615">
        <v>0</v>
      </c>
      <c r="Z1615">
        <v>0</v>
      </c>
      <c r="AA1615">
        <v>0</v>
      </c>
      <c r="AB1615">
        <v>0</v>
      </c>
      <c r="AC1615">
        <v>1</v>
      </c>
      <c r="AD1615">
        <v>882</v>
      </c>
      <c r="AF1615">
        <v>1</v>
      </c>
      <c r="AG1615">
        <v>0</v>
      </c>
      <c r="AH1615">
        <v>0</v>
      </c>
      <c r="AI1615">
        <v>0</v>
      </c>
      <c r="AO1615">
        <v>9.5</v>
      </c>
      <c r="AP1615">
        <v>0</v>
      </c>
      <c r="AQ1615">
        <v>882</v>
      </c>
      <c r="AR1615">
        <v>80</v>
      </c>
      <c r="AS1615">
        <v>377</v>
      </c>
      <c r="AT1615">
        <v>595</v>
      </c>
      <c r="AV1615">
        <v>197</v>
      </c>
      <c r="AW1615" t="s">
        <v>489</v>
      </c>
      <c r="AX1615" t="s">
        <v>591</v>
      </c>
    </row>
    <row r="1616" spans="1:50" x14ac:dyDescent="0.45">
      <c r="A1616">
        <v>30172</v>
      </c>
      <c r="B1616">
        <v>1</v>
      </c>
      <c r="C1616">
        <v>62.5</v>
      </c>
      <c r="D1616">
        <v>0</v>
      </c>
      <c r="E1616">
        <v>0</v>
      </c>
      <c r="F1616">
        <v>0</v>
      </c>
      <c r="G1616">
        <v>0</v>
      </c>
      <c r="H1616">
        <v>0</v>
      </c>
      <c r="I1616">
        <v>0</v>
      </c>
      <c r="J1616">
        <v>0</v>
      </c>
      <c r="K1616">
        <v>30</v>
      </c>
      <c r="L1616">
        <v>0</v>
      </c>
      <c r="M1616">
        <v>0</v>
      </c>
      <c r="N1616">
        <v>0</v>
      </c>
      <c r="O1616">
        <v>7.5</v>
      </c>
      <c r="P1616">
        <v>0</v>
      </c>
      <c r="Q1616">
        <v>0</v>
      </c>
      <c r="R1616">
        <v>0</v>
      </c>
      <c r="S1616">
        <v>0</v>
      </c>
      <c r="T1616">
        <v>0</v>
      </c>
      <c r="U1616">
        <v>0</v>
      </c>
      <c r="Y1616">
        <v>0</v>
      </c>
      <c r="Z1616">
        <v>0</v>
      </c>
      <c r="AA1616">
        <v>0</v>
      </c>
      <c r="AB1616">
        <v>0</v>
      </c>
      <c r="AC1616">
        <v>1</v>
      </c>
      <c r="AD1616">
        <v>882</v>
      </c>
      <c r="AF1616">
        <v>1</v>
      </c>
      <c r="AG1616">
        <v>0</v>
      </c>
      <c r="AH1616">
        <v>0</v>
      </c>
      <c r="AI1616">
        <v>0</v>
      </c>
      <c r="AO1616">
        <v>10.050000000000001</v>
      </c>
      <c r="AP1616">
        <v>0</v>
      </c>
      <c r="AQ1616">
        <v>882</v>
      </c>
      <c r="AR1616">
        <v>81</v>
      </c>
      <c r="AS1616">
        <v>395</v>
      </c>
      <c r="AT1616">
        <v>584</v>
      </c>
      <c r="AV1616">
        <v>215</v>
      </c>
      <c r="AW1616" t="s">
        <v>489</v>
      </c>
      <c r="AX1616" t="s">
        <v>591</v>
      </c>
    </row>
    <row r="1617" spans="1:50" x14ac:dyDescent="0.45">
      <c r="A1617">
        <v>30173</v>
      </c>
      <c r="B1617">
        <v>1</v>
      </c>
      <c r="C1617">
        <v>65</v>
      </c>
      <c r="D1617">
        <v>0</v>
      </c>
      <c r="E1617">
        <v>0</v>
      </c>
      <c r="F1617">
        <v>0</v>
      </c>
      <c r="G1617">
        <v>0</v>
      </c>
      <c r="H1617">
        <v>0</v>
      </c>
      <c r="I1617">
        <v>0</v>
      </c>
      <c r="J1617">
        <v>0</v>
      </c>
      <c r="K1617">
        <v>35</v>
      </c>
      <c r="L1617">
        <v>0</v>
      </c>
      <c r="M1617">
        <v>0</v>
      </c>
      <c r="N1617">
        <v>0</v>
      </c>
      <c r="O1617">
        <v>0</v>
      </c>
      <c r="P1617">
        <v>0</v>
      </c>
      <c r="Q1617">
        <v>0</v>
      </c>
      <c r="R1617">
        <v>0</v>
      </c>
      <c r="S1617">
        <v>0</v>
      </c>
      <c r="T1617">
        <v>0</v>
      </c>
      <c r="U1617">
        <v>0</v>
      </c>
      <c r="Y1617">
        <v>0</v>
      </c>
      <c r="Z1617">
        <v>0</v>
      </c>
      <c r="AA1617">
        <v>0</v>
      </c>
      <c r="AB1617">
        <v>0</v>
      </c>
      <c r="AC1617">
        <v>1</v>
      </c>
      <c r="AD1617">
        <v>882</v>
      </c>
      <c r="AF1617">
        <v>1</v>
      </c>
      <c r="AG1617">
        <v>0</v>
      </c>
      <c r="AH1617">
        <v>0</v>
      </c>
      <c r="AI1617">
        <v>0</v>
      </c>
      <c r="AO1617">
        <v>9.8000000000000007</v>
      </c>
      <c r="AP1617">
        <v>0</v>
      </c>
      <c r="AQ1617">
        <v>882</v>
      </c>
      <c r="AR1617">
        <v>85</v>
      </c>
      <c r="AS1617">
        <v>338</v>
      </c>
      <c r="AT1617">
        <v>556</v>
      </c>
      <c r="AV1617">
        <v>199</v>
      </c>
      <c r="AW1617" t="s">
        <v>489</v>
      </c>
      <c r="AX1617" t="s">
        <v>591</v>
      </c>
    </row>
    <row r="1618" spans="1:50" x14ac:dyDescent="0.45">
      <c r="A1618">
        <v>30174</v>
      </c>
      <c r="B1618">
        <v>1</v>
      </c>
      <c r="C1618">
        <v>62.5</v>
      </c>
      <c r="D1618">
        <v>0</v>
      </c>
      <c r="E1618">
        <v>0</v>
      </c>
      <c r="F1618">
        <v>0</v>
      </c>
      <c r="G1618">
        <v>0</v>
      </c>
      <c r="H1618">
        <v>0</v>
      </c>
      <c r="I1618">
        <v>0</v>
      </c>
      <c r="J1618">
        <v>0</v>
      </c>
      <c r="K1618">
        <v>35</v>
      </c>
      <c r="L1618">
        <v>0</v>
      </c>
      <c r="M1618">
        <v>0</v>
      </c>
      <c r="N1618">
        <v>0</v>
      </c>
      <c r="O1618">
        <v>2.5</v>
      </c>
      <c r="P1618">
        <v>0</v>
      </c>
      <c r="Q1618">
        <v>0</v>
      </c>
      <c r="R1618">
        <v>0</v>
      </c>
      <c r="S1618">
        <v>0</v>
      </c>
      <c r="T1618">
        <v>0</v>
      </c>
      <c r="U1618">
        <v>0</v>
      </c>
      <c r="Y1618">
        <v>0</v>
      </c>
      <c r="Z1618">
        <v>0</v>
      </c>
      <c r="AA1618">
        <v>0</v>
      </c>
      <c r="AB1618">
        <v>0</v>
      </c>
      <c r="AC1618">
        <v>1</v>
      </c>
      <c r="AD1618">
        <v>882</v>
      </c>
      <c r="AF1618">
        <v>1</v>
      </c>
      <c r="AG1618">
        <v>0</v>
      </c>
      <c r="AH1618">
        <v>0</v>
      </c>
      <c r="AI1618">
        <v>0</v>
      </c>
      <c r="AO1618">
        <v>10.350000000000001</v>
      </c>
      <c r="AP1618">
        <v>0</v>
      </c>
      <c r="AQ1618">
        <v>882</v>
      </c>
      <c r="AR1618">
        <v>85</v>
      </c>
      <c r="AS1618">
        <v>303</v>
      </c>
      <c r="AT1618">
        <v>580</v>
      </c>
      <c r="AV1618">
        <v>202</v>
      </c>
      <c r="AW1618" t="s">
        <v>489</v>
      </c>
      <c r="AX1618" t="s">
        <v>591</v>
      </c>
    </row>
    <row r="1619" spans="1:50" x14ac:dyDescent="0.45">
      <c r="A1619">
        <v>30175</v>
      </c>
      <c r="B1619">
        <v>1</v>
      </c>
      <c r="C1619">
        <v>60</v>
      </c>
      <c r="D1619">
        <v>0</v>
      </c>
      <c r="E1619">
        <v>0</v>
      </c>
      <c r="F1619">
        <v>0</v>
      </c>
      <c r="G1619">
        <v>0</v>
      </c>
      <c r="H1619">
        <v>0</v>
      </c>
      <c r="I1619">
        <v>0</v>
      </c>
      <c r="J1619">
        <v>0</v>
      </c>
      <c r="K1619">
        <v>35</v>
      </c>
      <c r="L1619">
        <v>0</v>
      </c>
      <c r="M1619">
        <v>0</v>
      </c>
      <c r="N1619">
        <v>0</v>
      </c>
      <c r="O1619">
        <v>5</v>
      </c>
      <c r="P1619">
        <v>0</v>
      </c>
      <c r="Q1619">
        <v>0</v>
      </c>
      <c r="R1619">
        <v>0</v>
      </c>
      <c r="S1619">
        <v>0</v>
      </c>
      <c r="T1619">
        <v>0</v>
      </c>
      <c r="U1619">
        <v>0</v>
      </c>
      <c r="Y1619">
        <v>0</v>
      </c>
      <c r="Z1619">
        <v>0</v>
      </c>
      <c r="AA1619">
        <v>0</v>
      </c>
      <c r="AB1619">
        <v>0</v>
      </c>
      <c r="AC1619">
        <v>1</v>
      </c>
      <c r="AD1619">
        <v>882</v>
      </c>
      <c r="AF1619">
        <v>1</v>
      </c>
      <c r="AG1619">
        <v>0</v>
      </c>
      <c r="AH1619">
        <v>0</v>
      </c>
      <c r="AI1619">
        <v>0</v>
      </c>
      <c r="AO1619">
        <v>10.9</v>
      </c>
      <c r="AP1619">
        <v>0</v>
      </c>
      <c r="AQ1619">
        <v>882</v>
      </c>
      <c r="AR1619">
        <v>84</v>
      </c>
      <c r="AS1619">
        <v>340</v>
      </c>
      <c r="AT1619">
        <v>602</v>
      </c>
      <c r="AV1619">
        <v>206</v>
      </c>
      <c r="AW1619" t="s">
        <v>489</v>
      </c>
      <c r="AX1619" t="s">
        <v>591</v>
      </c>
    </row>
    <row r="1620" spans="1:50" x14ac:dyDescent="0.45">
      <c r="A1620">
        <v>30176</v>
      </c>
      <c r="B1620">
        <v>1</v>
      </c>
      <c r="C1620">
        <v>57.5</v>
      </c>
      <c r="D1620">
        <v>0</v>
      </c>
      <c r="E1620">
        <v>0</v>
      </c>
      <c r="F1620">
        <v>0</v>
      </c>
      <c r="G1620">
        <v>0</v>
      </c>
      <c r="H1620">
        <v>0</v>
      </c>
      <c r="I1620">
        <v>0</v>
      </c>
      <c r="J1620">
        <v>0</v>
      </c>
      <c r="K1620">
        <v>35</v>
      </c>
      <c r="L1620">
        <v>0</v>
      </c>
      <c r="M1620">
        <v>0</v>
      </c>
      <c r="N1620">
        <v>0</v>
      </c>
      <c r="O1620">
        <v>7.5</v>
      </c>
      <c r="P1620">
        <v>0</v>
      </c>
      <c r="Q1620">
        <v>0</v>
      </c>
      <c r="R1620">
        <v>0</v>
      </c>
      <c r="S1620">
        <v>0</v>
      </c>
      <c r="T1620">
        <v>0</v>
      </c>
      <c r="U1620">
        <v>0</v>
      </c>
      <c r="Y1620">
        <v>0</v>
      </c>
      <c r="Z1620">
        <v>0</v>
      </c>
      <c r="AA1620">
        <v>0</v>
      </c>
      <c r="AB1620">
        <v>0</v>
      </c>
      <c r="AC1620">
        <v>1</v>
      </c>
      <c r="AD1620">
        <v>882</v>
      </c>
      <c r="AF1620">
        <v>1</v>
      </c>
      <c r="AG1620">
        <v>0</v>
      </c>
      <c r="AH1620">
        <v>0</v>
      </c>
      <c r="AI1620">
        <v>0</v>
      </c>
      <c r="AO1620">
        <v>11.450000000000001</v>
      </c>
      <c r="AP1620">
        <v>0</v>
      </c>
      <c r="AQ1620">
        <v>882</v>
      </c>
      <c r="AR1620">
        <v>90</v>
      </c>
      <c r="AS1620">
        <v>314</v>
      </c>
      <c r="AT1620">
        <v>585</v>
      </c>
      <c r="AV1620">
        <v>231</v>
      </c>
      <c r="AW1620" t="s">
        <v>489</v>
      </c>
      <c r="AX1620" t="s">
        <v>591</v>
      </c>
    </row>
    <row r="1621" spans="1:50" x14ac:dyDescent="0.45">
      <c r="A1621">
        <v>30177</v>
      </c>
      <c r="B1621">
        <v>1</v>
      </c>
      <c r="C1621">
        <v>36</v>
      </c>
      <c r="D1621">
        <v>0</v>
      </c>
      <c r="E1621">
        <v>0</v>
      </c>
      <c r="F1621">
        <v>0</v>
      </c>
      <c r="G1621">
        <v>0</v>
      </c>
      <c r="H1621">
        <v>0</v>
      </c>
      <c r="I1621">
        <v>0</v>
      </c>
      <c r="J1621">
        <v>38</v>
      </c>
      <c r="K1621">
        <v>24</v>
      </c>
      <c r="L1621">
        <v>2</v>
      </c>
      <c r="M1621">
        <v>0</v>
      </c>
      <c r="N1621">
        <v>0</v>
      </c>
      <c r="O1621">
        <v>0</v>
      </c>
      <c r="P1621">
        <v>0</v>
      </c>
      <c r="Q1621">
        <v>0</v>
      </c>
      <c r="R1621">
        <v>0</v>
      </c>
      <c r="S1621">
        <v>0</v>
      </c>
      <c r="T1621">
        <v>0</v>
      </c>
      <c r="U1621">
        <v>0</v>
      </c>
      <c r="Y1621">
        <v>0</v>
      </c>
      <c r="Z1621">
        <v>0</v>
      </c>
      <c r="AA1621">
        <v>0</v>
      </c>
      <c r="AB1621">
        <v>0</v>
      </c>
      <c r="AC1621">
        <v>1</v>
      </c>
      <c r="AD1621">
        <v>600.79999999999995</v>
      </c>
      <c r="AF1621">
        <v>1</v>
      </c>
      <c r="AG1621">
        <v>0</v>
      </c>
      <c r="AH1621">
        <v>0</v>
      </c>
      <c r="AI1621">
        <v>0</v>
      </c>
      <c r="AO1621">
        <v>8.7200000000000006</v>
      </c>
      <c r="AP1621">
        <v>6.333333333333333</v>
      </c>
      <c r="AQ1621">
        <v>600.79999999999995</v>
      </c>
      <c r="AR1621">
        <v>64.2</v>
      </c>
      <c r="AS1621">
        <v>714</v>
      </c>
      <c r="AT1621">
        <v>772</v>
      </c>
      <c r="AV1621">
        <v>251</v>
      </c>
      <c r="AW1621" t="s">
        <v>490</v>
      </c>
      <c r="AX1621" t="s">
        <v>592</v>
      </c>
    </row>
    <row r="1622" spans="1:50" x14ac:dyDescent="0.45">
      <c r="A1622">
        <v>30178</v>
      </c>
      <c r="B1622">
        <v>0</v>
      </c>
      <c r="C1622">
        <v>35.9</v>
      </c>
      <c r="D1622">
        <v>0</v>
      </c>
      <c r="E1622">
        <v>0</v>
      </c>
      <c r="F1622">
        <v>0</v>
      </c>
      <c r="G1622">
        <v>0</v>
      </c>
      <c r="H1622">
        <v>0</v>
      </c>
      <c r="I1622">
        <v>0</v>
      </c>
      <c r="J1622">
        <v>38</v>
      </c>
      <c r="K1622">
        <v>24</v>
      </c>
      <c r="L1622">
        <v>2</v>
      </c>
      <c r="M1622">
        <v>0</v>
      </c>
      <c r="N1622">
        <v>0</v>
      </c>
      <c r="O1622">
        <v>0</v>
      </c>
      <c r="P1622">
        <v>0</v>
      </c>
      <c r="Q1622">
        <v>0</v>
      </c>
      <c r="R1622">
        <v>0</v>
      </c>
      <c r="S1622">
        <v>0</v>
      </c>
      <c r="T1622">
        <v>0</v>
      </c>
      <c r="U1622">
        <v>0.1</v>
      </c>
      <c r="Y1622">
        <v>0</v>
      </c>
      <c r="Z1622">
        <v>0</v>
      </c>
      <c r="AA1622">
        <v>0</v>
      </c>
      <c r="AB1622">
        <v>0</v>
      </c>
      <c r="AC1622">
        <v>1</v>
      </c>
      <c r="AD1622">
        <v>600.79999999999995</v>
      </c>
      <c r="AF1622">
        <v>1</v>
      </c>
      <c r="AG1622">
        <v>0</v>
      </c>
      <c r="AH1622">
        <v>0</v>
      </c>
      <c r="AI1622">
        <v>0</v>
      </c>
      <c r="AO1622">
        <v>8.7200000000000006</v>
      </c>
      <c r="AP1622">
        <v>6.333333333333333</v>
      </c>
      <c r="AQ1622">
        <v>600.79999999999995</v>
      </c>
      <c r="AR1622">
        <v>65.400000000000006</v>
      </c>
      <c r="AS1622">
        <v>780</v>
      </c>
      <c r="AT1622">
        <v>809</v>
      </c>
      <c r="AV1622">
        <v>265</v>
      </c>
      <c r="AW1622" t="s">
        <v>490</v>
      </c>
      <c r="AX1622" t="s">
        <v>592</v>
      </c>
    </row>
    <row r="1623" spans="1:50" x14ac:dyDescent="0.45">
      <c r="A1623">
        <v>30179</v>
      </c>
      <c r="B1623">
        <v>1</v>
      </c>
      <c r="C1623">
        <v>65</v>
      </c>
      <c r="D1623">
        <v>0</v>
      </c>
      <c r="E1623">
        <v>0</v>
      </c>
      <c r="F1623">
        <v>0</v>
      </c>
      <c r="G1623">
        <v>0</v>
      </c>
      <c r="H1623">
        <v>0</v>
      </c>
      <c r="I1623">
        <v>0</v>
      </c>
      <c r="J1623">
        <v>0</v>
      </c>
      <c r="K1623">
        <v>30</v>
      </c>
      <c r="L1623">
        <v>1</v>
      </c>
      <c r="M1623">
        <v>4</v>
      </c>
      <c r="N1623">
        <v>0</v>
      </c>
      <c r="O1623">
        <v>0</v>
      </c>
      <c r="P1623">
        <v>0</v>
      </c>
      <c r="Q1623">
        <v>0</v>
      </c>
      <c r="R1623">
        <v>0</v>
      </c>
      <c r="S1623">
        <v>0</v>
      </c>
      <c r="T1623">
        <v>0</v>
      </c>
      <c r="U1623">
        <v>0</v>
      </c>
      <c r="Y1623">
        <v>0</v>
      </c>
      <c r="Z1623">
        <v>0</v>
      </c>
      <c r="AA1623">
        <v>0</v>
      </c>
      <c r="AB1623">
        <v>0</v>
      </c>
      <c r="AC1623">
        <v>1</v>
      </c>
      <c r="AD1623">
        <v>889.3</v>
      </c>
      <c r="AF1623">
        <v>1</v>
      </c>
      <c r="AG1623">
        <v>0</v>
      </c>
      <c r="AH1623">
        <v>0</v>
      </c>
      <c r="AI1623">
        <v>0</v>
      </c>
      <c r="AO1623">
        <v>9.4</v>
      </c>
      <c r="AP1623">
        <v>1.3333333333333333</v>
      </c>
      <c r="AQ1623">
        <v>889.3</v>
      </c>
      <c r="AR1623">
        <v>45</v>
      </c>
      <c r="AS1623">
        <v>220</v>
      </c>
      <c r="AW1623" t="s">
        <v>491</v>
      </c>
      <c r="AX1623" t="s">
        <v>593</v>
      </c>
    </row>
    <row r="1624" spans="1:50" x14ac:dyDescent="0.45">
      <c r="A1624">
        <v>30180</v>
      </c>
      <c r="B1624">
        <v>0</v>
      </c>
      <c r="C1624">
        <v>52</v>
      </c>
      <c r="D1624">
        <v>0</v>
      </c>
      <c r="E1624">
        <v>0</v>
      </c>
      <c r="F1624">
        <v>0</v>
      </c>
      <c r="G1624">
        <v>0</v>
      </c>
      <c r="H1624">
        <v>0</v>
      </c>
      <c r="I1624">
        <v>0</v>
      </c>
      <c r="J1624">
        <v>7</v>
      </c>
      <c r="K1624">
        <v>35</v>
      </c>
      <c r="L1624">
        <v>0</v>
      </c>
      <c r="M1624">
        <v>0</v>
      </c>
      <c r="N1624">
        <v>0</v>
      </c>
      <c r="O1624">
        <v>5</v>
      </c>
      <c r="P1624">
        <v>0</v>
      </c>
      <c r="Q1624">
        <v>1</v>
      </c>
      <c r="R1624">
        <v>0</v>
      </c>
      <c r="S1624">
        <v>0</v>
      </c>
      <c r="T1624">
        <v>0</v>
      </c>
      <c r="U1624">
        <v>0</v>
      </c>
      <c r="Y1624">
        <v>0</v>
      </c>
      <c r="Z1624">
        <v>0</v>
      </c>
      <c r="AA1624">
        <v>0</v>
      </c>
      <c r="AB1624">
        <v>0</v>
      </c>
      <c r="AC1624">
        <v>1</v>
      </c>
      <c r="AD1624">
        <v>857</v>
      </c>
      <c r="AF1624">
        <v>1</v>
      </c>
      <c r="AG1624">
        <v>0</v>
      </c>
      <c r="AH1624">
        <v>0</v>
      </c>
      <c r="AI1624">
        <v>0</v>
      </c>
      <c r="AO1624">
        <v>10.9</v>
      </c>
      <c r="AP1624">
        <v>1.1666666666666667</v>
      </c>
      <c r="AQ1624">
        <v>857</v>
      </c>
      <c r="AR1624">
        <v>70</v>
      </c>
      <c r="AS1624">
        <v>561</v>
      </c>
      <c r="AT1624">
        <v>618</v>
      </c>
      <c r="AW1624" t="s">
        <v>492</v>
      </c>
      <c r="AX1624" t="s">
        <v>594</v>
      </c>
    </row>
    <row r="1625" spans="1:50" x14ac:dyDescent="0.45">
      <c r="A1625">
        <v>30181</v>
      </c>
      <c r="B1625">
        <v>1</v>
      </c>
      <c r="C1625">
        <v>51</v>
      </c>
      <c r="D1625">
        <v>0</v>
      </c>
      <c r="E1625">
        <v>0</v>
      </c>
      <c r="F1625">
        <v>0</v>
      </c>
      <c r="G1625">
        <v>0</v>
      </c>
      <c r="H1625">
        <v>2</v>
      </c>
      <c r="I1625">
        <v>0</v>
      </c>
      <c r="J1625">
        <v>7</v>
      </c>
      <c r="K1625">
        <v>35</v>
      </c>
      <c r="L1625">
        <v>0</v>
      </c>
      <c r="M1625">
        <v>0</v>
      </c>
      <c r="N1625">
        <v>0</v>
      </c>
      <c r="O1625">
        <v>5</v>
      </c>
      <c r="P1625">
        <v>0</v>
      </c>
      <c r="Q1625">
        <v>0</v>
      </c>
      <c r="R1625">
        <v>0</v>
      </c>
      <c r="S1625">
        <v>0</v>
      </c>
      <c r="T1625">
        <v>0</v>
      </c>
      <c r="U1625">
        <v>0</v>
      </c>
      <c r="Y1625">
        <v>0</v>
      </c>
      <c r="Z1625">
        <v>0</v>
      </c>
      <c r="AA1625">
        <v>0</v>
      </c>
      <c r="AB1625">
        <v>0</v>
      </c>
      <c r="AC1625">
        <v>1</v>
      </c>
      <c r="AD1625">
        <v>802.90000000000009</v>
      </c>
      <c r="AF1625">
        <v>1</v>
      </c>
      <c r="AG1625">
        <v>0</v>
      </c>
      <c r="AH1625">
        <v>0</v>
      </c>
      <c r="AI1625">
        <v>0</v>
      </c>
      <c r="AO1625">
        <v>16.7</v>
      </c>
      <c r="AP1625">
        <v>1.1666666666666667</v>
      </c>
      <c r="AQ1625">
        <v>802.90000000000009</v>
      </c>
      <c r="AR1625">
        <v>81</v>
      </c>
      <c r="AS1625">
        <v>588</v>
      </c>
      <c r="AT1625">
        <v>721</v>
      </c>
      <c r="AW1625" t="s">
        <v>492</v>
      </c>
      <c r="AX1625" t="s">
        <v>594</v>
      </c>
    </row>
    <row r="1626" spans="1:50" x14ac:dyDescent="0.45">
      <c r="A1626">
        <v>30182</v>
      </c>
      <c r="B1626">
        <v>0</v>
      </c>
      <c r="C1626">
        <v>51.5</v>
      </c>
      <c r="D1626">
        <v>0</v>
      </c>
      <c r="E1626">
        <v>0</v>
      </c>
      <c r="F1626">
        <v>0</v>
      </c>
      <c r="G1626">
        <v>0</v>
      </c>
      <c r="H1626">
        <v>1</v>
      </c>
      <c r="I1626">
        <v>0</v>
      </c>
      <c r="J1626">
        <v>7</v>
      </c>
      <c r="K1626">
        <v>35</v>
      </c>
      <c r="L1626">
        <v>0</v>
      </c>
      <c r="M1626">
        <v>0</v>
      </c>
      <c r="N1626">
        <v>0</v>
      </c>
      <c r="O1626">
        <v>5</v>
      </c>
      <c r="P1626">
        <v>0</v>
      </c>
      <c r="Q1626">
        <v>0.5</v>
      </c>
      <c r="R1626">
        <v>0</v>
      </c>
      <c r="S1626">
        <v>0</v>
      </c>
      <c r="T1626">
        <v>0</v>
      </c>
      <c r="U1626">
        <v>0</v>
      </c>
      <c r="Y1626">
        <v>0</v>
      </c>
      <c r="Z1626">
        <v>0</v>
      </c>
      <c r="AA1626">
        <v>0</v>
      </c>
      <c r="AB1626">
        <v>0</v>
      </c>
      <c r="AC1626">
        <v>1</v>
      </c>
      <c r="AD1626">
        <v>829.95</v>
      </c>
      <c r="AF1626">
        <v>1</v>
      </c>
      <c r="AG1626">
        <v>0</v>
      </c>
      <c r="AH1626">
        <v>0</v>
      </c>
      <c r="AI1626">
        <v>0</v>
      </c>
      <c r="AO1626">
        <v>13.8</v>
      </c>
      <c r="AP1626">
        <v>1.1666666666666667</v>
      </c>
      <c r="AQ1626">
        <v>829.95</v>
      </c>
      <c r="AR1626">
        <v>75</v>
      </c>
      <c r="AS1626">
        <v>632</v>
      </c>
      <c r="AT1626">
        <v>683</v>
      </c>
      <c r="AW1626" t="s">
        <v>492</v>
      </c>
      <c r="AX1626" t="s">
        <v>594</v>
      </c>
    </row>
    <row r="1627" spans="1:50" x14ac:dyDescent="0.45">
      <c r="A1627">
        <v>30183</v>
      </c>
      <c r="B1627">
        <v>0</v>
      </c>
      <c r="C1627">
        <v>50.5</v>
      </c>
      <c r="D1627">
        <v>0</v>
      </c>
      <c r="E1627">
        <v>0</v>
      </c>
      <c r="F1627">
        <v>0</v>
      </c>
      <c r="G1627">
        <v>0</v>
      </c>
      <c r="H1627">
        <v>2</v>
      </c>
      <c r="I1627">
        <v>0</v>
      </c>
      <c r="J1627">
        <v>7</v>
      </c>
      <c r="K1627">
        <v>35</v>
      </c>
      <c r="L1627">
        <v>0</v>
      </c>
      <c r="M1627">
        <v>0</v>
      </c>
      <c r="N1627">
        <v>0</v>
      </c>
      <c r="O1627">
        <v>5</v>
      </c>
      <c r="P1627">
        <v>0</v>
      </c>
      <c r="Q1627">
        <v>0.5</v>
      </c>
      <c r="R1627">
        <v>0</v>
      </c>
      <c r="S1627">
        <v>0</v>
      </c>
      <c r="T1627">
        <v>0</v>
      </c>
      <c r="U1627">
        <v>0</v>
      </c>
      <c r="Y1627">
        <v>0</v>
      </c>
      <c r="Z1627">
        <v>0</v>
      </c>
      <c r="AA1627">
        <v>0</v>
      </c>
      <c r="AB1627">
        <v>0</v>
      </c>
      <c r="AC1627">
        <v>1</v>
      </c>
      <c r="AD1627">
        <v>814.55000000000007</v>
      </c>
      <c r="AF1627">
        <v>1</v>
      </c>
      <c r="AG1627">
        <v>0</v>
      </c>
      <c r="AH1627">
        <v>0</v>
      </c>
      <c r="AI1627">
        <v>0</v>
      </c>
      <c r="AO1627">
        <v>16.7</v>
      </c>
      <c r="AP1627">
        <v>1.1666666666666667</v>
      </c>
      <c r="AQ1627">
        <v>814.55000000000007</v>
      </c>
      <c r="AR1627">
        <v>85</v>
      </c>
      <c r="AS1627">
        <v>720</v>
      </c>
      <c r="AT1627">
        <v>841</v>
      </c>
      <c r="AW1627" t="s">
        <v>492</v>
      </c>
      <c r="AX1627" t="s">
        <v>594</v>
      </c>
    </row>
    <row r="1628" spans="1:50" x14ac:dyDescent="0.45">
      <c r="A1628">
        <v>30184</v>
      </c>
      <c r="B1628">
        <v>0</v>
      </c>
      <c r="C1628">
        <v>51</v>
      </c>
      <c r="D1628">
        <v>0</v>
      </c>
      <c r="E1628">
        <v>0</v>
      </c>
      <c r="F1628">
        <v>0</v>
      </c>
      <c r="G1628">
        <v>0</v>
      </c>
      <c r="H1628">
        <v>1</v>
      </c>
      <c r="I1628">
        <v>0</v>
      </c>
      <c r="J1628">
        <v>7</v>
      </c>
      <c r="K1628">
        <v>35</v>
      </c>
      <c r="L1628">
        <v>0</v>
      </c>
      <c r="M1628">
        <v>0</v>
      </c>
      <c r="N1628">
        <v>0</v>
      </c>
      <c r="O1628">
        <v>5</v>
      </c>
      <c r="P1628">
        <v>0</v>
      </c>
      <c r="Q1628">
        <v>1</v>
      </c>
      <c r="R1628">
        <v>0</v>
      </c>
      <c r="S1628">
        <v>0</v>
      </c>
      <c r="T1628">
        <v>0</v>
      </c>
      <c r="U1628">
        <v>0</v>
      </c>
      <c r="Y1628">
        <v>0</v>
      </c>
      <c r="Z1628">
        <v>0</v>
      </c>
      <c r="AA1628">
        <v>0</v>
      </c>
      <c r="AB1628">
        <v>0</v>
      </c>
      <c r="AC1628">
        <v>1</v>
      </c>
      <c r="AD1628">
        <v>841.6</v>
      </c>
      <c r="AF1628">
        <v>1</v>
      </c>
      <c r="AG1628">
        <v>0</v>
      </c>
      <c r="AH1628">
        <v>0</v>
      </c>
      <c r="AI1628">
        <v>0</v>
      </c>
      <c r="AO1628">
        <v>13.8</v>
      </c>
      <c r="AP1628">
        <v>1.1666666666666667</v>
      </c>
      <c r="AQ1628">
        <v>841.6</v>
      </c>
      <c r="AR1628">
        <v>79</v>
      </c>
      <c r="AS1628">
        <v>613</v>
      </c>
      <c r="AT1628">
        <v>652</v>
      </c>
      <c r="AW1628" t="s">
        <v>492</v>
      </c>
      <c r="AX1628" t="s">
        <v>594</v>
      </c>
    </row>
    <row r="1629" spans="1:50" x14ac:dyDescent="0.45">
      <c r="A1629">
        <v>30185</v>
      </c>
      <c r="B1629">
        <v>1</v>
      </c>
      <c r="C1629">
        <v>65</v>
      </c>
      <c r="D1629">
        <v>0</v>
      </c>
      <c r="E1629">
        <v>0</v>
      </c>
      <c r="F1629">
        <v>0</v>
      </c>
      <c r="G1629">
        <v>0</v>
      </c>
      <c r="H1629">
        <v>0</v>
      </c>
      <c r="I1629">
        <v>0</v>
      </c>
      <c r="J1629">
        <v>0</v>
      </c>
      <c r="K1629">
        <v>35</v>
      </c>
      <c r="L1629">
        <v>0</v>
      </c>
      <c r="M1629">
        <v>0</v>
      </c>
      <c r="N1629">
        <v>0</v>
      </c>
      <c r="O1629">
        <v>0</v>
      </c>
      <c r="P1629">
        <v>0</v>
      </c>
      <c r="Q1629">
        <v>0</v>
      </c>
      <c r="R1629">
        <v>0</v>
      </c>
      <c r="S1629">
        <v>0</v>
      </c>
      <c r="T1629">
        <v>0</v>
      </c>
      <c r="U1629">
        <v>0</v>
      </c>
      <c r="Y1629">
        <v>0</v>
      </c>
      <c r="Z1629">
        <v>0</v>
      </c>
      <c r="AA1629">
        <v>0</v>
      </c>
      <c r="AB1629">
        <v>0</v>
      </c>
      <c r="AC1629">
        <v>1</v>
      </c>
      <c r="AD1629">
        <v>882</v>
      </c>
      <c r="AF1629">
        <v>1</v>
      </c>
      <c r="AG1629">
        <v>0</v>
      </c>
      <c r="AH1629">
        <v>0</v>
      </c>
      <c r="AI1629">
        <v>0</v>
      </c>
      <c r="AO1629">
        <v>9.8000000000000007</v>
      </c>
      <c r="AP1629">
        <v>0</v>
      </c>
      <c r="AQ1629">
        <v>882</v>
      </c>
      <c r="AR1629">
        <v>72</v>
      </c>
      <c r="AS1629">
        <v>382</v>
      </c>
      <c r="AT1629">
        <v>560</v>
      </c>
      <c r="AV1629">
        <v>172</v>
      </c>
      <c r="AW1629" t="s">
        <v>493</v>
      </c>
      <c r="AX1629" t="s">
        <v>595</v>
      </c>
    </row>
    <row r="1630" spans="1:50" x14ac:dyDescent="0.45">
      <c r="A1630">
        <v>30186</v>
      </c>
      <c r="B1630">
        <v>0</v>
      </c>
      <c r="C1630">
        <v>64.849999999999994</v>
      </c>
      <c r="D1630">
        <v>0</v>
      </c>
      <c r="E1630">
        <v>0</v>
      </c>
      <c r="F1630">
        <v>0</v>
      </c>
      <c r="G1630">
        <v>0</v>
      </c>
      <c r="H1630">
        <v>0</v>
      </c>
      <c r="I1630">
        <v>0</v>
      </c>
      <c r="J1630">
        <v>0</v>
      </c>
      <c r="K1630">
        <v>35</v>
      </c>
      <c r="L1630">
        <v>0</v>
      </c>
      <c r="M1630">
        <v>0</v>
      </c>
      <c r="N1630">
        <v>0</v>
      </c>
      <c r="O1630">
        <v>0</v>
      </c>
      <c r="P1630">
        <v>0</v>
      </c>
      <c r="Q1630">
        <v>0.15</v>
      </c>
      <c r="R1630">
        <v>0</v>
      </c>
      <c r="S1630">
        <v>0</v>
      </c>
      <c r="T1630">
        <v>0</v>
      </c>
      <c r="U1630">
        <v>0</v>
      </c>
      <c r="Y1630">
        <v>0</v>
      </c>
      <c r="Z1630">
        <v>0</v>
      </c>
      <c r="AA1630">
        <v>0</v>
      </c>
      <c r="AB1630">
        <v>0</v>
      </c>
      <c r="AC1630">
        <v>1</v>
      </c>
      <c r="AD1630">
        <v>885.495</v>
      </c>
      <c r="AF1630">
        <v>1</v>
      </c>
      <c r="AG1630">
        <v>0</v>
      </c>
      <c r="AH1630">
        <v>0</v>
      </c>
      <c r="AI1630">
        <v>0</v>
      </c>
      <c r="AO1630">
        <v>9.8000000000000007</v>
      </c>
      <c r="AP1630">
        <v>0</v>
      </c>
      <c r="AQ1630">
        <v>885.495</v>
      </c>
      <c r="AR1630">
        <v>66</v>
      </c>
      <c r="AS1630">
        <v>389</v>
      </c>
      <c r="AT1630">
        <v>573</v>
      </c>
      <c r="AV1630">
        <v>190</v>
      </c>
      <c r="AW1630" t="s">
        <v>493</v>
      </c>
      <c r="AX1630" t="s">
        <v>595</v>
      </c>
    </row>
    <row r="1631" spans="1:50" x14ac:dyDescent="0.45">
      <c r="A1631">
        <v>30187</v>
      </c>
      <c r="B1631">
        <v>0</v>
      </c>
      <c r="C1631">
        <v>64.650000000000006</v>
      </c>
      <c r="D1631">
        <v>0</v>
      </c>
      <c r="E1631">
        <v>0</v>
      </c>
      <c r="F1631">
        <v>0</v>
      </c>
      <c r="G1631">
        <v>0</v>
      </c>
      <c r="H1631">
        <v>0</v>
      </c>
      <c r="I1631">
        <v>0</v>
      </c>
      <c r="J1631">
        <v>0</v>
      </c>
      <c r="K1631">
        <v>35</v>
      </c>
      <c r="L1631">
        <v>0</v>
      </c>
      <c r="M1631">
        <v>0</v>
      </c>
      <c r="N1631">
        <v>0</v>
      </c>
      <c r="O1631">
        <v>0</v>
      </c>
      <c r="P1631">
        <v>0</v>
      </c>
      <c r="Q1631">
        <v>0.35</v>
      </c>
      <c r="R1631">
        <v>0</v>
      </c>
      <c r="S1631">
        <v>0</v>
      </c>
      <c r="T1631">
        <v>0</v>
      </c>
      <c r="U1631">
        <v>0</v>
      </c>
      <c r="Y1631">
        <v>0</v>
      </c>
      <c r="Z1631">
        <v>0</v>
      </c>
      <c r="AA1631">
        <v>0</v>
      </c>
      <c r="AB1631">
        <v>0</v>
      </c>
      <c r="AC1631">
        <v>1</v>
      </c>
      <c r="AD1631">
        <v>890.15499999999997</v>
      </c>
      <c r="AF1631">
        <v>1</v>
      </c>
      <c r="AG1631">
        <v>0</v>
      </c>
      <c r="AH1631">
        <v>0</v>
      </c>
      <c r="AI1631">
        <v>0</v>
      </c>
      <c r="AO1631">
        <v>9.8000000000000007</v>
      </c>
      <c r="AP1631">
        <v>0</v>
      </c>
      <c r="AQ1631">
        <v>890.15499999999997</v>
      </c>
      <c r="AR1631">
        <v>65</v>
      </c>
      <c r="AS1631">
        <v>405</v>
      </c>
      <c r="AT1631">
        <v>585</v>
      </c>
      <c r="AV1631">
        <v>202</v>
      </c>
      <c r="AW1631" t="s">
        <v>493</v>
      </c>
      <c r="AX1631" t="s">
        <v>595</v>
      </c>
    </row>
    <row r="1632" spans="1:50" x14ac:dyDescent="0.45">
      <c r="A1632">
        <v>30188</v>
      </c>
      <c r="B1632">
        <v>0</v>
      </c>
      <c r="C1632">
        <v>64.45</v>
      </c>
      <c r="D1632">
        <v>0</v>
      </c>
      <c r="E1632">
        <v>0</v>
      </c>
      <c r="F1632">
        <v>0</v>
      </c>
      <c r="G1632">
        <v>0</v>
      </c>
      <c r="H1632">
        <v>0</v>
      </c>
      <c r="I1632">
        <v>0</v>
      </c>
      <c r="J1632">
        <v>0</v>
      </c>
      <c r="K1632">
        <v>35</v>
      </c>
      <c r="L1632">
        <v>0</v>
      </c>
      <c r="M1632">
        <v>0</v>
      </c>
      <c r="N1632">
        <v>0</v>
      </c>
      <c r="O1632">
        <v>0</v>
      </c>
      <c r="P1632">
        <v>0</v>
      </c>
      <c r="Q1632">
        <v>0.55000000000000004</v>
      </c>
      <c r="R1632">
        <v>0</v>
      </c>
      <c r="S1632">
        <v>0</v>
      </c>
      <c r="T1632">
        <v>0</v>
      </c>
      <c r="U1632">
        <v>0</v>
      </c>
      <c r="Y1632">
        <v>0</v>
      </c>
      <c r="Z1632">
        <v>0</v>
      </c>
      <c r="AA1632">
        <v>0</v>
      </c>
      <c r="AB1632">
        <v>0</v>
      </c>
      <c r="AC1632">
        <v>1</v>
      </c>
      <c r="AD1632">
        <v>894.81500000000005</v>
      </c>
      <c r="AF1632">
        <v>1</v>
      </c>
      <c r="AG1632">
        <v>0</v>
      </c>
      <c r="AH1632">
        <v>0</v>
      </c>
      <c r="AI1632">
        <v>0</v>
      </c>
      <c r="AO1632">
        <v>9.8000000000000007</v>
      </c>
      <c r="AP1632">
        <v>0</v>
      </c>
      <c r="AQ1632">
        <v>894.81500000000005</v>
      </c>
      <c r="AR1632">
        <v>65</v>
      </c>
      <c r="AS1632">
        <v>540</v>
      </c>
      <c r="AT1632">
        <v>658</v>
      </c>
      <c r="AV1632">
        <v>223</v>
      </c>
      <c r="AW1632" t="s">
        <v>493</v>
      </c>
      <c r="AX1632" t="s">
        <v>595</v>
      </c>
    </row>
    <row r="1633" spans="1:50" x14ac:dyDescent="0.45">
      <c r="A1633">
        <v>30189</v>
      </c>
      <c r="B1633">
        <v>1</v>
      </c>
      <c r="C1633">
        <v>92</v>
      </c>
      <c r="D1633">
        <v>0</v>
      </c>
      <c r="E1633">
        <v>0</v>
      </c>
      <c r="F1633">
        <v>8</v>
      </c>
      <c r="G1633">
        <v>0</v>
      </c>
      <c r="H1633">
        <v>0</v>
      </c>
      <c r="I1633">
        <v>0</v>
      </c>
      <c r="J1633">
        <v>0</v>
      </c>
      <c r="K1633">
        <v>0</v>
      </c>
      <c r="L1633">
        <v>0</v>
      </c>
      <c r="M1633">
        <v>0</v>
      </c>
      <c r="N1633">
        <v>0</v>
      </c>
      <c r="O1633">
        <v>0</v>
      </c>
      <c r="P1633">
        <v>0</v>
      </c>
      <c r="Q1633">
        <v>0</v>
      </c>
      <c r="R1633">
        <v>0</v>
      </c>
      <c r="S1633">
        <v>0</v>
      </c>
      <c r="T1633">
        <v>0</v>
      </c>
      <c r="U1633">
        <v>0</v>
      </c>
      <c r="Y1633">
        <v>0</v>
      </c>
      <c r="Z1633">
        <v>0</v>
      </c>
      <c r="AA1633">
        <v>0</v>
      </c>
      <c r="AB1633">
        <v>0</v>
      </c>
      <c r="AC1633">
        <v>1</v>
      </c>
      <c r="AD1633">
        <v>785.2</v>
      </c>
      <c r="AF1633">
        <v>1</v>
      </c>
      <c r="AG1633">
        <v>0</v>
      </c>
      <c r="AH1633">
        <v>0</v>
      </c>
      <c r="AI1633">
        <v>0</v>
      </c>
      <c r="AO1633">
        <v>12.8</v>
      </c>
      <c r="AP1633">
        <v>0</v>
      </c>
      <c r="AQ1633">
        <v>785.2</v>
      </c>
      <c r="AS1633">
        <v>662</v>
      </c>
      <c r="AT1633">
        <v>769</v>
      </c>
      <c r="AW1633" t="s">
        <v>494</v>
      </c>
      <c r="AX1633" t="s">
        <v>596</v>
      </c>
    </row>
    <row r="1634" spans="1:50" x14ac:dyDescent="0.45">
      <c r="A1634">
        <v>30190</v>
      </c>
      <c r="B1634">
        <v>1</v>
      </c>
      <c r="C1634">
        <v>90</v>
      </c>
      <c r="D1634">
        <v>0</v>
      </c>
      <c r="E1634">
        <v>0</v>
      </c>
      <c r="F1634">
        <v>10</v>
      </c>
      <c r="G1634">
        <v>0</v>
      </c>
      <c r="H1634">
        <v>0</v>
      </c>
      <c r="I1634">
        <v>0</v>
      </c>
      <c r="J1634">
        <v>0</v>
      </c>
      <c r="K1634">
        <v>0</v>
      </c>
      <c r="L1634">
        <v>0</v>
      </c>
      <c r="M1634">
        <v>0</v>
      </c>
      <c r="N1634">
        <v>0</v>
      </c>
      <c r="O1634">
        <v>0</v>
      </c>
      <c r="P1634">
        <v>0</v>
      </c>
      <c r="Q1634">
        <v>0</v>
      </c>
      <c r="R1634">
        <v>0</v>
      </c>
      <c r="S1634">
        <v>0</v>
      </c>
      <c r="T1634">
        <v>0</v>
      </c>
      <c r="U1634">
        <v>0</v>
      </c>
      <c r="Y1634">
        <v>0</v>
      </c>
      <c r="Z1634">
        <v>0</v>
      </c>
      <c r="AA1634">
        <v>0</v>
      </c>
      <c r="AB1634">
        <v>0</v>
      </c>
      <c r="AC1634">
        <v>1</v>
      </c>
      <c r="AD1634">
        <v>761</v>
      </c>
      <c r="AF1634">
        <v>1</v>
      </c>
      <c r="AG1634">
        <v>0</v>
      </c>
      <c r="AH1634">
        <v>0</v>
      </c>
      <c r="AI1634">
        <v>0</v>
      </c>
      <c r="AO1634">
        <v>16</v>
      </c>
      <c r="AP1634">
        <v>0</v>
      </c>
      <c r="AQ1634">
        <v>761</v>
      </c>
      <c r="AS1634">
        <v>446</v>
      </c>
      <c r="AT1634">
        <v>872</v>
      </c>
      <c r="AW1634" t="s">
        <v>494</v>
      </c>
      <c r="AX1634" t="s">
        <v>596</v>
      </c>
    </row>
    <row r="1635" spans="1:50" x14ac:dyDescent="0.45">
      <c r="A1635">
        <v>30191</v>
      </c>
      <c r="B1635">
        <v>1</v>
      </c>
      <c r="C1635">
        <v>88.5</v>
      </c>
      <c r="D1635">
        <v>0</v>
      </c>
      <c r="E1635">
        <v>0</v>
      </c>
      <c r="F1635">
        <v>11.5</v>
      </c>
      <c r="G1635">
        <v>0</v>
      </c>
      <c r="H1635">
        <v>0</v>
      </c>
      <c r="I1635">
        <v>0</v>
      </c>
      <c r="J1635">
        <v>0</v>
      </c>
      <c r="K1635">
        <v>0</v>
      </c>
      <c r="L1635">
        <v>0</v>
      </c>
      <c r="M1635">
        <v>0</v>
      </c>
      <c r="N1635">
        <v>0</v>
      </c>
      <c r="O1635">
        <v>0</v>
      </c>
      <c r="P1635">
        <v>0</v>
      </c>
      <c r="Q1635">
        <v>0</v>
      </c>
      <c r="R1635">
        <v>0</v>
      </c>
      <c r="S1635">
        <v>0</v>
      </c>
      <c r="T1635">
        <v>0</v>
      </c>
      <c r="U1635">
        <v>0</v>
      </c>
      <c r="Y1635">
        <v>0</v>
      </c>
      <c r="Z1635">
        <v>0</v>
      </c>
      <c r="AA1635">
        <v>0</v>
      </c>
      <c r="AB1635">
        <v>0</v>
      </c>
      <c r="AC1635">
        <v>1</v>
      </c>
      <c r="AD1635">
        <v>742.85</v>
      </c>
      <c r="AF1635">
        <v>1</v>
      </c>
      <c r="AG1635">
        <v>0</v>
      </c>
      <c r="AH1635">
        <v>0</v>
      </c>
      <c r="AI1635">
        <v>0</v>
      </c>
      <c r="AO1635">
        <v>18.400000000000002</v>
      </c>
      <c r="AP1635">
        <v>0</v>
      </c>
      <c r="AQ1635">
        <v>742.85</v>
      </c>
      <c r="AS1635">
        <v>791</v>
      </c>
      <c r="AT1635">
        <v>858</v>
      </c>
      <c r="AW1635" t="s">
        <v>494</v>
      </c>
      <c r="AX1635" t="s">
        <v>596</v>
      </c>
    </row>
    <row r="1636" spans="1:50" x14ac:dyDescent="0.45">
      <c r="A1636">
        <v>30192</v>
      </c>
      <c r="B1636">
        <v>1</v>
      </c>
      <c r="C1636">
        <v>87</v>
      </c>
      <c r="D1636">
        <v>0</v>
      </c>
      <c r="E1636">
        <v>0</v>
      </c>
      <c r="F1636">
        <v>13</v>
      </c>
      <c r="G1636">
        <v>0</v>
      </c>
      <c r="H1636">
        <v>0</v>
      </c>
      <c r="I1636">
        <v>0</v>
      </c>
      <c r="J1636">
        <v>0</v>
      </c>
      <c r="K1636">
        <v>0</v>
      </c>
      <c r="L1636">
        <v>0</v>
      </c>
      <c r="M1636">
        <v>0</v>
      </c>
      <c r="N1636">
        <v>0</v>
      </c>
      <c r="O1636">
        <v>0</v>
      </c>
      <c r="P1636">
        <v>0</v>
      </c>
      <c r="Q1636">
        <v>0</v>
      </c>
      <c r="R1636">
        <v>0</v>
      </c>
      <c r="S1636">
        <v>0</v>
      </c>
      <c r="T1636">
        <v>0</v>
      </c>
      <c r="U1636">
        <v>0</v>
      </c>
      <c r="Y1636">
        <v>0</v>
      </c>
      <c r="Z1636">
        <v>0</v>
      </c>
      <c r="AA1636">
        <v>0</v>
      </c>
      <c r="AB1636">
        <v>0</v>
      </c>
      <c r="AC1636">
        <v>1</v>
      </c>
      <c r="AD1636">
        <v>724.7</v>
      </c>
      <c r="AF1636">
        <v>1</v>
      </c>
      <c r="AG1636">
        <v>0</v>
      </c>
      <c r="AH1636">
        <v>0</v>
      </c>
      <c r="AI1636">
        <v>0</v>
      </c>
      <c r="AO1636">
        <v>20.8</v>
      </c>
      <c r="AP1636">
        <v>0</v>
      </c>
      <c r="AQ1636">
        <v>724.7</v>
      </c>
      <c r="AS1636">
        <v>794</v>
      </c>
      <c r="AT1636">
        <v>830</v>
      </c>
      <c r="AW1636" t="s">
        <v>494</v>
      </c>
      <c r="AX1636" t="s">
        <v>596</v>
      </c>
    </row>
    <row r="1637" spans="1:50" x14ac:dyDescent="0.45">
      <c r="A1637">
        <v>30193</v>
      </c>
      <c r="B1637">
        <v>1</v>
      </c>
      <c r="C1637">
        <v>85</v>
      </c>
      <c r="D1637">
        <v>0</v>
      </c>
      <c r="E1637">
        <v>0</v>
      </c>
      <c r="F1637">
        <v>15</v>
      </c>
      <c r="G1637">
        <v>0</v>
      </c>
      <c r="H1637">
        <v>0</v>
      </c>
      <c r="I1637">
        <v>0</v>
      </c>
      <c r="J1637">
        <v>0</v>
      </c>
      <c r="K1637">
        <v>0</v>
      </c>
      <c r="L1637">
        <v>0</v>
      </c>
      <c r="M1637">
        <v>0</v>
      </c>
      <c r="N1637">
        <v>0</v>
      </c>
      <c r="O1637">
        <v>0</v>
      </c>
      <c r="P1637">
        <v>0</v>
      </c>
      <c r="Q1637">
        <v>0</v>
      </c>
      <c r="R1637">
        <v>0</v>
      </c>
      <c r="S1637">
        <v>0</v>
      </c>
      <c r="T1637">
        <v>0</v>
      </c>
      <c r="U1637">
        <v>0</v>
      </c>
      <c r="Y1637">
        <v>0</v>
      </c>
      <c r="Z1637">
        <v>0</v>
      </c>
      <c r="AA1637">
        <v>0</v>
      </c>
      <c r="AB1637">
        <v>0</v>
      </c>
      <c r="AC1637">
        <v>1</v>
      </c>
      <c r="AD1637">
        <v>700.5</v>
      </c>
      <c r="AF1637">
        <v>1</v>
      </c>
      <c r="AG1637">
        <v>0</v>
      </c>
      <c r="AH1637">
        <v>0</v>
      </c>
      <c r="AI1637">
        <v>0</v>
      </c>
      <c r="AO1637">
        <v>24</v>
      </c>
      <c r="AP1637">
        <v>0</v>
      </c>
      <c r="AQ1637">
        <v>700.5</v>
      </c>
      <c r="AS1637">
        <v>775</v>
      </c>
      <c r="AT1637">
        <v>814</v>
      </c>
      <c r="AW1637" t="s">
        <v>494</v>
      </c>
      <c r="AX1637" t="s">
        <v>596</v>
      </c>
    </row>
    <row r="1638" spans="1:50" x14ac:dyDescent="0.45">
      <c r="A1638">
        <v>30194</v>
      </c>
      <c r="B1638">
        <v>1</v>
      </c>
      <c r="C1638">
        <v>80</v>
      </c>
      <c r="D1638">
        <v>0</v>
      </c>
      <c r="E1638">
        <v>0</v>
      </c>
      <c r="F1638">
        <v>20</v>
      </c>
      <c r="G1638">
        <v>0</v>
      </c>
      <c r="H1638">
        <v>0</v>
      </c>
      <c r="I1638">
        <v>0</v>
      </c>
      <c r="J1638">
        <v>0</v>
      </c>
      <c r="K1638">
        <v>0</v>
      </c>
      <c r="L1638">
        <v>0</v>
      </c>
      <c r="M1638">
        <v>0</v>
      </c>
      <c r="N1638">
        <v>0</v>
      </c>
      <c r="O1638">
        <v>0</v>
      </c>
      <c r="P1638">
        <v>0</v>
      </c>
      <c r="Q1638">
        <v>0</v>
      </c>
      <c r="R1638">
        <v>0</v>
      </c>
      <c r="S1638">
        <v>0</v>
      </c>
      <c r="T1638">
        <v>0</v>
      </c>
      <c r="U1638">
        <v>0</v>
      </c>
      <c r="Y1638">
        <v>0</v>
      </c>
      <c r="Z1638">
        <v>0</v>
      </c>
      <c r="AA1638">
        <v>0</v>
      </c>
      <c r="AB1638">
        <v>0</v>
      </c>
      <c r="AC1638">
        <v>1</v>
      </c>
      <c r="AD1638">
        <v>640</v>
      </c>
      <c r="AF1638">
        <v>1</v>
      </c>
      <c r="AG1638">
        <v>0</v>
      </c>
      <c r="AH1638">
        <v>0</v>
      </c>
      <c r="AI1638">
        <v>0</v>
      </c>
      <c r="AO1638">
        <v>32</v>
      </c>
      <c r="AP1638">
        <v>0</v>
      </c>
      <c r="AQ1638">
        <v>640</v>
      </c>
      <c r="AS1638">
        <v>808</v>
      </c>
      <c r="AT1638">
        <v>822</v>
      </c>
      <c r="AW1638" t="s">
        <v>494</v>
      </c>
      <c r="AX1638" t="s">
        <v>596</v>
      </c>
    </row>
    <row r="1639" spans="1:50" x14ac:dyDescent="0.45">
      <c r="A1639">
        <v>30195</v>
      </c>
      <c r="B1639">
        <v>1</v>
      </c>
      <c r="C1639">
        <v>88</v>
      </c>
      <c r="D1639">
        <v>0</v>
      </c>
      <c r="E1639">
        <v>0</v>
      </c>
      <c r="F1639">
        <v>0</v>
      </c>
      <c r="G1639">
        <v>0</v>
      </c>
      <c r="H1639">
        <v>0</v>
      </c>
      <c r="I1639">
        <v>0</v>
      </c>
      <c r="J1639">
        <v>0</v>
      </c>
      <c r="K1639">
        <v>0</v>
      </c>
      <c r="L1639">
        <v>12</v>
      </c>
      <c r="M1639">
        <v>0</v>
      </c>
      <c r="N1639">
        <v>0</v>
      </c>
      <c r="O1639">
        <v>0</v>
      </c>
      <c r="P1639">
        <v>0</v>
      </c>
      <c r="Q1639">
        <v>0</v>
      </c>
      <c r="R1639">
        <v>0</v>
      </c>
      <c r="S1639">
        <v>0</v>
      </c>
      <c r="T1639">
        <v>0</v>
      </c>
      <c r="U1639">
        <v>0</v>
      </c>
      <c r="Y1639">
        <v>0</v>
      </c>
      <c r="Z1639">
        <v>0</v>
      </c>
      <c r="AA1639">
        <v>0</v>
      </c>
      <c r="AB1639">
        <v>0</v>
      </c>
      <c r="AC1639">
        <v>1</v>
      </c>
      <c r="AD1639">
        <v>768</v>
      </c>
      <c r="AF1639">
        <v>1</v>
      </c>
      <c r="AG1639">
        <v>0</v>
      </c>
      <c r="AH1639">
        <v>0</v>
      </c>
      <c r="AI1639">
        <v>0</v>
      </c>
      <c r="AO1639">
        <v>12</v>
      </c>
      <c r="AP1639">
        <v>0</v>
      </c>
      <c r="AQ1639">
        <v>768</v>
      </c>
      <c r="AR1639">
        <v>90</v>
      </c>
      <c r="AS1639">
        <v>550</v>
      </c>
      <c r="AT1639">
        <v>660</v>
      </c>
      <c r="AW1639" t="s">
        <v>495</v>
      </c>
      <c r="AX1639" t="s">
        <v>597</v>
      </c>
    </row>
    <row r="1640" spans="1:50" x14ac:dyDescent="0.45">
      <c r="A1640">
        <v>30196</v>
      </c>
      <c r="B1640">
        <v>1</v>
      </c>
      <c r="C1640">
        <v>54.72</v>
      </c>
      <c r="D1640">
        <v>0</v>
      </c>
      <c r="E1640">
        <v>0</v>
      </c>
      <c r="F1640">
        <v>0</v>
      </c>
      <c r="G1640">
        <v>0</v>
      </c>
      <c r="H1640">
        <v>0</v>
      </c>
      <c r="I1640">
        <v>0</v>
      </c>
      <c r="J1640">
        <v>5</v>
      </c>
      <c r="K1640">
        <v>30</v>
      </c>
      <c r="L1640">
        <v>0</v>
      </c>
      <c r="M1640">
        <v>0</v>
      </c>
      <c r="N1640">
        <v>0</v>
      </c>
      <c r="O1640">
        <v>10</v>
      </c>
      <c r="P1640">
        <v>0</v>
      </c>
      <c r="Q1640">
        <v>0</v>
      </c>
      <c r="R1640">
        <v>0</v>
      </c>
      <c r="S1640">
        <v>0</v>
      </c>
      <c r="T1640">
        <v>0.28000000000000003</v>
      </c>
      <c r="U1640">
        <v>0</v>
      </c>
      <c r="Y1640">
        <v>0</v>
      </c>
      <c r="Z1640">
        <v>0</v>
      </c>
      <c r="AA1640">
        <v>0</v>
      </c>
      <c r="AB1640">
        <v>0</v>
      </c>
      <c r="AC1640">
        <v>1</v>
      </c>
      <c r="AD1640">
        <v>881.94</v>
      </c>
      <c r="AF1640">
        <v>0</v>
      </c>
      <c r="AG1640">
        <v>1</v>
      </c>
      <c r="AH1640">
        <v>0</v>
      </c>
      <c r="AI1640">
        <v>0</v>
      </c>
      <c r="AO1640">
        <v>10.600000000000001</v>
      </c>
      <c r="AP1640">
        <v>0.8613333333333334</v>
      </c>
      <c r="AQ1640">
        <v>881.94</v>
      </c>
      <c r="AR1640">
        <v>57.1</v>
      </c>
      <c r="AS1640">
        <v>400</v>
      </c>
      <c r="AT1640">
        <v>777</v>
      </c>
      <c r="AW1640" t="s">
        <v>496</v>
      </c>
      <c r="AX1640" t="s">
        <v>598</v>
      </c>
    </row>
    <row r="1641" spans="1:50" x14ac:dyDescent="0.45">
      <c r="A1641">
        <v>30197</v>
      </c>
      <c r="B1641">
        <v>1</v>
      </c>
      <c r="C1641">
        <v>56.65</v>
      </c>
      <c r="D1641">
        <v>0</v>
      </c>
      <c r="E1641">
        <v>0</v>
      </c>
      <c r="F1641">
        <v>0</v>
      </c>
      <c r="G1641">
        <v>0</v>
      </c>
      <c r="H1641">
        <v>0</v>
      </c>
      <c r="I1641">
        <v>0</v>
      </c>
      <c r="J1641">
        <v>5</v>
      </c>
      <c r="K1641">
        <v>30</v>
      </c>
      <c r="L1641">
        <v>0</v>
      </c>
      <c r="M1641">
        <v>0</v>
      </c>
      <c r="N1641">
        <v>0</v>
      </c>
      <c r="O1641">
        <v>8</v>
      </c>
      <c r="P1641">
        <v>0</v>
      </c>
      <c r="Q1641">
        <v>0</v>
      </c>
      <c r="R1641">
        <v>0</v>
      </c>
      <c r="S1641">
        <v>0</v>
      </c>
      <c r="T1641">
        <v>0.35</v>
      </c>
      <c r="U1641">
        <v>0</v>
      </c>
      <c r="Y1641">
        <v>0</v>
      </c>
      <c r="Z1641">
        <v>0</v>
      </c>
      <c r="AA1641">
        <v>0</v>
      </c>
      <c r="AB1641">
        <v>0</v>
      </c>
      <c r="AC1641">
        <v>1</v>
      </c>
      <c r="AD1641">
        <v>890.55</v>
      </c>
      <c r="AF1641">
        <v>0</v>
      </c>
      <c r="AG1641">
        <v>1</v>
      </c>
      <c r="AH1641">
        <v>0</v>
      </c>
      <c r="AI1641">
        <v>0</v>
      </c>
      <c r="AO1641">
        <v>10.16</v>
      </c>
      <c r="AP1641">
        <v>0.8683333333333334</v>
      </c>
      <c r="AQ1641">
        <v>890.55</v>
      </c>
      <c r="AR1641">
        <v>53.7</v>
      </c>
      <c r="AS1641">
        <v>435</v>
      </c>
      <c r="AT1641">
        <v>612</v>
      </c>
      <c r="AW1641" t="s">
        <v>496</v>
      </c>
      <c r="AX1641" t="s">
        <v>598</v>
      </c>
    </row>
    <row r="1642" spans="1:50" x14ac:dyDescent="0.45">
      <c r="A1642">
        <v>30198</v>
      </c>
      <c r="B1642">
        <v>1</v>
      </c>
      <c r="C1642">
        <v>83.066299999999998</v>
      </c>
      <c r="D1642">
        <v>0</v>
      </c>
      <c r="E1642">
        <v>0</v>
      </c>
      <c r="F1642">
        <v>0</v>
      </c>
      <c r="G1642">
        <v>0</v>
      </c>
      <c r="H1642">
        <v>1.0638000000000001</v>
      </c>
      <c r="I1642">
        <v>0</v>
      </c>
      <c r="J1642">
        <v>0</v>
      </c>
      <c r="K1642">
        <v>0</v>
      </c>
      <c r="L1642">
        <v>8.4076000000000004</v>
      </c>
      <c r="M1642">
        <v>7.4622999999999999</v>
      </c>
      <c r="N1642">
        <v>0</v>
      </c>
      <c r="O1642">
        <v>0</v>
      </c>
      <c r="P1642">
        <v>0</v>
      </c>
      <c r="Q1642">
        <v>0</v>
      </c>
      <c r="R1642">
        <v>0</v>
      </c>
      <c r="S1642">
        <v>0</v>
      </c>
      <c r="T1642">
        <v>0</v>
      </c>
      <c r="U1642">
        <v>0</v>
      </c>
      <c r="Y1642">
        <v>0</v>
      </c>
      <c r="Z1642">
        <v>0</v>
      </c>
      <c r="AA1642">
        <v>0</v>
      </c>
      <c r="AB1642">
        <v>0</v>
      </c>
      <c r="AC1642">
        <v>1</v>
      </c>
      <c r="AD1642">
        <v>817.08699794568815</v>
      </c>
      <c r="AF1642">
        <v>1</v>
      </c>
      <c r="AG1642">
        <v>0</v>
      </c>
      <c r="AH1642">
        <v>0</v>
      </c>
      <c r="AI1642">
        <v>0</v>
      </c>
      <c r="AO1642">
        <v>11.492576864110255</v>
      </c>
      <c r="AP1642">
        <v>2.4874271407348751</v>
      </c>
      <c r="AQ1642">
        <v>817.08699794568815</v>
      </c>
      <c r="AR1642">
        <v>52</v>
      </c>
      <c r="AS1642">
        <v>740</v>
      </c>
      <c r="AT1642">
        <v>1013</v>
      </c>
      <c r="AW1642" t="s">
        <v>497</v>
      </c>
      <c r="AX1642" t="s">
        <v>599</v>
      </c>
    </row>
    <row r="1643" spans="1:50" x14ac:dyDescent="0.45">
      <c r="A1643">
        <v>30199</v>
      </c>
      <c r="B1643">
        <v>1</v>
      </c>
      <c r="C1643">
        <v>8.8218999999999994</v>
      </c>
      <c r="D1643">
        <v>0</v>
      </c>
      <c r="E1643">
        <v>0</v>
      </c>
      <c r="F1643">
        <v>0</v>
      </c>
      <c r="G1643">
        <v>0</v>
      </c>
      <c r="H1643">
        <v>0</v>
      </c>
      <c r="I1643">
        <v>0</v>
      </c>
      <c r="J1643">
        <v>18.5823</v>
      </c>
      <c r="K1643">
        <v>17.122599999999998</v>
      </c>
      <c r="L1643">
        <v>18.6143</v>
      </c>
      <c r="M1643">
        <v>0</v>
      </c>
      <c r="N1643">
        <v>0</v>
      </c>
      <c r="O1643">
        <v>36.859000000000002</v>
      </c>
      <c r="P1643">
        <v>0</v>
      </c>
      <c r="Q1643">
        <v>0</v>
      </c>
      <c r="R1643">
        <v>0</v>
      </c>
      <c r="S1643">
        <v>0</v>
      </c>
      <c r="T1643">
        <v>0</v>
      </c>
      <c r="U1643">
        <v>0</v>
      </c>
      <c r="V1643">
        <v>0</v>
      </c>
      <c r="Y1643">
        <v>1</v>
      </c>
      <c r="Z1643">
        <v>0</v>
      </c>
      <c r="AA1643">
        <v>0</v>
      </c>
      <c r="AB1643">
        <v>0</v>
      </c>
      <c r="AC1643">
        <v>0</v>
      </c>
      <c r="AI1643">
        <v>0</v>
      </c>
      <c r="AO1643">
        <v>31.517562277592845</v>
      </c>
      <c r="AP1643">
        <v>3.0970477554551756</v>
      </c>
      <c r="AQ1643">
        <v>576.94677515406522</v>
      </c>
      <c r="AR1643">
        <v>153</v>
      </c>
      <c r="AS1643">
        <v>1390</v>
      </c>
      <c r="AW1643" t="s">
        <v>498</v>
      </c>
      <c r="AX1643" t="s">
        <v>600</v>
      </c>
    </row>
    <row r="1644" spans="1:50" x14ac:dyDescent="0.45">
      <c r="A1644">
        <v>30200</v>
      </c>
      <c r="B1644">
        <v>1</v>
      </c>
      <c r="C1644">
        <v>70.087199999999996</v>
      </c>
      <c r="D1644">
        <v>0</v>
      </c>
      <c r="E1644">
        <v>0</v>
      </c>
      <c r="F1644">
        <v>0</v>
      </c>
      <c r="G1644">
        <v>0</v>
      </c>
      <c r="H1644">
        <v>0</v>
      </c>
      <c r="I1644">
        <v>0</v>
      </c>
      <c r="J1644">
        <v>6.4402999999999997</v>
      </c>
      <c r="K1644">
        <v>9.8219999999999992</v>
      </c>
      <c r="L1644">
        <v>13.650499999999999</v>
      </c>
      <c r="M1644">
        <v>0</v>
      </c>
      <c r="N1644">
        <v>0</v>
      </c>
      <c r="O1644">
        <v>0</v>
      </c>
      <c r="P1644">
        <v>0</v>
      </c>
      <c r="Q1644">
        <v>0</v>
      </c>
      <c r="R1644">
        <v>0</v>
      </c>
      <c r="S1644">
        <v>0</v>
      </c>
      <c r="T1644">
        <v>0</v>
      </c>
      <c r="U1644">
        <v>0</v>
      </c>
      <c r="Y1644">
        <v>0</v>
      </c>
      <c r="Z1644">
        <v>0</v>
      </c>
      <c r="AA1644">
        <v>0</v>
      </c>
      <c r="AB1644">
        <v>0</v>
      </c>
      <c r="AC1644">
        <v>1</v>
      </c>
      <c r="AD1644">
        <v>707.8822887856619</v>
      </c>
      <c r="AF1644">
        <v>1</v>
      </c>
      <c r="AG1644">
        <v>0</v>
      </c>
      <c r="AH1644">
        <v>0</v>
      </c>
      <c r="AI1644">
        <v>0</v>
      </c>
      <c r="AO1644">
        <v>16.400663784957903</v>
      </c>
      <c r="AP1644">
        <v>1.0733806160053823</v>
      </c>
      <c r="AQ1644">
        <v>707.8822887856619</v>
      </c>
      <c r="AR1644">
        <v>72</v>
      </c>
      <c r="AS1644">
        <v>899</v>
      </c>
      <c r="AW1644" t="s">
        <v>499</v>
      </c>
      <c r="AX1644" t="s">
        <v>601</v>
      </c>
    </row>
    <row r="1645" spans="1:50" x14ac:dyDescent="0.45">
      <c r="A1645">
        <v>30201</v>
      </c>
      <c r="B1645">
        <v>1</v>
      </c>
      <c r="C1645">
        <v>72.914500000000004</v>
      </c>
      <c r="D1645">
        <v>0</v>
      </c>
      <c r="E1645">
        <v>0</v>
      </c>
      <c r="F1645">
        <v>0</v>
      </c>
      <c r="G1645">
        <v>0</v>
      </c>
      <c r="H1645">
        <v>0</v>
      </c>
      <c r="I1645">
        <v>0</v>
      </c>
      <c r="J1645">
        <v>4.9067999999999996</v>
      </c>
      <c r="K1645">
        <v>8.3118999999999996</v>
      </c>
      <c r="L1645">
        <v>13.8668</v>
      </c>
      <c r="M1645">
        <v>0</v>
      </c>
      <c r="N1645">
        <v>0</v>
      </c>
      <c r="O1645">
        <v>0</v>
      </c>
      <c r="P1645">
        <v>0</v>
      </c>
      <c r="Q1645">
        <v>0</v>
      </c>
      <c r="R1645">
        <v>0</v>
      </c>
      <c r="S1645">
        <v>0</v>
      </c>
      <c r="T1645">
        <v>0</v>
      </c>
      <c r="U1645">
        <v>0</v>
      </c>
      <c r="Y1645">
        <v>0</v>
      </c>
      <c r="Z1645">
        <v>0</v>
      </c>
      <c r="AA1645">
        <v>0</v>
      </c>
      <c r="AB1645">
        <v>0</v>
      </c>
      <c r="AC1645">
        <v>1</v>
      </c>
      <c r="AD1645">
        <v>716.40827791401125</v>
      </c>
      <c r="AF1645">
        <v>1</v>
      </c>
      <c r="AG1645">
        <v>0</v>
      </c>
      <c r="AH1645">
        <v>0</v>
      </c>
      <c r="AI1645">
        <v>0</v>
      </c>
      <c r="AO1645">
        <v>16.194185911946512</v>
      </c>
      <c r="AP1645">
        <v>0.8177943847854654</v>
      </c>
      <c r="AQ1645">
        <v>716.40827791401125</v>
      </c>
      <c r="AR1645">
        <v>69</v>
      </c>
      <c r="AS1645">
        <v>947</v>
      </c>
      <c r="AW1645" t="s">
        <v>499</v>
      </c>
      <c r="AX1645" t="s">
        <v>601</v>
      </c>
    </row>
    <row r="1646" spans="1:50" x14ac:dyDescent="0.45">
      <c r="A1646">
        <v>30202</v>
      </c>
      <c r="B1646">
        <v>1</v>
      </c>
      <c r="C1646">
        <v>72.857699999999994</v>
      </c>
      <c r="D1646">
        <v>0</v>
      </c>
      <c r="E1646">
        <v>0</v>
      </c>
      <c r="F1646">
        <v>0</v>
      </c>
      <c r="G1646">
        <v>0</v>
      </c>
      <c r="H1646">
        <v>0</v>
      </c>
      <c r="I1646">
        <v>0</v>
      </c>
      <c r="J1646">
        <v>8.2940000000000005</v>
      </c>
      <c r="K1646">
        <v>4.9806999999999997</v>
      </c>
      <c r="L1646">
        <v>13.867599999999999</v>
      </c>
      <c r="M1646">
        <v>0</v>
      </c>
      <c r="N1646">
        <v>0</v>
      </c>
      <c r="O1646">
        <v>0</v>
      </c>
      <c r="P1646">
        <v>0</v>
      </c>
      <c r="Q1646">
        <v>0</v>
      </c>
      <c r="R1646">
        <v>0</v>
      </c>
      <c r="S1646">
        <v>0</v>
      </c>
      <c r="T1646">
        <v>0</v>
      </c>
      <c r="U1646">
        <v>0</v>
      </c>
      <c r="Y1646">
        <v>0</v>
      </c>
      <c r="Z1646">
        <v>0</v>
      </c>
      <c r="AA1646">
        <v>0</v>
      </c>
      <c r="AB1646">
        <v>0</v>
      </c>
      <c r="AC1646">
        <v>1</v>
      </c>
      <c r="AD1646">
        <v>693.0290562489821</v>
      </c>
      <c r="AF1646">
        <v>1</v>
      </c>
      <c r="AG1646">
        <v>0</v>
      </c>
      <c r="AH1646">
        <v>0</v>
      </c>
      <c r="AI1646">
        <v>0</v>
      </c>
      <c r="AO1646">
        <v>15.262183309228895</v>
      </c>
      <c r="AP1646">
        <v>1.3823393405811062</v>
      </c>
      <c r="AQ1646">
        <v>693.0290562489821</v>
      </c>
      <c r="AR1646">
        <v>52</v>
      </c>
      <c r="AS1646">
        <v>483</v>
      </c>
      <c r="AW1646" t="s">
        <v>499</v>
      </c>
      <c r="AX1646" t="s">
        <v>601</v>
      </c>
    </row>
    <row r="1647" spans="1:50" x14ac:dyDescent="0.45">
      <c r="A1647">
        <v>30203</v>
      </c>
      <c r="B1647">
        <v>1</v>
      </c>
      <c r="C1647">
        <v>64.622799999999998</v>
      </c>
      <c r="D1647">
        <v>0</v>
      </c>
      <c r="E1647">
        <v>0</v>
      </c>
      <c r="F1647">
        <v>0</v>
      </c>
      <c r="G1647">
        <v>0</v>
      </c>
      <c r="H1647">
        <v>0</v>
      </c>
      <c r="I1647">
        <v>0</v>
      </c>
      <c r="J1647">
        <v>0</v>
      </c>
      <c r="K1647">
        <v>35.377200000000002</v>
      </c>
      <c r="L1647">
        <v>0</v>
      </c>
      <c r="M1647">
        <v>0</v>
      </c>
      <c r="N1647">
        <v>0</v>
      </c>
      <c r="O1647">
        <v>0</v>
      </c>
      <c r="P1647">
        <v>0</v>
      </c>
      <c r="Q1647">
        <v>0</v>
      </c>
      <c r="R1647">
        <v>0</v>
      </c>
      <c r="S1647">
        <v>0</v>
      </c>
      <c r="T1647">
        <v>0</v>
      </c>
      <c r="U1647">
        <v>0</v>
      </c>
      <c r="Y1647">
        <v>0</v>
      </c>
      <c r="Z1647">
        <v>0</v>
      </c>
      <c r="AA1647">
        <v>0</v>
      </c>
      <c r="AB1647">
        <v>0</v>
      </c>
      <c r="AC1647">
        <v>1</v>
      </c>
      <c r="AD1647">
        <v>882</v>
      </c>
      <c r="AF1647">
        <v>1</v>
      </c>
      <c r="AG1647">
        <v>0</v>
      </c>
      <c r="AH1647">
        <v>0</v>
      </c>
      <c r="AI1647">
        <v>0</v>
      </c>
      <c r="AO1647">
        <v>9.9056050084608671</v>
      </c>
      <c r="AP1647">
        <v>0</v>
      </c>
      <c r="AQ1647">
        <v>882</v>
      </c>
      <c r="AR1647">
        <v>73</v>
      </c>
      <c r="AS1647">
        <v>405</v>
      </c>
      <c r="AT1647">
        <v>694</v>
      </c>
      <c r="AV1647">
        <v>181</v>
      </c>
      <c r="AW1647" t="s">
        <v>500</v>
      </c>
      <c r="AX1647" t="s">
        <v>602</v>
      </c>
    </row>
    <row r="1648" spans="1:50" x14ac:dyDescent="0.45">
      <c r="A1648">
        <v>30204</v>
      </c>
      <c r="B1648">
        <v>1</v>
      </c>
      <c r="C1648">
        <v>63.267800000000001</v>
      </c>
      <c r="D1648">
        <v>0</v>
      </c>
      <c r="E1648">
        <v>0</v>
      </c>
      <c r="F1648">
        <v>0</v>
      </c>
      <c r="G1648">
        <v>0</v>
      </c>
      <c r="H1648">
        <v>0</v>
      </c>
      <c r="I1648">
        <v>0</v>
      </c>
      <c r="J1648">
        <v>0</v>
      </c>
      <c r="K1648">
        <v>35.0852</v>
      </c>
      <c r="L1648">
        <v>1.647</v>
      </c>
      <c r="M1648">
        <v>0</v>
      </c>
      <c r="N1648">
        <v>0</v>
      </c>
      <c r="O1648">
        <v>0</v>
      </c>
      <c r="P1648">
        <v>0</v>
      </c>
      <c r="Q1648">
        <v>0</v>
      </c>
      <c r="R1648">
        <v>0</v>
      </c>
      <c r="S1648">
        <v>0</v>
      </c>
      <c r="T1648">
        <v>0</v>
      </c>
      <c r="U1648">
        <v>0</v>
      </c>
      <c r="Y1648">
        <v>0</v>
      </c>
      <c r="Z1648">
        <v>0</v>
      </c>
      <c r="AA1648">
        <v>0</v>
      </c>
      <c r="AB1648">
        <v>0</v>
      </c>
      <c r="AC1648">
        <v>1</v>
      </c>
      <c r="AD1648">
        <v>866.35324050761767</v>
      </c>
      <c r="AF1648">
        <v>1</v>
      </c>
      <c r="AG1648">
        <v>0</v>
      </c>
      <c r="AH1648">
        <v>0</v>
      </c>
      <c r="AI1648">
        <v>0</v>
      </c>
      <c r="AO1648">
        <v>11.470874676179324</v>
      </c>
      <c r="AP1648">
        <v>0</v>
      </c>
      <c r="AQ1648">
        <v>866.35324050761767</v>
      </c>
      <c r="AR1648">
        <v>87</v>
      </c>
      <c r="AS1648">
        <v>452</v>
      </c>
      <c r="AT1648">
        <v>763</v>
      </c>
      <c r="AV1648">
        <v>190</v>
      </c>
      <c r="AW1648" t="s">
        <v>500</v>
      </c>
      <c r="AX1648" t="s">
        <v>602</v>
      </c>
    </row>
    <row r="1649" spans="1:50" x14ac:dyDescent="0.45">
      <c r="A1649">
        <v>30205</v>
      </c>
      <c r="B1649">
        <v>1</v>
      </c>
      <c r="C1649">
        <v>63.319200000000002</v>
      </c>
      <c r="D1649">
        <v>0</v>
      </c>
      <c r="E1649">
        <v>0</v>
      </c>
      <c r="F1649">
        <v>0</v>
      </c>
      <c r="G1649">
        <v>0</v>
      </c>
      <c r="H1649">
        <v>0</v>
      </c>
      <c r="I1649">
        <v>0</v>
      </c>
      <c r="J1649">
        <v>1.5671999999999999</v>
      </c>
      <c r="K1649">
        <v>35.113700000000001</v>
      </c>
      <c r="L1649">
        <v>0</v>
      </c>
      <c r="M1649">
        <v>0</v>
      </c>
      <c r="N1649">
        <v>0</v>
      </c>
      <c r="O1649">
        <v>0</v>
      </c>
      <c r="P1649">
        <v>0</v>
      </c>
      <c r="Q1649">
        <v>0</v>
      </c>
      <c r="R1649">
        <v>0</v>
      </c>
      <c r="S1649">
        <v>0</v>
      </c>
      <c r="T1649">
        <v>0</v>
      </c>
      <c r="U1649">
        <v>0</v>
      </c>
      <c r="Y1649">
        <v>0</v>
      </c>
      <c r="Z1649">
        <v>0</v>
      </c>
      <c r="AA1649">
        <v>0</v>
      </c>
      <c r="AB1649">
        <v>0</v>
      </c>
      <c r="AC1649">
        <v>1</v>
      </c>
      <c r="AD1649">
        <v>871.18649501172763</v>
      </c>
      <c r="AF1649">
        <v>1</v>
      </c>
      <c r="AG1649">
        <v>0</v>
      </c>
      <c r="AH1649">
        <v>0</v>
      </c>
      <c r="AI1649">
        <v>0</v>
      </c>
      <c r="AO1649">
        <v>9.8318233329241664</v>
      </c>
      <c r="AP1649">
        <v>0.26119577266358307</v>
      </c>
      <c r="AQ1649">
        <v>871.18649501172763</v>
      </c>
      <c r="AR1649">
        <v>68</v>
      </c>
      <c r="AS1649">
        <v>370</v>
      </c>
      <c r="AT1649">
        <v>629</v>
      </c>
      <c r="AV1649">
        <v>184</v>
      </c>
      <c r="AW1649" t="s">
        <v>500</v>
      </c>
      <c r="AX1649" t="s">
        <v>602</v>
      </c>
    </row>
    <row r="1650" spans="1:50" x14ac:dyDescent="0.45">
      <c r="A1650">
        <v>30206</v>
      </c>
      <c r="B1650">
        <v>1</v>
      </c>
      <c r="C1650">
        <v>62.357999999999997</v>
      </c>
      <c r="D1650">
        <v>0</v>
      </c>
      <c r="E1650">
        <v>0</v>
      </c>
      <c r="F1650">
        <v>0</v>
      </c>
      <c r="G1650">
        <v>0</v>
      </c>
      <c r="H1650">
        <v>0</v>
      </c>
      <c r="I1650">
        <v>0</v>
      </c>
      <c r="J1650">
        <v>0</v>
      </c>
      <c r="K1650">
        <v>34.580599999999997</v>
      </c>
      <c r="L1650">
        <v>0</v>
      </c>
      <c r="M1650">
        <v>0</v>
      </c>
      <c r="N1650">
        <v>0</v>
      </c>
      <c r="O1650">
        <v>3.0613999999999999</v>
      </c>
      <c r="P1650">
        <v>0</v>
      </c>
      <c r="Q1650">
        <v>0</v>
      </c>
      <c r="R1650">
        <v>0</v>
      </c>
      <c r="S1650">
        <v>0</v>
      </c>
      <c r="T1650">
        <v>0</v>
      </c>
      <c r="U1650">
        <v>0</v>
      </c>
      <c r="Y1650">
        <v>0</v>
      </c>
      <c r="Z1650">
        <v>0</v>
      </c>
      <c r="AA1650">
        <v>0</v>
      </c>
      <c r="AB1650">
        <v>0</v>
      </c>
      <c r="AC1650">
        <v>1</v>
      </c>
      <c r="AD1650">
        <v>882</v>
      </c>
      <c r="AF1650">
        <v>1</v>
      </c>
      <c r="AG1650">
        <v>0</v>
      </c>
      <c r="AH1650">
        <v>0</v>
      </c>
      <c r="AI1650">
        <v>0</v>
      </c>
      <c r="AO1650">
        <v>10.356081514920412</v>
      </c>
      <c r="AP1650">
        <v>0</v>
      </c>
      <c r="AQ1650">
        <v>882</v>
      </c>
      <c r="AR1650">
        <v>72</v>
      </c>
      <c r="AS1650">
        <v>401</v>
      </c>
      <c r="AT1650">
        <v>617</v>
      </c>
      <c r="AV1650">
        <v>189</v>
      </c>
      <c r="AW1650" t="s">
        <v>500</v>
      </c>
      <c r="AX1650" t="s">
        <v>602</v>
      </c>
    </row>
    <row r="1651" spans="1:50" x14ac:dyDescent="0.45">
      <c r="A1651">
        <v>30207</v>
      </c>
      <c r="B1651">
        <v>1</v>
      </c>
      <c r="C1651">
        <v>63.021599999999999</v>
      </c>
      <c r="D1651">
        <v>0</v>
      </c>
      <c r="E1651">
        <v>0</v>
      </c>
      <c r="F1651">
        <v>0</v>
      </c>
      <c r="G1651">
        <v>0</v>
      </c>
      <c r="H1651">
        <v>0</v>
      </c>
      <c r="I1651">
        <v>0</v>
      </c>
      <c r="J1651">
        <v>0</v>
      </c>
      <c r="K1651">
        <v>34.948599999999999</v>
      </c>
      <c r="L1651">
        <v>0</v>
      </c>
      <c r="M1651">
        <v>2.0297999999999998</v>
      </c>
      <c r="N1651">
        <v>0</v>
      </c>
      <c r="O1651">
        <v>0</v>
      </c>
      <c r="P1651">
        <v>0</v>
      </c>
      <c r="Q1651">
        <v>0</v>
      </c>
      <c r="R1651">
        <v>0</v>
      </c>
      <c r="S1651">
        <v>0</v>
      </c>
      <c r="T1651">
        <v>0</v>
      </c>
      <c r="U1651">
        <v>0</v>
      </c>
      <c r="Y1651">
        <v>0</v>
      </c>
      <c r="Z1651">
        <v>0</v>
      </c>
      <c r="AA1651">
        <v>0</v>
      </c>
      <c r="AB1651">
        <v>0</v>
      </c>
      <c r="AC1651">
        <v>1</v>
      </c>
      <c r="AD1651">
        <v>890.5250904453103</v>
      </c>
      <c r="AF1651">
        <v>1</v>
      </c>
      <c r="AG1651">
        <v>0</v>
      </c>
      <c r="AH1651">
        <v>0</v>
      </c>
      <c r="AI1651">
        <v>0</v>
      </c>
      <c r="AO1651">
        <v>9.7856163078768965</v>
      </c>
      <c r="AP1651">
        <v>0.67659447978652698</v>
      </c>
      <c r="AQ1651">
        <v>890.5250904453103</v>
      </c>
      <c r="AR1651">
        <v>65</v>
      </c>
      <c r="AS1651">
        <v>503</v>
      </c>
      <c r="AT1651">
        <v>633</v>
      </c>
      <c r="AV1651">
        <v>203</v>
      </c>
      <c r="AW1651" t="s">
        <v>500</v>
      </c>
      <c r="AX1651" t="s">
        <v>602</v>
      </c>
    </row>
    <row r="1652" spans="1:50" x14ac:dyDescent="0.45">
      <c r="A1652">
        <v>30208</v>
      </c>
      <c r="B1652">
        <v>0</v>
      </c>
      <c r="C1652">
        <v>64.013499999999993</v>
      </c>
      <c r="D1652">
        <v>0</v>
      </c>
      <c r="E1652">
        <v>0</v>
      </c>
      <c r="F1652">
        <v>0</v>
      </c>
      <c r="G1652">
        <v>0</v>
      </c>
      <c r="H1652">
        <v>0</v>
      </c>
      <c r="I1652">
        <v>0</v>
      </c>
      <c r="J1652">
        <v>0</v>
      </c>
      <c r="K1652">
        <v>35.498699999999999</v>
      </c>
      <c r="L1652">
        <v>0</v>
      </c>
      <c r="M1652">
        <v>0</v>
      </c>
      <c r="N1652">
        <v>0</v>
      </c>
      <c r="O1652">
        <v>0</v>
      </c>
      <c r="P1652">
        <v>0</v>
      </c>
      <c r="Q1652">
        <v>0.48780000000000001</v>
      </c>
      <c r="R1652">
        <v>0</v>
      </c>
      <c r="S1652">
        <v>0</v>
      </c>
      <c r="T1652">
        <v>0</v>
      </c>
      <c r="U1652">
        <v>0</v>
      </c>
      <c r="Y1652">
        <v>0</v>
      </c>
      <c r="Z1652">
        <v>0</v>
      </c>
      <c r="AA1652">
        <v>0</v>
      </c>
      <c r="AB1652">
        <v>0</v>
      </c>
      <c r="AC1652">
        <v>1</v>
      </c>
      <c r="AD1652">
        <v>893.36534997310923</v>
      </c>
      <c r="AF1652">
        <v>1</v>
      </c>
      <c r="AG1652">
        <v>0</v>
      </c>
      <c r="AH1652">
        <v>0</v>
      </c>
      <c r="AI1652">
        <v>0</v>
      </c>
      <c r="AO1652">
        <v>9.9396368115082705</v>
      </c>
      <c r="AP1652">
        <v>0</v>
      </c>
      <c r="AQ1652">
        <v>893.36534997310923</v>
      </c>
      <c r="AR1652">
        <v>69</v>
      </c>
      <c r="AS1652">
        <v>540</v>
      </c>
      <c r="AT1652">
        <v>634</v>
      </c>
      <c r="AV1652">
        <v>204</v>
      </c>
      <c r="AW1652" t="s">
        <v>500</v>
      </c>
      <c r="AX1652" t="s">
        <v>602</v>
      </c>
    </row>
    <row r="1653" spans="1:50" x14ac:dyDescent="0.45">
      <c r="A1653">
        <v>30209</v>
      </c>
      <c r="B1653">
        <v>1</v>
      </c>
      <c r="C1653">
        <v>63.706400000000002</v>
      </c>
      <c r="D1653">
        <v>0</v>
      </c>
      <c r="E1653">
        <v>0</v>
      </c>
      <c r="F1653">
        <v>0</v>
      </c>
      <c r="G1653">
        <v>0</v>
      </c>
      <c r="H1653">
        <v>0.96519999999999995</v>
      </c>
      <c r="I1653">
        <v>0</v>
      </c>
      <c r="J1653">
        <v>0</v>
      </c>
      <c r="K1653">
        <v>35.328400000000002</v>
      </c>
      <c r="L1653">
        <v>0</v>
      </c>
      <c r="M1653">
        <v>0</v>
      </c>
      <c r="N1653">
        <v>0</v>
      </c>
      <c r="O1653">
        <v>0</v>
      </c>
      <c r="P1653">
        <v>0</v>
      </c>
      <c r="Q1653">
        <v>0</v>
      </c>
      <c r="R1653">
        <v>0</v>
      </c>
      <c r="S1653">
        <v>0</v>
      </c>
      <c r="T1653">
        <v>0</v>
      </c>
      <c r="U1653">
        <v>0</v>
      </c>
      <c r="Y1653">
        <v>0</v>
      </c>
      <c r="Z1653">
        <v>0</v>
      </c>
      <c r="AA1653">
        <v>0</v>
      </c>
      <c r="AB1653">
        <v>0</v>
      </c>
      <c r="AC1653">
        <v>1</v>
      </c>
      <c r="AD1653">
        <v>867.13526735195956</v>
      </c>
      <c r="AF1653">
        <v>1</v>
      </c>
      <c r="AG1653">
        <v>0</v>
      </c>
      <c r="AH1653">
        <v>0</v>
      </c>
      <c r="AI1653">
        <v>0</v>
      </c>
      <c r="AO1653">
        <v>12.691149384965282</v>
      </c>
      <c r="AP1653">
        <v>0</v>
      </c>
      <c r="AQ1653">
        <v>867.13526735195956</v>
      </c>
      <c r="AR1653">
        <v>79</v>
      </c>
      <c r="AS1653">
        <v>600</v>
      </c>
      <c r="AT1653">
        <v>820</v>
      </c>
      <c r="AV1653">
        <v>250</v>
      </c>
      <c r="AW1653" t="s">
        <v>500</v>
      </c>
      <c r="AX1653" t="s">
        <v>602</v>
      </c>
    </row>
    <row r="1654" spans="1:50" x14ac:dyDescent="0.45">
      <c r="A1654">
        <v>30210</v>
      </c>
      <c r="B1654">
        <v>1</v>
      </c>
      <c r="C1654">
        <v>61.999200000000002</v>
      </c>
      <c r="D1654">
        <v>0</v>
      </c>
      <c r="E1654">
        <v>0</v>
      </c>
      <c r="F1654">
        <v>0</v>
      </c>
      <c r="G1654">
        <v>0</v>
      </c>
      <c r="H1654">
        <v>0</v>
      </c>
      <c r="I1654">
        <v>0</v>
      </c>
      <c r="J1654">
        <v>0</v>
      </c>
      <c r="K1654">
        <v>38.000799999999998</v>
      </c>
      <c r="L1654">
        <v>0</v>
      </c>
      <c r="M1654">
        <v>0</v>
      </c>
      <c r="N1654">
        <v>0</v>
      </c>
      <c r="O1654">
        <v>0</v>
      </c>
      <c r="P1654">
        <v>0</v>
      </c>
      <c r="Q1654">
        <v>0</v>
      </c>
      <c r="R1654">
        <v>0</v>
      </c>
      <c r="S1654">
        <v>0</v>
      </c>
      <c r="T1654">
        <v>0</v>
      </c>
      <c r="U1654">
        <v>0</v>
      </c>
      <c r="Y1654">
        <v>0</v>
      </c>
      <c r="Z1654">
        <v>0</v>
      </c>
      <c r="AA1654">
        <v>0</v>
      </c>
      <c r="AB1654">
        <v>0</v>
      </c>
      <c r="AC1654">
        <v>1</v>
      </c>
      <c r="AD1654">
        <v>882</v>
      </c>
      <c r="AF1654">
        <v>1</v>
      </c>
      <c r="AG1654">
        <v>0</v>
      </c>
      <c r="AH1654">
        <v>0</v>
      </c>
      <c r="AI1654">
        <v>0</v>
      </c>
      <c r="AO1654">
        <v>10.640221830002631</v>
      </c>
      <c r="AP1654">
        <v>0</v>
      </c>
      <c r="AQ1654">
        <v>882</v>
      </c>
      <c r="AR1654">
        <v>56</v>
      </c>
      <c r="AS1654">
        <v>202</v>
      </c>
      <c r="AT1654">
        <v>409</v>
      </c>
      <c r="AW1654" t="s">
        <v>501</v>
      </c>
      <c r="AX1654" t="s">
        <v>603</v>
      </c>
    </row>
    <row r="1655" spans="1:50" x14ac:dyDescent="0.45">
      <c r="A1655">
        <v>30211</v>
      </c>
      <c r="B1655">
        <v>1</v>
      </c>
      <c r="C1655">
        <v>59.488500000000002</v>
      </c>
      <c r="D1655">
        <v>0</v>
      </c>
      <c r="E1655">
        <v>0</v>
      </c>
      <c r="F1655">
        <v>0</v>
      </c>
      <c r="G1655">
        <v>0</v>
      </c>
      <c r="H1655">
        <v>0</v>
      </c>
      <c r="I1655">
        <v>0</v>
      </c>
      <c r="J1655">
        <v>3.0640000000000001</v>
      </c>
      <c r="K1655">
        <v>37.447400000000002</v>
      </c>
      <c r="L1655">
        <v>0</v>
      </c>
      <c r="M1655">
        <v>0</v>
      </c>
      <c r="N1655">
        <v>0</v>
      </c>
      <c r="O1655">
        <v>0</v>
      </c>
      <c r="P1655">
        <v>0</v>
      </c>
      <c r="Q1655">
        <v>0</v>
      </c>
      <c r="R1655">
        <v>0</v>
      </c>
      <c r="S1655">
        <v>0</v>
      </c>
      <c r="T1655">
        <v>0</v>
      </c>
      <c r="U1655">
        <v>0</v>
      </c>
      <c r="Y1655">
        <v>0</v>
      </c>
      <c r="Z1655">
        <v>0</v>
      </c>
      <c r="AA1655">
        <v>0</v>
      </c>
      <c r="AB1655">
        <v>0</v>
      </c>
      <c r="AC1655">
        <v>1</v>
      </c>
      <c r="AD1655">
        <v>860.85764559970801</v>
      </c>
      <c r="AF1655">
        <v>1</v>
      </c>
      <c r="AG1655">
        <v>0</v>
      </c>
      <c r="AH1655">
        <v>0</v>
      </c>
      <c r="AI1655">
        <v>0</v>
      </c>
      <c r="AO1655">
        <v>10.4852670231017</v>
      </c>
      <c r="AP1655">
        <v>0.5106848888959411</v>
      </c>
      <c r="AQ1655">
        <v>860.85764559970801</v>
      </c>
      <c r="AR1655">
        <v>59</v>
      </c>
      <c r="AS1655">
        <v>249</v>
      </c>
      <c r="AT1655">
        <v>487</v>
      </c>
      <c r="AW1655" t="s">
        <v>501</v>
      </c>
      <c r="AX1655" t="s">
        <v>603</v>
      </c>
    </row>
    <row r="1656" spans="1:50" x14ac:dyDescent="0.45">
      <c r="A1656">
        <v>30212</v>
      </c>
      <c r="B1656">
        <v>1</v>
      </c>
      <c r="C1656">
        <v>57.06</v>
      </c>
      <c r="D1656">
        <v>0</v>
      </c>
      <c r="E1656">
        <v>0</v>
      </c>
      <c r="F1656">
        <v>0</v>
      </c>
      <c r="G1656">
        <v>0</v>
      </c>
      <c r="H1656">
        <v>0</v>
      </c>
      <c r="I1656">
        <v>0</v>
      </c>
      <c r="J1656">
        <v>6.0403000000000002</v>
      </c>
      <c r="K1656">
        <v>36.9099</v>
      </c>
      <c r="L1656">
        <v>0</v>
      </c>
      <c r="M1656">
        <v>0</v>
      </c>
      <c r="N1656">
        <v>0</v>
      </c>
      <c r="O1656">
        <v>0</v>
      </c>
      <c r="P1656">
        <v>0</v>
      </c>
      <c r="Q1656">
        <v>0</v>
      </c>
      <c r="R1656">
        <v>0</v>
      </c>
      <c r="S1656">
        <v>0</v>
      </c>
      <c r="T1656">
        <v>0</v>
      </c>
      <c r="U1656">
        <v>0</v>
      </c>
      <c r="Y1656">
        <v>0</v>
      </c>
      <c r="Z1656">
        <v>0</v>
      </c>
      <c r="AA1656">
        <v>0</v>
      </c>
      <c r="AB1656">
        <v>0</v>
      </c>
      <c r="AC1656">
        <v>1</v>
      </c>
      <c r="AD1656">
        <v>840.32224920551835</v>
      </c>
      <c r="AF1656">
        <v>1</v>
      </c>
      <c r="AG1656">
        <v>0</v>
      </c>
      <c r="AH1656">
        <v>0</v>
      </c>
      <c r="AI1656">
        <v>0</v>
      </c>
      <c r="AO1656">
        <v>10.334760682953901</v>
      </c>
      <c r="AP1656">
        <v>1.0067089563884464</v>
      </c>
      <c r="AQ1656">
        <v>840.32224920551835</v>
      </c>
      <c r="AR1656">
        <v>60</v>
      </c>
      <c r="AS1656">
        <v>417</v>
      </c>
      <c r="AT1656">
        <v>542</v>
      </c>
      <c r="AW1656" t="s">
        <v>501</v>
      </c>
      <c r="AX1656" t="s">
        <v>603</v>
      </c>
    </row>
    <row r="1657" spans="1:50" x14ac:dyDescent="0.45">
      <c r="A1657">
        <v>30213</v>
      </c>
      <c r="B1657">
        <v>1</v>
      </c>
      <c r="C1657">
        <v>59.250900000000001</v>
      </c>
      <c r="D1657">
        <v>0</v>
      </c>
      <c r="E1657">
        <v>0</v>
      </c>
      <c r="F1657">
        <v>0</v>
      </c>
      <c r="G1657">
        <v>0</v>
      </c>
      <c r="H1657">
        <v>0</v>
      </c>
      <c r="I1657">
        <v>0</v>
      </c>
      <c r="J1657">
        <v>3.0394999999999999</v>
      </c>
      <c r="K1657">
        <v>35.599400000000003</v>
      </c>
      <c r="L1657">
        <v>0</v>
      </c>
      <c r="M1657">
        <v>0</v>
      </c>
      <c r="N1657">
        <v>0</v>
      </c>
      <c r="O1657">
        <v>2.1101999999999999</v>
      </c>
      <c r="P1657">
        <v>0</v>
      </c>
      <c r="Q1657">
        <v>0</v>
      </c>
      <c r="R1657">
        <v>0</v>
      </c>
      <c r="S1657">
        <v>0</v>
      </c>
      <c r="T1657">
        <v>0</v>
      </c>
      <c r="U1657">
        <v>0</v>
      </c>
      <c r="Y1657">
        <v>0</v>
      </c>
      <c r="Z1657">
        <v>0</v>
      </c>
      <c r="AA1657">
        <v>0</v>
      </c>
      <c r="AB1657">
        <v>0</v>
      </c>
      <c r="AC1657">
        <v>1</v>
      </c>
      <c r="AD1657">
        <v>861.02712800996403</v>
      </c>
      <c r="AF1657">
        <v>1</v>
      </c>
      <c r="AG1657">
        <v>0</v>
      </c>
      <c r="AH1657">
        <v>0</v>
      </c>
      <c r="AI1657">
        <v>0</v>
      </c>
      <c r="AO1657">
        <v>10.432072023602931</v>
      </c>
      <c r="AP1657">
        <v>0.50659111087043418</v>
      </c>
      <c r="AQ1657">
        <v>861.02712800996403</v>
      </c>
      <c r="AR1657">
        <v>55</v>
      </c>
      <c r="AS1657">
        <v>280</v>
      </c>
      <c r="AT1657">
        <v>400</v>
      </c>
      <c r="AW1657" t="s">
        <v>502</v>
      </c>
      <c r="AX1657" t="s">
        <v>604</v>
      </c>
    </row>
    <row r="1658" spans="1:50" x14ac:dyDescent="0.45">
      <c r="A1658">
        <v>30214</v>
      </c>
      <c r="B1658">
        <v>1</v>
      </c>
      <c r="C1658">
        <v>59.250900000000001</v>
      </c>
      <c r="D1658">
        <v>0</v>
      </c>
      <c r="E1658">
        <v>0</v>
      </c>
      <c r="F1658">
        <v>0</v>
      </c>
      <c r="G1658">
        <v>0</v>
      </c>
      <c r="H1658">
        <v>0</v>
      </c>
      <c r="I1658">
        <v>0</v>
      </c>
      <c r="J1658">
        <v>3.0394999999999999</v>
      </c>
      <c r="K1658">
        <v>35.599400000000003</v>
      </c>
      <c r="L1658">
        <v>0</v>
      </c>
      <c r="M1658">
        <v>0</v>
      </c>
      <c r="N1658">
        <v>0</v>
      </c>
      <c r="O1658">
        <v>2.1101999999999999</v>
      </c>
      <c r="P1658">
        <v>0</v>
      </c>
      <c r="Q1658">
        <v>0</v>
      </c>
      <c r="R1658">
        <v>0</v>
      </c>
      <c r="S1658">
        <v>0</v>
      </c>
      <c r="T1658">
        <v>0</v>
      </c>
      <c r="U1658">
        <v>0</v>
      </c>
      <c r="Y1658">
        <v>0</v>
      </c>
      <c r="Z1658">
        <v>0</v>
      </c>
      <c r="AA1658">
        <v>0</v>
      </c>
      <c r="AB1658">
        <v>0</v>
      </c>
      <c r="AC1658">
        <v>1</v>
      </c>
      <c r="AD1658">
        <v>861.02712800996403</v>
      </c>
      <c r="AF1658">
        <v>1</v>
      </c>
      <c r="AG1658">
        <v>0</v>
      </c>
      <c r="AH1658">
        <v>0</v>
      </c>
      <c r="AI1658">
        <v>0</v>
      </c>
      <c r="AO1658">
        <v>10.432072023602931</v>
      </c>
      <c r="AP1658">
        <v>0.50659111087043418</v>
      </c>
      <c r="AQ1658">
        <v>861.02712800996403</v>
      </c>
      <c r="AR1658">
        <v>60</v>
      </c>
      <c r="AS1658">
        <v>830</v>
      </c>
      <c r="AT1658">
        <v>880</v>
      </c>
      <c r="AW1658" t="s">
        <v>502</v>
      </c>
      <c r="AX1658" t="s">
        <v>604</v>
      </c>
    </row>
    <row r="1659" spans="1:50" x14ac:dyDescent="0.45">
      <c r="A1659">
        <v>30215</v>
      </c>
      <c r="B1659">
        <v>1</v>
      </c>
      <c r="C1659">
        <v>47.470999999999997</v>
      </c>
      <c r="D1659">
        <v>0</v>
      </c>
      <c r="E1659">
        <v>2.1650999999999998</v>
      </c>
      <c r="F1659">
        <v>0</v>
      </c>
      <c r="G1659">
        <v>0</v>
      </c>
      <c r="H1659">
        <v>0</v>
      </c>
      <c r="I1659">
        <v>0</v>
      </c>
      <c r="J1659">
        <v>7.7545000000000002</v>
      </c>
      <c r="K1659">
        <v>11.846299999999999</v>
      </c>
      <c r="L1659">
        <v>0</v>
      </c>
      <c r="M1659">
        <v>0</v>
      </c>
      <c r="N1659">
        <v>0</v>
      </c>
      <c r="O1659">
        <v>30.763000000000002</v>
      </c>
      <c r="P1659">
        <v>0</v>
      </c>
      <c r="Q1659">
        <v>0</v>
      </c>
      <c r="R1659">
        <v>0</v>
      </c>
      <c r="S1659">
        <v>0</v>
      </c>
      <c r="T1659">
        <v>0</v>
      </c>
      <c r="U1659">
        <v>0</v>
      </c>
      <c r="Y1659">
        <v>0</v>
      </c>
      <c r="Z1659">
        <v>0</v>
      </c>
      <c r="AA1659">
        <v>0</v>
      </c>
      <c r="AB1659">
        <v>0</v>
      </c>
      <c r="AC1659">
        <v>1</v>
      </c>
      <c r="AD1659">
        <v>802.94510175789992</v>
      </c>
      <c r="AF1659">
        <v>1</v>
      </c>
      <c r="AG1659">
        <v>0</v>
      </c>
      <c r="AH1659">
        <v>0</v>
      </c>
      <c r="AI1659">
        <v>0</v>
      </c>
      <c r="AO1659">
        <v>11.535473277177768</v>
      </c>
      <c r="AP1659">
        <v>1.2924194529936954</v>
      </c>
      <c r="AQ1659">
        <v>802.94510175789992</v>
      </c>
      <c r="AR1659">
        <v>71.2</v>
      </c>
      <c r="AS1659">
        <v>849</v>
      </c>
      <c r="AW1659" t="s">
        <v>503</v>
      </c>
      <c r="AX1659" t="s">
        <v>605</v>
      </c>
    </row>
    <row r="1660" spans="1:50" x14ac:dyDescent="0.45">
      <c r="A1660">
        <v>30216</v>
      </c>
      <c r="B1660">
        <v>1</v>
      </c>
      <c r="C1660">
        <v>94</v>
      </c>
      <c r="D1660">
        <v>2</v>
      </c>
      <c r="E1660">
        <v>0</v>
      </c>
      <c r="F1660">
        <v>0</v>
      </c>
      <c r="G1660">
        <v>0</v>
      </c>
      <c r="H1660">
        <v>2</v>
      </c>
      <c r="I1660">
        <v>0</v>
      </c>
      <c r="J1660">
        <v>0</v>
      </c>
      <c r="K1660">
        <v>0</v>
      </c>
      <c r="L1660">
        <v>2</v>
      </c>
      <c r="M1660">
        <v>0</v>
      </c>
      <c r="N1660">
        <v>0</v>
      </c>
      <c r="O1660">
        <v>0</v>
      </c>
      <c r="P1660">
        <v>0</v>
      </c>
      <c r="Q1660">
        <v>0</v>
      </c>
      <c r="R1660">
        <v>0</v>
      </c>
      <c r="S1660">
        <v>0</v>
      </c>
      <c r="T1660">
        <v>0</v>
      </c>
      <c r="U1660">
        <v>0</v>
      </c>
      <c r="Y1660">
        <v>0</v>
      </c>
      <c r="Z1660">
        <v>0</v>
      </c>
      <c r="AA1660">
        <v>0</v>
      </c>
      <c r="AB1660">
        <v>0</v>
      </c>
      <c r="AC1660">
        <v>1</v>
      </c>
      <c r="AD1660">
        <v>836.40000000000009</v>
      </c>
      <c r="AF1660">
        <v>1</v>
      </c>
      <c r="AG1660">
        <v>0</v>
      </c>
      <c r="AH1660">
        <v>0</v>
      </c>
      <c r="AI1660">
        <v>0</v>
      </c>
      <c r="AO1660">
        <v>5.8</v>
      </c>
      <c r="AP1660">
        <v>2</v>
      </c>
      <c r="AQ1660">
        <v>836.40000000000009</v>
      </c>
      <c r="AS1660">
        <v>670</v>
      </c>
      <c r="AV1660">
        <v>300</v>
      </c>
      <c r="AW1660" t="s">
        <v>504</v>
      </c>
      <c r="AX1660" t="s">
        <v>606</v>
      </c>
    </row>
    <row r="1661" spans="1:50" x14ac:dyDescent="0.45">
      <c r="A1661">
        <v>30217</v>
      </c>
      <c r="B1661">
        <v>1</v>
      </c>
      <c r="C1661">
        <v>91</v>
      </c>
      <c r="D1661">
        <v>0</v>
      </c>
      <c r="E1661">
        <v>0</v>
      </c>
      <c r="F1661">
        <v>6</v>
      </c>
      <c r="G1661">
        <v>0</v>
      </c>
      <c r="H1661">
        <v>0</v>
      </c>
      <c r="I1661">
        <v>0</v>
      </c>
      <c r="J1661">
        <v>0</v>
      </c>
      <c r="K1661">
        <v>0</v>
      </c>
      <c r="L1661">
        <v>0</v>
      </c>
      <c r="M1661">
        <v>3</v>
      </c>
      <c r="N1661">
        <v>0</v>
      </c>
      <c r="O1661">
        <v>0</v>
      </c>
      <c r="P1661">
        <v>0</v>
      </c>
      <c r="Q1661">
        <v>0</v>
      </c>
      <c r="R1661">
        <v>0</v>
      </c>
      <c r="S1661">
        <v>0</v>
      </c>
      <c r="T1661">
        <v>0</v>
      </c>
      <c r="U1661">
        <v>0</v>
      </c>
      <c r="Y1661">
        <v>0</v>
      </c>
      <c r="Z1661">
        <v>0</v>
      </c>
      <c r="AA1661">
        <v>0</v>
      </c>
      <c r="AB1661">
        <v>0</v>
      </c>
      <c r="AC1661">
        <v>1</v>
      </c>
      <c r="AD1661">
        <v>822</v>
      </c>
      <c r="AF1661">
        <v>1</v>
      </c>
      <c r="AG1661">
        <v>0</v>
      </c>
      <c r="AH1661">
        <v>0</v>
      </c>
      <c r="AI1661">
        <v>0</v>
      </c>
      <c r="AO1661">
        <v>9.6000000000000014</v>
      </c>
      <c r="AP1661">
        <v>1</v>
      </c>
      <c r="AQ1661">
        <v>822</v>
      </c>
      <c r="AS1661">
        <v>294</v>
      </c>
      <c r="AT1661">
        <v>585</v>
      </c>
      <c r="AV1661">
        <v>260</v>
      </c>
      <c r="AW1661" t="s">
        <v>505</v>
      </c>
      <c r="AX1661" t="s">
        <v>607</v>
      </c>
    </row>
    <row r="1662" spans="1:50" x14ac:dyDescent="0.45">
      <c r="A1662">
        <v>30218</v>
      </c>
      <c r="B1662">
        <v>1</v>
      </c>
      <c r="C1662">
        <v>90</v>
      </c>
      <c r="D1662">
        <v>0</v>
      </c>
      <c r="E1662">
        <v>0</v>
      </c>
      <c r="F1662">
        <v>7</v>
      </c>
      <c r="G1662">
        <v>0</v>
      </c>
      <c r="H1662">
        <v>0</v>
      </c>
      <c r="I1662">
        <v>0</v>
      </c>
      <c r="J1662">
        <v>0</v>
      </c>
      <c r="K1662">
        <v>0</v>
      </c>
      <c r="L1662">
        <v>0</v>
      </c>
      <c r="M1662">
        <v>3</v>
      </c>
      <c r="N1662">
        <v>0</v>
      </c>
      <c r="O1662">
        <v>0</v>
      </c>
      <c r="P1662">
        <v>0</v>
      </c>
      <c r="Q1662">
        <v>0</v>
      </c>
      <c r="R1662">
        <v>0</v>
      </c>
      <c r="S1662">
        <v>0</v>
      </c>
      <c r="T1662">
        <v>0</v>
      </c>
      <c r="U1662">
        <v>0</v>
      </c>
      <c r="Y1662">
        <v>0</v>
      </c>
      <c r="Z1662">
        <v>0</v>
      </c>
      <c r="AA1662">
        <v>0</v>
      </c>
      <c r="AB1662">
        <v>0</v>
      </c>
      <c r="AC1662">
        <v>1</v>
      </c>
      <c r="AD1662">
        <v>809.9</v>
      </c>
      <c r="AF1662">
        <v>1</v>
      </c>
      <c r="AG1662">
        <v>0</v>
      </c>
      <c r="AH1662">
        <v>0</v>
      </c>
      <c r="AI1662">
        <v>0</v>
      </c>
      <c r="AO1662">
        <v>11.200000000000001</v>
      </c>
      <c r="AP1662">
        <v>1</v>
      </c>
      <c r="AQ1662">
        <v>809.9</v>
      </c>
      <c r="AS1662">
        <v>390</v>
      </c>
      <c r="AT1662">
        <v>639</v>
      </c>
      <c r="AV1662">
        <v>270</v>
      </c>
      <c r="AW1662" t="s">
        <v>505</v>
      </c>
      <c r="AX1662" t="s">
        <v>607</v>
      </c>
    </row>
    <row r="1663" spans="1:50" x14ac:dyDescent="0.45">
      <c r="A1663">
        <v>30219</v>
      </c>
      <c r="B1663">
        <v>1</v>
      </c>
      <c r="C1663">
        <v>89</v>
      </c>
      <c r="D1663">
        <v>0</v>
      </c>
      <c r="E1663">
        <v>0</v>
      </c>
      <c r="F1663">
        <v>8</v>
      </c>
      <c r="G1663">
        <v>0</v>
      </c>
      <c r="H1663">
        <v>0</v>
      </c>
      <c r="I1663">
        <v>0</v>
      </c>
      <c r="J1663">
        <v>0</v>
      </c>
      <c r="K1663">
        <v>0</v>
      </c>
      <c r="L1663">
        <v>0</v>
      </c>
      <c r="M1663">
        <v>3</v>
      </c>
      <c r="N1663">
        <v>0</v>
      </c>
      <c r="O1663">
        <v>0</v>
      </c>
      <c r="P1663">
        <v>0</v>
      </c>
      <c r="Q1663">
        <v>0</v>
      </c>
      <c r="R1663">
        <v>0</v>
      </c>
      <c r="S1663">
        <v>0</v>
      </c>
      <c r="T1663">
        <v>0</v>
      </c>
      <c r="U1663">
        <v>0</v>
      </c>
      <c r="Y1663">
        <v>0</v>
      </c>
      <c r="Z1663">
        <v>0</v>
      </c>
      <c r="AA1663">
        <v>0</v>
      </c>
      <c r="AB1663">
        <v>0</v>
      </c>
      <c r="AC1663">
        <v>1</v>
      </c>
      <c r="AD1663">
        <v>797.80000000000007</v>
      </c>
      <c r="AF1663">
        <v>1</v>
      </c>
      <c r="AG1663">
        <v>0</v>
      </c>
      <c r="AH1663">
        <v>0</v>
      </c>
      <c r="AI1663">
        <v>0</v>
      </c>
      <c r="AO1663">
        <v>12.8</v>
      </c>
      <c r="AP1663">
        <v>1</v>
      </c>
      <c r="AQ1663">
        <v>797.80000000000007</v>
      </c>
      <c r="AS1663">
        <v>439</v>
      </c>
      <c r="AT1663">
        <v>620</v>
      </c>
      <c r="AV1663">
        <v>272</v>
      </c>
      <c r="AW1663" t="s">
        <v>505</v>
      </c>
      <c r="AX1663" t="s">
        <v>607</v>
      </c>
    </row>
    <row r="1664" spans="1:50" x14ac:dyDescent="0.45">
      <c r="A1664">
        <v>30220</v>
      </c>
      <c r="B1664">
        <v>1</v>
      </c>
      <c r="C1664">
        <v>88</v>
      </c>
      <c r="D1664">
        <v>0</v>
      </c>
      <c r="E1664">
        <v>0</v>
      </c>
      <c r="F1664">
        <v>9</v>
      </c>
      <c r="G1664">
        <v>0</v>
      </c>
      <c r="H1664">
        <v>0</v>
      </c>
      <c r="I1664">
        <v>0</v>
      </c>
      <c r="J1664">
        <v>0</v>
      </c>
      <c r="K1664">
        <v>0</v>
      </c>
      <c r="L1664">
        <v>0</v>
      </c>
      <c r="M1664">
        <v>3</v>
      </c>
      <c r="N1664">
        <v>0</v>
      </c>
      <c r="O1664">
        <v>0</v>
      </c>
      <c r="P1664">
        <v>0</v>
      </c>
      <c r="Q1664">
        <v>0</v>
      </c>
      <c r="R1664">
        <v>0</v>
      </c>
      <c r="S1664">
        <v>0</v>
      </c>
      <c r="T1664">
        <v>0</v>
      </c>
      <c r="U1664">
        <v>0</v>
      </c>
      <c r="Y1664">
        <v>0</v>
      </c>
      <c r="Z1664">
        <v>0</v>
      </c>
      <c r="AA1664">
        <v>0</v>
      </c>
      <c r="AB1664">
        <v>0</v>
      </c>
      <c r="AC1664">
        <v>1</v>
      </c>
      <c r="AD1664">
        <v>785.7</v>
      </c>
      <c r="AF1664">
        <v>1</v>
      </c>
      <c r="AG1664">
        <v>0</v>
      </c>
      <c r="AH1664">
        <v>0</v>
      </c>
      <c r="AI1664">
        <v>0</v>
      </c>
      <c r="AO1664">
        <v>14.4</v>
      </c>
      <c r="AP1664">
        <v>1</v>
      </c>
      <c r="AQ1664">
        <v>785.7</v>
      </c>
      <c r="AS1664">
        <v>420</v>
      </c>
      <c r="AT1664">
        <v>622</v>
      </c>
      <c r="AV1664">
        <v>275</v>
      </c>
      <c r="AW1664" t="s">
        <v>505</v>
      </c>
      <c r="AX1664" t="s">
        <v>607</v>
      </c>
    </row>
    <row r="1665" spans="1:50" x14ac:dyDescent="0.45">
      <c r="A1665">
        <v>30221</v>
      </c>
      <c r="B1665">
        <v>1</v>
      </c>
      <c r="C1665">
        <v>90</v>
      </c>
      <c r="D1665">
        <v>0</v>
      </c>
      <c r="E1665">
        <v>0</v>
      </c>
      <c r="F1665">
        <v>3</v>
      </c>
      <c r="G1665">
        <v>0</v>
      </c>
      <c r="H1665">
        <v>0</v>
      </c>
      <c r="I1665">
        <v>0</v>
      </c>
      <c r="J1665">
        <v>0</v>
      </c>
      <c r="K1665">
        <v>0</v>
      </c>
      <c r="L1665">
        <v>7</v>
      </c>
      <c r="M1665">
        <v>0</v>
      </c>
      <c r="N1665">
        <v>0</v>
      </c>
      <c r="O1665">
        <v>0</v>
      </c>
      <c r="P1665">
        <v>0</v>
      </c>
      <c r="Q1665">
        <v>0</v>
      </c>
      <c r="R1665">
        <v>0</v>
      </c>
      <c r="S1665">
        <v>0</v>
      </c>
      <c r="T1665">
        <v>0</v>
      </c>
      <c r="U1665">
        <v>0</v>
      </c>
      <c r="Y1665">
        <v>0</v>
      </c>
      <c r="Z1665">
        <v>0</v>
      </c>
      <c r="AA1665">
        <v>0</v>
      </c>
      <c r="AB1665">
        <v>0</v>
      </c>
      <c r="AC1665">
        <v>1</v>
      </c>
      <c r="AD1665">
        <v>779.2</v>
      </c>
      <c r="AF1665">
        <v>1</v>
      </c>
      <c r="AG1665">
        <v>0</v>
      </c>
      <c r="AH1665">
        <v>0</v>
      </c>
      <c r="AI1665">
        <v>0</v>
      </c>
      <c r="AO1665">
        <v>11.8</v>
      </c>
      <c r="AP1665">
        <v>0</v>
      </c>
      <c r="AQ1665">
        <v>779.2</v>
      </c>
      <c r="AS1665">
        <v>563</v>
      </c>
      <c r="AT1665">
        <v>887</v>
      </c>
      <c r="AW1665" t="s">
        <v>250</v>
      </c>
      <c r="AX1665" t="s">
        <v>608</v>
      </c>
    </row>
    <row r="1666" spans="1:50" x14ac:dyDescent="0.45">
      <c r="A1666">
        <v>30222</v>
      </c>
      <c r="B1666">
        <v>1</v>
      </c>
      <c r="C1666">
        <v>90</v>
      </c>
      <c r="D1666">
        <v>0</v>
      </c>
      <c r="E1666">
        <v>0</v>
      </c>
      <c r="F1666">
        <v>3</v>
      </c>
      <c r="G1666">
        <v>0</v>
      </c>
      <c r="H1666">
        <v>0</v>
      </c>
      <c r="I1666">
        <v>0</v>
      </c>
      <c r="J1666">
        <v>0</v>
      </c>
      <c r="K1666">
        <v>0</v>
      </c>
      <c r="L1666">
        <v>7</v>
      </c>
      <c r="M1666">
        <v>0</v>
      </c>
      <c r="N1666">
        <v>0</v>
      </c>
      <c r="O1666">
        <v>0</v>
      </c>
      <c r="P1666">
        <v>0</v>
      </c>
      <c r="Q1666">
        <v>0</v>
      </c>
      <c r="R1666">
        <v>0</v>
      </c>
      <c r="S1666">
        <v>0</v>
      </c>
      <c r="T1666">
        <v>0</v>
      </c>
      <c r="U1666">
        <v>0</v>
      </c>
      <c r="Y1666">
        <v>0</v>
      </c>
      <c r="Z1666">
        <v>0</v>
      </c>
      <c r="AA1666">
        <v>0</v>
      </c>
      <c r="AB1666">
        <v>0</v>
      </c>
      <c r="AC1666">
        <v>1</v>
      </c>
      <c r="AD1666">
        <v>779.2</v>
      </c>
      <c r="AF1666">
        <v>0</v>
      </c>
      <c r="AG1666">
        <v>1</v>
      </c>
      <c r="AH1666">
        <v>0</v>
      </c>
      <c r="AI1666">
        <v>0</v>
      </c>
      <c r="AO1666">
        <v>11.8</v>
      </c>
      <c r="AP1666">
        <v>0</v>
      </c>
      <c r="AQ1666">
        <v>779.2</v>
      </c>
      <c r="AS1666">
        <v>961</v>
      </c>
      <c r="AT1666">
        <v>961</v>
      </c>
      <c r="AW1666" t="s">
        <v>250</v>
      </c>
      <c r="AX1666" t="s">
        <v>608</v>
      </c>
    </row>
    <row r="1667" spans="1:50" x14ac:dyDescent="0.45">
      <c r="A1667">
        <v>30223</v>
      </c>
      <c r="B1667">
        <v>1</v>
      </c>
      <c r="C1667">
        <v>89</v>
      </c>
      <c r="D1667">
        <v>0</v>
      </c>
      <c r="E1667">
        <v>0</v>
      </c>
      <c r="F1667">
        <v>3</v>
      </c>
      <c r="G1667">
        <v>0</v>
      </c>
      <c r="H1667">
        <v>1</v>
      </c>
      <c r="I1667">
        <v>0</v>
      </c>
      <c r="J1667">
        <v>0</v>
      </c>
      <c r="K1667">
        <v>0</v>
      </c>
      <c r="L1667">
        <v>7</v>
      </c>
      <c r="M1667">
        <v>0</v>
      </c>
      <c r="N1667">
        <v>0</v>
      </c>
      <c r="O1667">
        <v>0</v>
      </c>
      <c r="P1667">
        <v>0</v>
      </c>
      <c r="Q1667">
        <v>0</v>
      </c>
      <c r="R1667">
        <v>0</v>
      </c>
      <c r="S1667">
        <v>0</v>
      </c>
      <c r="T1667">
        <v>0</v>
      </c>
      <c r="U1667">
        <v>0</v>
      </c>
      <c r="Y1667">
        <v>0</v>
      </c>
      <c r="Z1667">
        <v>0</v>
      </c>
      <c r="AA1667">
        <v>0</v>
      </c>
      <c r="AB1667">
        <v>0</v>
      </c>
      <c r="AC1667">
        <v>1</v>
      </c>
      <c r="AD1667">
        <v>763.80000000000007</v>
      </c>
      <c r="AF1667">
        <v>1</v>
      </c>
      <c r="AG1667">
        <v>0</v>
      </c>
      <c r="AH1667">
        <v>0</v>
      </c>
      <c r="AI1667">
        <v>0</v>
      </c>
      <c r="AO1667">
        <v>14.700000000000001</v>
      </c>
      <c r="AP1667">
        <v>0</v>
      </c>
      <c r="AQ1667">
        <v>763.80000000000007</v>
      </c>
      <c r="AS1667">
        <v>648</v>
      </c>
      <c r="AT1667">
        <v>924</v>
      </c>
      <c r="AW1667" t="s">
        <v>250</v>
      </c>
      <c r="AX1667" t="s">
        <v>608</v>
      </c>
    </row>
    <row r="1668" spans="1:50" x14ac:dyDescent="0.45">
      <c r="A1668">
        <v>30224</v>
      </c>
      <c r="B1668">
        <v>1</v>
      </c>
      <c r="C1668">
        <v>89</v>
      </c>
      <c r="D1668">
        <v>0</v>
      </c>
      <c r="E1668">
        <v>0</v>
      </c>
      <c r="F1668">
        <v>3</v>
      </c>
      <c r="G1668">
        <v>0</v>
      </c>
      <c r="H1668">
        <v>1</v>
      </c>
      <c r="I1668">
        <v>0</v>
      </c>
      <c r="J1668">
        <v>0</v>
      </c>
      <c r="K1668">
        <v>0</v>
      </c>
      <c r="L1668">
        <v>7</v>
      </c>
      <c r="M1668">
        <v>0</v>
      </c>
      <c r="N1668">
        <v>0</v>
      </c>
      <c r="O1668">
        <v>0</v>
      </c>
      <c r="P1668">
        <v>0</v>
      </c>
      <c r="Q1668">
        <v>0</v>
      </c>
      <c r="R1668">
        <v>0</v>
      </c>
      <c r="S1668">
        <v>0</v>
      </c>
      <c r="T1668">
        <v>0</v>
      </c>
      <c r="U1668">
        <v>0</v>
      </c>
      <c r="Y1668">
        <v>0</v>
      </c>
      <c r="Z1668">
        <v>0</v>
      </c>
      <c r="AA1668">
        <v>0</v>
      </c>
      <c r="AB1668">
        <v>0</v>
      </c>
      <c r="AC1668">
        <v>1</v>
      </c>
      <c r="AD1668">
        <v>763.80000000000007</v>
      </c>
      <c r="AF1668">
        <v>0</v>
      </c>
      <c r="AG1668">
        <v>1</v>
      </c>
      <c r="AH1668">
        <v>0</v>
      </c>
      <c r="AI1668">
        <v>0</v>
      </c>
      <c r="AO1668">
        <v>14.700000000000001</v>
      </c>
      <c r="AP1668">
        <v>0</v>
      </c>
      <c r="AQ1668">
        <v>763.80000000000007</v>
      </c>
      <c r="AS1668">
        <v>1210</v>
      </c>
      <c r="AT1668">
        <v>1245</v>
      </c>
      <c r="AW1668" t="s">
        <v>250</v>
      </c>
      <c r="AX1668" t="s">
        <v>608</v>
      </c>
    </row>
    <row r="1669" spans="1:50" x14ac:dyDescent="0.45">
      <c r="A1669">
        <v>30225</v>
      </c>
      <c r="B1669">
        <v>1</v>
      </c>
      <c r="C1669">
        <v>57</v>
      </c>
      <c r="D1669">
        <v>0</v>
      </c>
      <c r="E1669">
        <v>0</v>
      </c>
      <c r="F1669">
        <v>0</v>
      </c>
      <c r="G1669">
        <v>0</v>
      </c>
      <c r="H1669">
        <v>1</v>
      </c>
      <c r="I1669">
        <v>0</v>
      </c>
      <c r="J1669">
        <v>8</v>
      </c>
      <c r="K1669">
        <v>34</v>
      </c>
      <c r="L1669">
        <v>0</v>
      </c>
      <c r="M1669">
        <v>0</v>
      </c>
      <c r="N1669">
        <v>0</v>
      </c>
      <c r="O1669">
        <v>0</v>
      </c>
      <c r="P1669">
        <v>0</v>
      </c>
      <c r="Q1669">
        <v>0</v>
      </c>
      <c r="R1669">
        <v>0</v>
      </c>
      <c r="S1669">
        <v>0</v>
      </c>
      <c r="T1669">
        <v>0</v>
      </c>
      <c r="U1669">
        <v>0</v>
      </c>
      <c r="Y1669">
        <v>0</v>
      </c>
      <c r="Z1669">
        <v>0</v>
      </c>
      <c r="AA1669">
        <v>0</v>
      </c>
      <c r="AB1669">
        <v>0</v>
      </c>
      <c r="AC1669">
        <v>1</v>
      </c>
      <c r="AD1669">
        <v>811.4</v>
      </c>
      <c r="AF1669">
        <v>1</v>
      </c>
      <c r="AG1669">
        <v>0</v>
      </c>
      <c r="AH1669">
        <v>0</v>
      </c>
      <c r="AI1669">
        <v>0</v>
      </c>
      <c r="AO1669">
        <v>12.420000000000002</v>
      </c>
      <c r="AP1669">
        <v>1.3333333333333333</v>
      </c>
      <c r="AQ1669">
        <v>811.4</v>
      </c>
      <c r="AR1669">
        <v>49</v>
      </c>
      <c r="AS1669">
        <v>552</v>
      </c>
      <c r="AT1669">
        <v>760</v>
      </c>
      <c r="AW1669" t="s">
        <v>506</v>
      </c>
      <c r="AX1669" t="s">
        <v>609</v>
      </c>
    </row>
    <row r="1670" spans="1:50" x14ac:dyDescent="0.45">
      <c r="A1670">
        <v>30226</v>
      </c>
      <c r="B1670">
        <v>1</v>
      </c>
      <c r="C1670">
        <v>88</v>
      </c>
      <c r="D1670">
        <v>0</v>
      </c>
      <c r="E1670">
        <v>0</v>
      </c>
      <c r="F1670">
        <v>0</v>
      </c>
      <c r="G1670">
        <v>0</v>
      </c>
      <c r="H1670">
        <v>0</v>
      </c>
      <c r="I1670">
        <v>0</v>
      </c>
      <c r="J1670">
        <v>0</v>
      </c>
      <c r="K1670">
        <v>0</v>
      </c>
      <c r="L1670">
        <v>12</v>
      </c>
      <c r="M1670">
        <v>0</v>
      </c>
      <c r="N1670">
        <v>0</v>
      </c>
      <c r="O1670">
        <v>0</v>
      </c>
      <c r="P1670">
        <v>0</v>
      </c>
      <c r="Q1670">
        <v>0</v>
      </c>
      <c r="R1670">
        <v>0</v>
      </c>
      <c r="S1670">
        <v>0</v>
      </c>
      <c r="T1670">
        <v>0</v>
      </c>
      <c r="U1670">
        <v>0</v>
      </c>
      <c r="Y1670">
        <v>0</v>
      </c>
      <c r="Z1670">
        <v>0</v>
      </c>
      <c r="AA1670">
        <v>0</v>
      </c>
      <c r="AB1670">
        <v>0</v>
      </c>
      <c r="AC1670">
        <v>1</v>
      </c>
      <c r="AD1670">
        <v>768</v>
      </c>
      <c r="AF1670">
        <v>1</v>
      </c>
      <c r="AG1670">
        <v>0</v>
      </c>
      <c r="AH1670">
        <v>0</v>
      </c>
      <c r="AI1670">
        <v>0</v>
      </c>
      <c r="AO1670">
        <v>12</v>
      </c>
      <c r="AP1670">
        <v>0</v>
      </c>
      <c r="AQ1670">
        <v>768</v>
      </c>
      <c r="AR1670">
        <v>84</v>
      </c>
      <c r="AS1670">
        <v>480</v>
      </c>
      <c r="AT1670">
        <v>974</v>
      </c>
      <c r="AW1670" t="s">
        <v>507</v>
      </c>
      <c r="AX1670" t="s">
        <v>610</v>
      </c>
    </row>
    <row r="1671" spans="1:50" x14ac:dyDescent="0.45">
      <c r="A1671">
        <v>30227</v>
      </c>
      <c r="B1671">
        <v>0</v>
      </c>
      <c r="C1671">
        <v>24</v>
      </c>
      <c r="D1671">
        <v>0</v>
      </c>
      <c r="E1671">
        <v>0</v>
      </c>
      <c r="F1671">
        <v>0</v>
      </c>
      <c r="G1671">
        <v>0</v>
      </c>
      <c r="H1671">
        <v>0</v>
      </c>
      <c r="I1671">
        <v>0</v>
      </c>
      <c r="J1671">
        <v>13</v>
      </c>
      <c r="K1671">
        <v>0</v>
      </c>
      <c r="L1671">
        <v>0</v>
      </c>
      <c r="M1671">
        <v>0</v>
      </c>
      <c r="N1671">
        <v>26</v>
      </c>
      <c r="O1671">
        <v>37</v>
      </c>
      <c r="P1671">
        <v>0</v>
      </c>
      <c r="Q1671">
        <v>0</v>
      </c>
      <c r="R1671">
        <v>0</v>
      </c>
      <c r="S1671">
        <v>0</v>
      </c>
      <c r="T1671">
        <v>0</v>
      </c>
      <c r="U1671">
        <v>0</v>
      </c>
      <c r="V1671">
        <v>0</v>
      </c>
      <c r="Y1671">
        <v>1</v>
      </c>
      <c r="Z1671">
        <v>0</v>
      </c>
      <c r="AA1671">
        <v>0</v>
      </c>
      <c r="AB1671">
        <v>0</v>
      </c>
      <c r="AC1671">
        <v>0</v>
      </c>
      <c r="AI1671">
        <v>0</v>
      </c>
      <c r="AO1671">
        <v>8.14</v>
      </c>
      <c r="AP1671">
        <v>2.1666666666666665</v>
      </c>
      <c r="AQ1671">
        <v>792.3</v>
      </c>
      <c r="AR1671">
        <v>79</v>
      </c>
      <c r="AS1671">
        <v>1001</v>
      </c>
      <c r="AT1671">
        <v>1001</v>
      </c>
      <c r="AV1671">
        <v>381</v>
      </c>
      <c r="AW1671" t="s">
        <v>508</v>
      </c>
      <c r="AX1671" t="s">
        <v>611</v>
      </c>
    </row>
    <row r="1672" spans="1:50" x14ac:dyDescent="0.45">
      <c r="A1672">
        <v>30228</v>
      </c>
      <c r="B1672">
        <v>0</v>
      </c>
      <c r="C1672">
        <v>26</v>
      </c>
      <c r="D1672">
        <v>0</v>
      </c>
      <c r="E1672">
        <v>0</v>
      </c>
      <c r="F1672">
        <v>0</v>
      </c>
      <c r="G1672">
        <v>0</v>
      </c>
      <c r="H1672">
        <v>0</v>
      </c>
      <c r="I1672">
        <v>0</v>
      </c>
      <c r="J1672">
        <v>12</v>
      </c>
      <c r="K1672">
        <v>0</v>
      </c>
      <c r="L1672">
        <v>0</v>
      </c>
      <c r="M1672">
        <v>0</v>
      </c>
      <c r="N1672">
        <v>22</v>
      </c>
      <c r="O1672">
        <v>40</v>
      </c>
      <c r="P1672">
        <v>0</v>
      </c>
      <c r="Q1672">
        <v>0</v>
      </c>
      <c r="R1672">
        <v>0</v>
      </c>
      <c r="S1672">
        <v>0</v>
      </c>
      <c r="T1672">
        <v>0</v>
      </c>
      <c r="U1672">
        <v>0</v>
      </c>
      <c r="V1672">
        <v>0</v>
      </c>
      <c r="Y1672">
        <v>1</v>
      </c>
      <c r="Z1672">
        <v>0</v>
      </c>
      <c r="AA1672">
        <v>0</v>
      </c>
      <c r="AB1672">
        <v>0</v>
      </c>
      <c r="AC1672">
        <v>0</v>
      </c>
      <c r="AI1672">
        <v>0</v>
      </c>
      <c r="AO1672">
        <v>8.8000000000000007</v>
      </c>
      <c r="AP1672">
        <v>2</v>
      </c>
      <c r="AQ1672">
        <v>799.2</v>
      </c>
      <c r="AR1672">
        <v>72</v>
      </c>
      <c r="AS1672">
        <v>1132</v>
      </c>
      <c r="AT1672">
        <v>1160</v>
      </c>
      <c r="AV1672">
        <v>375</v>
      </c>
      <c r="AW1672" t="s">
        <v>508</v>
      </c>
      <c r="AX1672" t="s">
        <v>611</v>
      </c>
    </row>
    <row r="1673" spans="1:50" x14ac:dyDescent="0.45">
      <c r="A1673">
        <v>30229</v>
      </c>
      <c r="B1673">
        <v>0</v>
      </c>
      <c r="C1673">
        <v>27</v>
      </c>
      <c r="D1673">
        <v>0</v>
      </c>
      <c r="E1673">
        <v>0</v>
      </c>
      <c r="F1673">
        <v>0</v>
      </c>
      <c r="G1673">
        <v>0</v>
      </c>
      <c r="H1673">
        <v>0</v>
      </c>
      <c r="I1673">
        <v>0</v>
      </c>
      <c r="J1673">
        <v>10</v>
      </c>
      <c r="K1673">
        <v>0</v>
      </c>
      <c r="L1673">
        <v>0</v>
      </c>
      <c r="M1673">
        <v>0</v>
      </c>
      <c r="N1673">
        <v>18</v>
      </c>
      <c r="O1673">
        <v>45</v>
      </c>
      <c r="P1673">
        <v>0</v>
      </c>
      <c r="Q1673">
        <v>0</v>
      </c>
      <c r="R1673">
        <v>0</v>
      </c>
      <c r="S1673">
        <v>0</v>
      </c>
      <c r="T1673">
        <v>0</v>
      </c>
      <c r="U1673">
        <v>0</v>
      </c>
      <c r="V1673">
        <v>0</v>
      </c>
      <c r="Y1673">
        <v>1</v>
      </c>
      <c r="Z1673">
        <v>0</v>
      </c>
      <c r="AA1673">
        <v>0</v>
      </c>
      <c r="AB1673">
        <v>0</v>
      </c>
      <c r="AC1673">
        <v>0</v>
      </c>
      <c r="AI1673">
        <v>0</v>
      </c>
      <c r="AO1673">
        <v>9.9</v>
      </c>
      <c r="AP1673">
        <v>1.6666666666666667</v>
      </c>
      <c r="AQ1673">
        <v>813</v>
      </c>
      <c r="AR1673">
        <v>77</v>
      </c>
      <c r="AS1673">
        <v>1114</v>
      </c>
      <c r="AT1673">
        <v>1173</v>
      </c>
      <c r="AV1673">
        <v>360</v>
      </c>
      <c r="AW1673" t="s">
        <v>508</v>
      </c>
      <c r="AX1673" t="s">
        <v>611</v>
      </c>
    </row>
    <row r="1674" spans="1:50" x14ac:dyDescent="0.45">
      <c r="A1674">
        <v>30230</v>
      </c>
      <c r="B1674">
        <v>1</v>
      </c>
      <c r="C1674">
        <v>85</v>
      </c>
      <c r="D1674">
        <v>3</v>
      </c>
      <c r="E1674">
        <v>10</v>
      </c>
      <c r="F1674">
        <v>0</v>
      </c>
      <c r="G1674">
        <v>0</v>
      </c>
      <c r="H1674">
        <v>2</v>
      </c>
      <c r="I1674">
        <v>0</v>
      </c>
      <c r="J1674">
        <v>0</v>
      </c>
      <c r="K1674">
        <v>0</v>
      </c>
      <c r="L1674">
        <v>0</v>
      </c>
      <c r="M1674">
        <v>0</v>
      </c>
      <c r="N1674">
        <v>0</v>
      </c>
      <c r="O1674">
        <v>0</v>
      </c>
      <c r="P1674">
        <v>0</v>
      </c>
      <c r="Q1674">
        <v>0</v>
      </c>
      <c r="R1674">
        <v>0</v>
      </c>
      <c r="S1674">
        <v>0</v>
      </c>
      <c r="T1674">
        <v>0</v>
      </c>
      <c r="U1674">
        <v>0</v>
      </c>
      <c r="Y1674">
        <v>0</v>
      </c>
      <c r="Z1674">
        <v>0</v>
      </c>
      <c r="AA1674">
        <v>0</v>
      </c>
      <c r="AB1674">
        <v>0</v>
      </c>
      <c r="AC1674">
        <v>1</v>
      </c>
      <c r="AD1674">
        <v>739.5</v>
      </c>
      <c r="AF1674">
        <v>0</v>
      </c>
      <c r="AG1674">
        <v>1</v>
      </c>
      <c r="AH1674">
        <v>0</v>
      </c>
      <c r="AI1674">
        <v>0</v>
      </c>
      <c r="AO1674">
        <v>9.5</v>
      </c>
      <c r="AP1674">
        <v>3</v>
      </c>
      <c r="AQ1674">
        <v>739.5</v>
      </c>
      <c r="AS1674">
        <v>1050</v>
      </c>
      <c r="AT1674">
        <v>1300</v>
      </c>
      <c r="AW1674" t="s">
        <v>509</v>
      </c>
      <c r="AX1674" t="s">
        <v>612</v>
      </c>
    </row>
    <row r="1675" spans="1:50" x14ac:dyDescent="0.45">
      <c r="A1675">
        <v>30231</v>
      </c>
      <c r="B1675">
        <v>0</v>
      </c>
      <c r="C1675">
        <v>85</v>
      </c>
      <c r="D1675">
        <v>0</v>
      </c>
      <c r="E1675">
        <v>0</v>
      </c>
      <c r="F1675">
        <v>0</v>
      </c>
      <c r="G1675">
        <v>0</v>
      </c>
      <c r="H1675">
        <v>0</v>
      </c>
      <c r="I1675">
        <v>0</v>
      </c>
      <c r="J1675">
        <v>0</v>
      </c>
      <c r="K1675">
        <v>0</v>
      </c>
      <c r="L1675">
        <v>9</v>
      </c>
      <c r="M1675">
        <v>0</v>
      </c>
      <c r="N1675">
        <v>0</v>
      </c>
      <c r="O1675">
        <v>0</v>
      </c>
      <c r="P1675">
        <v>6</v>
      </c>
      <c r="Q1675">
        <v>0</v>
      </c>
      <c r="R1675">
        <v>0</v>
      </c>
      <c r="S1675">
        <v>0</v>
      </c>
      <c r="T1675">
        <v>0</v>
      </c>
      <c r="U1675">
        <v>0</v>
      </c>
      <c r="Y1675">
        <v>0</v>
      </c>
      <c r="Z1675">
        <v>0</v>
      </c>
      <c r="AA1675">
        <v>0</v>
      </c>
      <c r="AB1675">
        <v>0</v>
      </c>
      <c r="AC1675">
        <v>1</v>
      </c>
      <c r="AD1675">
        <v>796.5</v>
      </c>
      <c r="AF1675">
        <v>1</v>
      </c>
      <c r="AG1675">
        <v>0</v>
      </c>
      <c r="AH1675">
        <v>0</v>
      </c>
      <c r="AI1675">
        <v>0</v>
      </c>
      <c r="AO1675">
        <v>11.64</v>
      </c>
      <c r="AP1675">
        <v>0</v>
      </c>
      <c r="AQ1675">
        <v>796.5</v>
      </c>
      <c r="AS1675">
        <v>692</v>
      </c>
      <c r="AT1675">
        <v>1115</v>
      </c>
      <c r="AW1675" t="s">
        <v>510</v>
      </c>
      <c r="AX1675" t="s">
        <v>613</v>
      </c>
    </row>
    <row r="1676" spans="1:50" x14ac:dyDescent="0.45">
      <c r="A1676">
        <v>30232</v>
      </c>
      <c r="B1676">
        <v>1</v>
      </c>
      <c r="C1676">
        <v>88</v>
      </c>
      <c r="D1676">
        <v>0</v>
      </c>
      <c r="E1676">
        <v>0</v>
      </c>
      <c r="F1676">
        <v>0</v>
      </c>
      <c r="G1676">
        <v>0</v>
      </c>
      <c r="H1676">
        <v>0</v>
      </c>
      <c r="I1676">
        <v>0</v>
      </c>
      <c r="J1676">
        <v>0</v>
      </c>
      <c r="K1676">
        <v>0</v>
      </c>
      <c r="L1676">
        <v>12</v>
      </c>
      <c r="M1676">
        <v>0</v>
      </c>
      <c r="N1676">
        <v>0</v>
      </c>
      <c r="O1676">
        <v>0</v>
      </c>
      <c r="P1676">
        <v>0</v>
      </c>
      <c r="Q1676">
        <v>0</v>
      </c>
      <c r="R1676">
        <v>0</v>
      </c>
      <c r="S1676">
        <v>0</v>
      </c>
      <c r="T1676">
        <v>0</v>
      </c>
      <c r="U1676">
        <v>0</v>
      </c>
      <c r="Y1676">
        <v>0</v>
      </c>
      <c r="Z1676">
        <v>0</v>
      </c>
      <c r="AA1676">
        <v>0</v>
      </c>
      <c r="AB1676">
        <v>0</v>
      </c>
      <c r="AC1676">
        <v>1</v>
      </c>
      <c r="AD1676">
        <v>768</v>
      </c>
      <c r="AF1676">
        <v>1</v>
      </c>
      <c r="AG1676">
        <v>0</v>
      </c>
      <c r="AH1676">
        <v>0</v>
      </c>
      <c r="AI1676">
        <v>0</v>
      </c>
      <c r="AO1676">
        <v>12</v>
      </c>
      <c r="AP1676">
        <v>0</v>
      </c>
      <c r="AQ1676">
        <v>768</v>
      </c>
      <c r="AS1676">
        <v>400</v>
      </c>
      <c r="AT1676">
        <v>550</v>
      </c>
      <c r="AW1676" t="s">
        <v>511</v>
      </c>
      <c r="AX1676" t="s">
        <v>614</v>
      </c>
    </row>
    <row r="1677" spans="1:50" x14ac:dyDescent="0.45">
      <c r="A1677">
        <v>30233</v>
      </c>
      <c r="B1677">
        <v>0</v>
      </c>
      <c r="C1677">
        <v>95</v>
      </c>
      <c r="D1677">
        <v>0</v>
      </c>
      <c r="E1677">
        <v>0</v>
      </c>
      <c r="F1677">
        <v>0</v>
      </c>
      <c r="G1677">
        <v>0</v>
      </c>
      <c r="H1677">
        <v>0</v>
      </c>
      <c r="I1677">
        <v>5</v>
      </c>
      <c r="J1677">
        <v>0</v>
      </c>
      <c r="K1677">
        <v>0</v>
      </c>
      <c r="L1677">
        <v>0</v>
      </c>
      <c r="M1677">
        <v>0</v>
      </c>
      <c r="N1677">
        <v>0</v>
      </c>
      <c r="O1677">
        <v>0</v>
      </c>
      <c r="P1677">
        <v>0</v>
      </c>
      <c r="Q1677">
        <v>0</v>
      </c>
      <c r="R1677">
        <v>0</v>
      </c>
      <c r="S1677">
        <v>0</v>
      </c>
      <c r="T1677">
        <v>0</v>
      </c>
      <c r="U1677">
        <v>0</v>
      </c>
      <c r="V1677">
        <v>0</v>
      </c>
      <c r="Y1677">
        <v>1</v>
      </c>
      <c r="Z1677">
        <v>0</v>
      </c>
      <c r="AA1677">
        <v>0</v>
      </c>
      <c r="AB1677">
        <v>0</v>
      </c>
      <c r="AC1677">
        <v>0</v>
      </c>
      <c r="AI1677">
        <v>0</v>
      </c>
      <c r="AO1677">
        <v>0</v>
      </c>
      <c r="AP1677">
        <v>0</v>
      </c>
      <c r="AQ1677">
        <v>882</v>
      </c>
      <c r="AR1677">
        <v>115</v>
      </c>
      <c r="AS1677">
        <v>791</v>
      </c>
      <c r="AT1677">
        <v>890</v>
      </c>
      <c r="AV1677">
        <v>318</v>
      </c>
      <c r="AW1677" t="s">
        <v>512</v>
      </c>
      <c r="AX1677" t="s">
        <v>615</v>
      </c>
    </row>
    <row r="1678" spans="1:50" x14ac:dyDescent="0.45">
      <c r="A1678">
        <v>30234</v>
      </c>
      <c r="B1678">
        <v>0</v>
      </c>
      <c r="C1678">
        <v>95</v>
      </c>
      <c r="D1678">
        <v>0</v>
      </c>
      <c r="E1678">
        <v>0</v>
      </c>
      <c r="F1678">
        <v>0</v>
      </c>
      <c r="G1678">
        <v>0</v>
      </c>
      <c r="H1678">
        <v>0</v>
      </c>
      <c r="I1678">
        <v>5</v>
      </c>
      <c r="J1678">
        <v>0</v>
      </c>
      <c r="K1678">
        <v>0</v>
      </c>
      <c r="L1678">
        <v>0</v>
      </c>
      <c r="M1678">
        <v>0</v>
      </c>
      <c r="N1678">
        <v>0</v>
      </c>
      <c r="O1678">
        <v>0</v>
      </c>
      <c r="P1678">
        <v>0</v>
      </c>
      <c r="Q1678">
        <v>0</v>
      </c>
      <c r="R1678">
        <v>0</v>
      </c>
      <c r="S1678">
        <v>0</v>
      </c>
      <c r="T1678">
        <v>0</v>
      </c>
      <c r="U1678">
        <v>0</v>
      </c>
      <c r="Y1678">
        <v>0</v>
      </c>
      <c r="Z1678">
        <v>0</v>
      </c>
      <c r="AA1678">
        <v>0</v>
      </c>
      <c r="AB1678">
        <v>0</v>
      </c>
      <c r="AC1678">
        <v>1</v>
      </c>
      <c r="AD1678">
        <v>882</v>
      </c>
      <c r="AF1678">
        <v>0</v>
      </c>
      <c r="AG1678">
        <v>0</v>
      </c>
      <c r="AH1678">
        <v>1</v>
      </c>
      <c r="AI1678">
        <v>0</v>
      </c>
      <c r="AO1678">
        <v>0</v>
      </c>
      <c r="AP1678">
        <v>0</v>
      </c>
      <c r="AQ1678">
        <v>882</v>
      </c>
      <c r="AR1678">
        <v>120</v>
      </c>
      <c r="AS1678">
        <v>592</v>
      </c>
      <c r="AT1678">
        <v>648</v>
      </c>
      <c r="AV1678">
        <v>239</v>
      </c>
      <c r="AW1678" t="s">
        <v>512</v>
      </c>
      <c r="AX1678" t="s">
        <v>615</v>
      </c>
    </row>
    <row r="1679" spans="1:50" x14ac:dyDescent="0.45">
      <c r="A1679">
        <v>30235</v>
      </c>
      <c r="B1679">
        <v>0</v>
      </c>
      <c r="C1679">
        <v>93</v>
      </c>
      <c r="D1679">
        <v>0</v>
      </c>
      <c r="E1679">
        <v>0</v>
      </c>
      <c r="F1679">
        <v>0</v>
      </c>
      <c r="G1679">
        <v>0</v>
      </c>
      <c r="H1679">
        <v>0</v>
      </c>
      <c r="I1679">
        <v>7</v>
      </c>
      <c r="J1679">
        <v>0</v>
      </c>
      <c r="K1679">
        <v>0</v>
      </c>
      <c r="L1679">
        <v>0</v>
      </c>
      <c r="M1679">
        <v>0</v>
      </c>
      <c r="N1679">
        <v>0</v>
      </c>
      <c r="O1679">
        <v>0</v>
      </c>
      <c r="P1679">
        <v>0</v>
      </c>
      <c r="Q1679">
        <v>0</v>
      </c>
      <c r="R1679">
        <v>0</v>
      </c>
      <c r="S1679">
        <v>0</v>
      </c>
      <c r="T1679">
        <v>0</v>
      </c>
      <c r="U1679">
        <v>0</v>
      </c>
      <c r="V1679">
        <v>0</v>
      </c>
      <c r="Y1679">
        <v>1</v>
      </c>
      <c r="Z1679">
        <v>0</v>
      </c>
      <c r="AA1679">
        <v>0</v>
      </c>
      <c r="AB1679">
        <v>0</v>
      </c>
      <c r="AC1679">
        <v>0</v>
      </c>
      <c r="AI1679">
        <v>0</v>
      </c>
      <c r="AO1679">
        <v>0</v>
      </c>
      <c r="AP1679">
        <v>0</v>
      </c>
      <c r="AQ1679">
        <v>882</v>
      </c>
      <c r="AR1679">
        <v>118</v>
      </c>
      <c r="AS1679">
        <v>863</v>
      </c>
      <c r="AT1679">
        <v>895</v>
      </c>
      <c r="AV1679">
        <v>333</v>
      </c>
      <c r="AW1679" t="s">
        <v>512</v>
      </c>
      <c r="AX1679" t="s">
        <v>615</v>
      </c>
    </row>
    <row r="1680" spans="1:50" x14ac:dyDescent="0.45">
      <c r="A1680">
        <v>30236</v>
      </c>
      <c r="B1680">
        <v>0</v>
      </c>
      <c r="C1680">
        <v>93</v>
      </c>
      <c r="D1680">
        <v>0</v>
      </c>
      <c r="E1680">
        <v>0</v>
      </c>
      <c r="F1680">
        <v>0</v>
      </c>
      <c r="G1680">
        <v>0</v>
      </c>
      <c r="H1680">
        <v>0</v>
      </c>
      <c r="I1680">
        <v>7</v>
      </c>
      <c r="J1680">
        <v>0</v>
      </c>
      <c r="K1680">
        <v>0</v>
      </c>
      <c r="L1680">
        <v>0</v>
      </c>
      <c r="M1680">
        <v>0</v>
      </c>
      <c r="N1680">
        <v>0</v>
      </c>
      <c r="O1680">
        <v>0</v>
      </c>
      <c r="P1680">
        <v>0</v>
      </c>
      <c r="Q1680">
        <v>0</v>
      </c>
      <c r="R1680">
        <v>0</v>
      </c>
      <c r="S1680">
        <v>0</v>
      </c>
      <c r="T1680">
        <v>0</v>
      </c>
      <c r="U1680">
        <v>0</v>
      </c>
      <c r="Y1680">
        <v>0</v>
      </c>
      <c r="Z1680">
        <v>0</v>
      </c>
      <c r="AA1680">
        <v>0</v>
      </c>
      <c r="AB1680">
        <v>0</v>
      </c>
      <c r="AC1680">
        <v>1</v>
      </c>
      <c r="AD1680">
        <v>882</v>
      </c>
      <c r="AF1680">
        <v>0</v>
      </c>
      <c r="AG1680">
        <v>0</v>
      </c>
      <c r="AH1680">
        <v>1</v>
      </c>
      <c r="AI1680">
        <v>0</v>
      </c>
      <c r="AO1680">
        <v>0</v>
      </c>
      <c r="AP1680">
        <v>0</v>
      </c>
      <c r="AQ1680">
        <v>882</v>
      </c>
      <c r="AR1680">
        <v>112</v>
      </c>
      <c r="AS1680">
        <v>522</v>
      </c>
      <c r="AT1680">
        <v>660</v>
      </c>
      <c r="AV1680">
        <v>224</v>
      </c>
      <c r="AW1680" t="s">
        <v>512</v>
      </c>
      <c r="AX1680" t="s">
        <v>615</v>
      </c>
    </row>
    <row r="1681" spans="1:50" x14ac:dyDescent="0.45">
      <c r="A1681">
        <v>30237</v>
      </c>
      <c r="B1681">
        <v>0</v>
      </c>
      <c r="C1681">
        <v>85</v>
      </c>
      <c r="D1681">
        <v>0</v>
      </c>
      <c r="E1681">
        <v>0</v>
      </c>
      <c r="F1681">
        <v>0</v>
      </c>
      <c r="G1681">
        <v>0</v>
      </c>
      <c r="H1681">
        <v>0</v>
      </c>
      <c r="I1681">
        <v>15</v>
      </c>
      <c r="J1681">
        <v>0</v>
      </c>
      <c r="K1681">
        <v>0</v>
      </c>
      <c r="L1681">
        <v>0</v>
      </c>
      <c r="M1681">
        <v>0</v>
      </c>
      <c r="N1681">
        <v>0</v>
      </c>
      <c r="O1681">
        <v>0</v>
      </c>
      <c r="P1681">
        <v>0</v>
      </c>
      <c r="Q1681">
        <v>0</v>
      </c>
      <c r="R1681">
        <v>0</v>
      </c>
      <c r="S1681">
        <v>0</v>
      </c>
      <c r="T1681">
        <v>0</v>
      </c>
      <c r="U1681">
        <v>0</v>
      </c>
      <c r="V1681">
        <v>0</v>
      </c>
      <c r="Y1681">
        <v>1</v>
      </c>
      <c r="Z1681">
        <v>0</v>
      </c>
      <c r="AA1681">
        <v>0</v>
      </c>
      <c r="AB1681">
        <v>0</v>
      </c>
      <c r="AC1681">
        <v>0</v>
      </c>
      <c r="AI1681">
        <v>0</v>
      </c>
      <c r="AO1681">
        <v>0</v>
      </c>
      <c r="AP1681">
        <v>0</v>
      </c>
      <c r="AQ1681">
        <v>882</v>
      </c>
      <c r="AR1681">
        <v>120</v>
      </c>
      <c r="AS1681">
        <v>666</v>
      </c>
      <c r="AT1681">
        <v>666</v>
      </c>
      <c r="AV1681">
        <v>382</v>
      </c>
      <c r="AW1681" t="s">
        <v>512</v>
      </c>
      <c r="AX1681" t="s">
        <v>615</v>
      </c>
    </row>
    <row r="1682" spans="1:50" x14ac:dyDescent="0.45">
      <c r="A1682">
        <v>30238</v>
      </c>
      <c r="B1682">
        <v>0</v>
      </c>
      <c r="C1682">
        <v>85</v>
      </c>
      <c r="D1682">
        <v>0</v>
      </c>
      <c r="E1682">
        <v>0</v>
      </c>
      <c r="F1682">
        <v>0</v>
      </c>
      <c r="G1682">
        <v>0</v>
      </c>
      <c r="H1682">
        <v>0</v>
      </c>
      <c r="I1682">
        <v>15</v>
      </c>
      <c r="J1682">
        <v>0</v>
      </c>
      <c r="K1682">
        <v>0</v>
      </c>
      <c r="L1682">
        <v>0</v>
      </c>
      <c r="M1682">
        <v>0</v>
      </c>
      <c r="N1682">
        <v>0</v>
      </c>
      <c r="O1682">
        <v>0</v>
      </c>
      <c r="P1682">
        <v>0</v>
      </c>
      <c r="Q1682">
        <v>0</v>
      </c>
      <c r="R1682">
        <v>0</v>
      </c>
      <c r="S1682">
        <v>0</v>
      </c>
      <c r="T1682">
        <v>0</v>
      </c>
      <c r="U1682">
        <v>0</v>
      </c>
      <c r="Y1682">
        <v>0</v>
      </c>
      <c r="Z1682">
        <v>0</v>
      </c>
      <c r="AA1682">
        <v>0</v>
      </c>
      <c r="AB1682">
        <v>0</v>
      </c>
      <c r="AC1682">
        <v>1</v>
      </c>
      <c r="AD1682">
        <v>882</v>
      </c>
      <c r="AF1682">
        <v>0</v>
      </c>
      <c r="AG1682">
        <v>0</v>
      </c>
      <c r="AH1682">
        <v>1</v>
      </c>
      <c r="AI1682">
        <v>0</v>
      </c>
      <c r="AO1682">
        <v>0</v>
      </c>
      <c r="AP1682">
        <v>0</v>
      </c>
      <c r="AQ1682">
        <v>882</v>
      </c>
      <c r="AR1682">
        <v>121</v>
      </c>
      <c r="AS1682">
        <v>541</v>
      </c>
      <c r="AT1682">
        <v>676</v>
      </c>
      <c r="AV1682">
        <v>224</v>
      </c>
      <c r="AW1682" t="s">
        <v>512</v>
      </c>
      <c r="AX1682" t="s">
        <v>615</v>
      </c>
    </row>
    <row r="1683" spans="1:50" x14ac:dyDescent="0.45">
      <c r="A1683">
        <v>30239</v>
      </c>
      <c r="B1683">
        <v>1</v>
      </c>
      <c r="C1683">
        <v>85</v>
      </c>
      <c r="D1683">
        <v>0</v>
      </c>
      <c r="E1683">
        <v>0</v>
      </c>
      <c r="F1683">
        <v>0</v>
      </c>
      <c r="G1683">
        <v>0</v>
      </c>
      <c r="H1683">
        <v>0</v>
      </c>
      <c r="I1683">
        <v>0</v>
      </c>
      <c r="J1683">
        <v>0</v>
      </c>
      <c r="K1683">
        <v>0</v>
      </c>
      <c r="L1683">
        <v>15</v>
      </c>
      <c r="M1683">
        <v>0</v>
      </c>
      <c r="N1683">
        <v>0</v>
      </c>
      <c r="O1683">
        <v>0</v>
      </c>
      <c r="P1683">
        <v>0</v>
      </c>
      <c r="Q1683">
        <v>0</v>
      </c>
      <c r="R1683">
        <v>0</v>
      </c>
      <c r="S1683">
        <v>0</v>
      </c>
      <c r="T1683">
        <v>0</v>
      </c>
      <c r="U1683">
        <v>0</v>
      </c>
      <c r="Y1683">
        <v>0</v>
      </c>
      <c r="Z1683">
        <v>0</v>
      </c>
      <c r="AA1683">
        <v>0</v>
      </c>
      <c r="AB1683">
        <v>0</v>
      </c>
      <c r="AC1683">
        <v>1</v>
      </c>
      <c r="AD1683">
        <v>739.5</v>
      </c>
      <c r="AF1683">
        <v>1</v>
      </c>
      <c r="AG1683">
        <v>0</v>
      </c>
      <c r="AH1683">
        <v>0</v>
      </c>
      <c r="AI1683">
        <v>0</v>
      </c>
      <c r="AO1683">
        <v>15</v>
      </c>
      <c r="AP1683">
        <v>0</v>
      </c>
      <c r="AQ1683">
        <v>739.5</v>
      </c>
      <c r="AS1683">
        <v>439</v>
      </c>
      <c r="AT1683">
        <v>714</v>
      </c>
      <c r="AW1683" t="s">
        <v>513</v>
      </c>
      <c r="AX1683" t="s">
        <v>616</v>
      </c>
    </row>
    <row r="1684" spans="1:50" x14ac:dyDescent="0.45">
      <c r="A1684">
        <v>30240</v>
      </c>
      <c r="B1684">
        <v>1</v>
      </c>
      <c r="C1684">
        <v>84</v>
      </c>
      <c r="D1684">
        <v>0</v>
      </c>
      <c r="E1684">
        <v>0</v>
      </c>
      <c r="F1684">
        <v>0</v>
      </c>
      <c r="G1684">
        <v>0</v>
      </c>
      <c r="H1684">
        <v>1</v>
      </c>
      <c r="I1684">
        <v>0</v>
      </c>
      <c r="J1684">
        <v>0</v>
      </c>
      <c r="K1684">
        <v>0</v>
      </c>
      <c r="L1684">
        <v>15</v>
      </c>
      <c r="M1684">
        <v>0</v>
      </c>
      <c r="N1684">
        <v>0</v>
      </c>
      <c r="O1684">
        <v>0</v>
      </c>
      <c r="P1684">
        <v>0</v>
      </c>
      <c r="Q1684">
        <v>0</v>
      </c>
      <c r="R1684">
        <v>0</v>
      </c>
      <c r="S1684">
        <v>0</v>
      </c>
      <c r="T1684">
        <v>0</v>
      </c>
      <c r="U1684">
        <v>0</v>
      </c>
      <c r="Y1684">
        <v>0</v>
      </c>
      <c r="Z1684">
        <v>0</v>
      </c>
      <c r="AA1684">
        <v>0</v>
      </c>
      <c r="AB1684">
        <v>0</v>
      </c>
      <c r="AC1684">
        <v>1</v>
      </c>
      <c r="AD1684">
        <v>724.1</v>
      </c>
      <c r="AF1684">
        <v>1</v>
      </c>
      <c r="AG1684">
        <v>0</v>
      </c>
      <c r="AH1684">
        <v>0</v>
      </c>
      <c r="AI1684">
        <v>0</v>
      </c>
      <c r="AO1684">
        <v>17.899999999999999</v>
      </c>
      <c r="AP1684">
        <v>0</v>
      </c>
      <c r="AQ1684">
        <v>724.1</v>
      </c>
      <c r="AS1684">
        <v>837</v>
      </c>
      <c r="AT1684">
        <v>837</v>
      </c>
      <c r="AW1684" t="s">
        <v>513</v>
      </c>
      <c r="AX1684" t="s">
        <v>616</v>
      </c>
    </row>
    <row r="1685" spans="1:50" x14ac:dyDescent="0.45">
      <c r="A1685">
        <v>30241</v>
      </c>
      <c r="B1685">
        <v>1</v>
      </c>
      <c r="C1685">
        <v>80</v>
      </c>
      <c r="D1685">
        <v>4</v>
      </c>
      <c r="E1685">
        <v>5</v>
      </c>
      <c r="F1685">
        <v>6</v>
      </c>
      <c r="G1685">
        <v>0</v>
      </c>
      <c r="H1685">
        <v>0</v>
      </c>
      <c r="I1685">
        <v>0</v>
      </c>
      <c r="J1685">
        <v>0</v>
      </c>
      <c r="K1685">
        <v>0</v>
      </c>
      <c r="L1685">
        <v>5</v>
      </c>
      <c r="M1685">
        <v>0</v>
      </c>
      <c r="N1685">
        <v>0</v>
      </c>
      <c r="O1685">
        <v>0</v>
      </c>
      <c r="P1685">
        <v>0</v>
      </c>
      <c r="Q1685">
        <v>0</v>
      </c>
      <c r="R1685">
        <v>0</v>
      </c>
      <c r="S1685">
        <v>0</v>
      </c>
      <c r="T1685">
        <v>0</v>
      </c>
      <c r="U1685">
        <v>0</v>
      </c>
      <c r="Y1685">
        <v>0</v>
      </c>
      <c r="Z1685">
        <v>0</v>
      </c>
      <c r="AA1685">
        <v>0</v>
      </c>
      <c r="AB1685">
        <v>0</v>
      </c>
      <c r="AC1685">
        <v>1</v>
      </c>
      <c r="AD1685">
        <v>711.3</v>
      </c>
      <c r="AF1685">
        <v>0</v>
      </c>
      <c r="AG1685">
        <v>1</v>
      </c>
      <c r="AH1685">
        <v>0</v>
      </c>
      <c r="AI1685">
        <v>0</v>
      </c>
      <c r="AO1685">
        <v>13.950000000000003</v>
      </c>
      <c r="AP1685">
        <v>4</v>
      </c>
      <c r="AQ1685">
        <v>711.3</v>
      </c>
      <c r="AS1685">
        <v>873</v>
      </c>
      <c r="AT1685">
        <v>875</v>
      </c>
      <c r="AW1685" t="s">
        <v>514</v>
      </c>
      <c r="AX1685" t="s">
        <v>617</v>
      </c>
    </row>
    <row r="1686" spans="1:50" x14ac:dyDescent="0.45">
      <c r="A1686">
        <v>30242</v>
      </c>
      <c r="B1686">
        <v>1</v>
      </c>
      <c r="C1686">
        <v>52</v>
      </c>
      <c r="D1686">
        <v>0</v>
      </c>
      <c r="E1686">
        <v>0</v>
      </c>
      <c r="F1686">
        <v>0</v>
      </c>
      <c r="G1686">
        <v>0</v>
      </c>
      <c r="H1686">
        <v>0</v>
      </c>
      <c r="I1686">
        <v>0</v>
      </c>
      <c r="J1686">
        <v>5</v>
      </c>
      <c r="K1686">
        <v>30</v>
      </c>
      <c r="L1686">
        <v>0</v>
      </c>
      <c r="M1686">
        <v>0</v>
      </c>
      <c r="N1686">
        <v>0</v>
      </c>
      <c r="O1686">
        <v>13</v>
      </c>
      <c r="P1686">
        <v>0</v>
      </c>
      <c r="Q1686">
        <v>0</v>
      </c>
      <c r="R1686">
        <v>0</v>
      </c>
      <c r="S1686">
        <v>0</v>
      </c>
      <c r="T1686">
        <v>0</v>
      </c>
      <c r="U1686">
        <v>0</v>
      </c>
      <c r="Y1686">
        <v>0</v>
      </c>
      <c r="Z1686">
        <v>0</v>
      </c>
      <c r="AA1686">
        <v>0</v>
      </c>
      <c r="AB1686">
        <v>0</v>
      </c>
      <c r="AC1686">
        <v>1</v>
      </c>
      <c r="AD1686">
        <v>847.5</v>
      </c>
      <c r="AF1686">
        <v>1</v>
      </c>
      <c r="AG1686">
        <v>0</v>
      </c>
      <c r="AH1686">
        <v>0</v>
      </c>
      <c r="AI1686">
        <v>0</v>
      </c>
      <c r="AO1686">
        <v>11.26</v>
      </c>
      <c r="AP1686">
        <v>0.83333333333333337</v>
      </c>
      <c r="AQ1686">
        <v>847.5</v>
      </c>
      <c r="AR1686">
        <v>61</v>
      </c>
      <c r="AS1686">
        <v>521</v>
      </c>
      <c r="AT1686">
        <v>554</v>
      </c>
      <c r="AV1686">
        <v>175</v>
      </c>
      <c r="AW1686" t="s">
        <v>515</v>
      </c>
      <c r="AX1686" t="s">
        <v>618</v>
      </c>
    </row>
    <row r="1687" spans="1:50" x14ac:dyDescent="0.45">
      <c r="A1687">
        <v>30243</v>
      </c>
      <c r="B1687">
        <v>1</v>
      </c>
      <c r="C1687">
        <v>73</v>
      </c>
      <c r="D1687">
        <v>0</v>
      </c>
      <c r="E1687">
        <v>0</v>
      </c>
      <c r="F1687">
        <v>0</v>
      </c>
      <c r="G1687">
        <v>0</v>
      </c>
      <c r="H1687">
        <v>0</v>
      </c>
      <c r="I1687">
        <v>0</v>
      </c>
      <c r="J1687">
        <v>2</v>
      </c>
      <c r="K1687">
        <v>24</v>
      </c>
      <c r="L1687">
        <v>0</v>
      </c>
      <c r="M1687">
        <v>1</v>
      </c>
      <c r="N1687">
        <v>0</v>
      </c>
      <c r="O1687">
        <v>0</v>
      </c>
      <c r="P1687">
        <v>0</v>
      </c>
      <c r="Q1687">
        <v>0</v>
      </c>
      <c r="R1687">
        <v>0</v>
      </c>
      <c r="S1687">
        <v>0</v>
      </c>
      <c r="T1687">
        <v>0</v>
      </c>
      <c r="U1687">
        <v>0</v>
      </c>
      <c r="Y1687">
        <v>0</v>
      </c>
      <c r="Z1687">
        <v>0</v>
      </c>
      <c r="AA1687">
        <v>0</v>
      </c>
      <c r="AB1687">
        <v>0</v>
      </c>
      <c r="AC1687">
        <v>1</v>
      </c>
      <c r="AD1687">
        <v>872.40000000000009</v>
      </c>
      <c r="AF1687">
        <v>1</v>
      </c>
      <c r="AG1687">
        <v>0</v>
      </c>
      <c r="AH1687">
        <v>0</v>
      </c>
      <c r="AI1687">
        <v>0</v>
      </c>
      <c r="AO1687">
        <v>6.7200000000000006</v>
      </c>
      <c r="AP1687">
        <v>0.66666666666666663</v>
      </c>
      <c r="AQ1687">
        <v>872.40000000000009</v>
      </c>
      <c r="AR1687">
        <v>75</v>
      </c>
      <c r="AS1687">
        <v>499</v>
      </c>
      <c r="AT1687">
        <v>646</v>
      </c>
      <c r="AW1687" t="s">
        <v>516</v>
      </c>
      <c r="AX1687" t="s">
        <v>619</v>
      </c>
    </row>
    <row r="1688" spans="1:50" x14ac:dyDescent="0.45">
      <c r="A1688">
        <v>30244</v>
      </c>
      <c r="B1688">
        <v>1</v>
      </c>
      <c r="C1688">
        <v>68</v>
      </c>
      <c r="D1688">
        <v>0</v>
      </c>
      <c r="E1688">
        <v>0</v>
      </c>
      <c r="F1688">
        <v>0</v>
      </c>
      <c r="G1688">
        <v>0</v>
      </c>
      <c r="H1688">
        <v>0</v>
      </c>
      <c r="I1688">
        <v>0</v>
      </c>
      <c r="J1688">
        <v>3</v>
      </c>
      <c r="K1688">
        <v>24</v>
      </c>
      <c r="L1688">
        <v>3</v>
      </c>
      <c r="M1688">
        <v>2</v>
      </c>
      <c r="N1688">
        <v>0</v>
      </c>
      <c r="O1688">
        <v>0</v>
      </c>
      <c r="P1688">
        <v>0</v>
      </c>
      <c r="Q1688">
        <v>0</v>
      </c>
      <c r="R1688">
        <v>0</v>
      </c>
      <c r="S1688">
        <v>0</v>
      </c>
      <c r="T1688">
        <v>0</v>
      </c>
      <c r="U1688">
        <v>0</v>
      </c>
      <c r="Y1688">
        <v>0</v>
      </c>
      <c r="Z1688">
        <v>0</v>
      </c>
      <c r="AA1688">
        <v>0</v>
      </c>
      <c r="AB1688">
        <v>0</v>
      </c>
      <c r="AC1688">
        <v>1</v>
      </c>
      <c r="AD1688">
        <v>841.19999999999993</v>
      </c>
      <c r="AF1688">
        <v>1</v>
      </c>
      <c r="AG1688">
        <v>0</v>
      </c>
      <c r="AH1688">
        <v>0</v>
      </c>
      <c r="AI1688">
        <v>0</v>
      </c>
      <c r="AO1688">
        <v>9.7200000000000006</v>
      </c>
      <c r="AP1688">
        <v>1.1666666666666665</v>
      </c>
      <c r="AQ1688">
        <v>841.19999999999993</v>
      </c>
      <c r="AR1688">
        <v>72</v>
      </c>
      <c r="AS1688">
        <v>534</v>
      </c>
      <c r="AT1688">
        <v>673</v>
      </c>
      <c r="AW1688" t="s">
        <v>516</v>
      </c>
      <c r="AX1688" t="s">
        <v>619</v>
      </c>
    </row>
    <row r="1689" spans="1:50" x14ac:dyDescent="0.45">
      <c r="A1689">
        <v>30245</v>
      </c>
      <c r="B1689">
        <v>1</v>
      </c>
      <c r="C1689">
        <v>65</v>
      </c>
      <c r="D1689">
        <v>0</v>
      </c>
      <c r="E1689">
        <v>0</v>
      </c>
      <c r="F1689">
        <v>0</v>
      </c>
      <c r="G1689">
        <v>0</v>
      </c>
      <c r="H1689">
        <v>0</v>
      </c>
      <c r="I1689">
        <v>0</v>
      </c>
      <c r="J1689">
        <v>3</v>
      </c>
      <c r="K1689">
        <v>25</v>
      </c>
      <c r="L1689">
        <v>5</v>
      </c>
      <c r="M1689">
        <v>2</v>
      </c>
      <c r="N1689">
        <v>0</v>
      </c>
      <c r="O1689">
        <v>0</v>
      </c>
      <c r="P1689">
        <v>0</v>
      </c>
      <c r="Q1689">
        <v>0</v>
      </c>
      <c r="R1689">
        <v>0</v>
      </c>
      <c r="S1689">
        <v>0</v>
      </c>
      <c r="T1689">
        <v>0</v>
      </c>
      <c r="U1689">
        <v>0</v>
      </c>
      <c r="Y1689">
        <v>0</v>
      </c>
      <c r="Z1689">
        <v>0</v>
      </c>
      <c r="AA1689">
        <v>0</v>
      </c>
      <c r="AB1689">
        <v>0</v>
      </c>
      <c r="AC1689">
        <v>1</v>
      </c>
      <c r="AD1689">
        <v>822.19999999999993</v>
      </c>
      <c r="AF1689">
        <v>1</v>
      </c>
      <c r="AG1689">
        <v>0</v>
      </c>
      <c r="AH1689">
        <v>0</v>
      </c>
      <c r="AI1689">
        <v>0</v>
      </c>
      <c r="AO1689">
        <v>12</v>
      </c>
      <c r="AP1689">
        <v>1.1666666666666665</v>
      </c>
      <c r="AQ1689">
        <v>822.19999999999993</v>
      </c>
      <c r="AR1689">
        <v>68</v>
      </c>
      <c r="AS1689">
        <v>491</v>
      </c>
      <c r="AT1689">
        <v>618</v>
      </c>
      <c r="AW1689" t="s">
        <v>516</v>
      </c>
      <c r="AX1689" t="s">
        <v>619</v>
      </c>
    </row>
    <row r="1690" spans="1:50" x14ac:dyDescent="0.45">
      <c r="A1690">
        <v>30246</v>
      </c>
      <c r="B1690">
        <v>1</v>
      </c>
      <c r="C1690">
        <v>87</v>
      </c>
      <c r="D1690">
        <v>0</v>
      </c>
      <c r="E1690">
        <v>0</v>
      </c>
      <c r="F1690">
        <v>0</v>
      </c>
      <c r="G1690">
        <v>0</v>
      </c>
      <c r="H1690">
        <v>3</v>
      </c>
      <c r="I1690">
        <v>0</v>
      </c>
      <c r="J1690">
        <v>0</v>
      </c>
      <c r="K1690">
        <v>10</v>
      </c>
      <c r="L1690">
        <v>0</v>
      </c>
      <c r="M1690">
        <v>0</v>
      </c>
      <c r="N1690">
        <v>0</v>
      </c>
      <c r="O1690">
        <v>0</v>
      </c>
      <c r="P1690">
        <v>0</v>
      </c>
      <c r="Q1690">
        <v>0</v>
      </c>
      <c r="R1690">
        <v>0</v>
      </c>
      <c r="S1690">
        <v>0</v>
      </c>
      <c r="T1690">
        <v>0</v>
      </c>
      <c r="U1690">
        <v>0</v>
      </c>
      <c r="V1690">
        <v>0</v>
      </c>
      <c r="Y1690">
        <v>1</v>
      </c>
      <c r="Z1690">
        <v>0</v>
      </c>
      <c r="AA1690">
        <v>0</v>
      </c>
      <c r="AB1690">
        <v>0</v>
      </c>
      <c r="AC1690">
        <v>0</v>
      </c>
      <c r="AI1690">
        <v>0</v>
      </c>
      <c r="AO1690">
        <v>11.5</v>
      </c>
      <c r="AP1690">
        <v>0</v>
      </c>
      <c r="AQ1690">
        <v>835.8</v>
      </c>
      <c r="AR1690">
        <v>77</v>
      </c>
      <c r="AV1690">
        <v>479</v>
      </c>
      <c r="AW1690" t="s">
        <v>517</v>
      </c>
      <c r="AX1690" t="s">
        <v>620</v>
      </c>
    </row>
    <row r="1691" spans="1:50" x14ac:dyDescent="0.45">
      <c r="A1691">
        <v>30247</v>
      </c>
      <c r="B1691">
        <v>1</v>
      </c>
      <c r="C1691">
        <v>82</v>
      </c>
      <c r="D1691">
        <v>0</v>
      </c>
      <c r="E1691">
        <v>0</v>
      </c>
      <c r="F1691">
        <v>0</v>
      </c>
      <c r="G1691">
        <v>0</v>
      </c>
      <c r="H1691">
        <v>3</v>
      </c>
      <c r="I1691">
        <v>0</v>
      </c>
      <c r="J1691">
        <v>0</v>
      </c>
      <c r="K1691">
        <v>15</v>
      </c>
      <c r="L1691">
        <v>0</v>
      </c>
      <c r="M1691">
        <v>0</v>
      </c>
      <c r="N1691">
        <v>0</v>
      </c>
      <c r="O1691">
        <v>0</v>
      </c>
      <c r="P1691">
        <v>0</v>
      </c>
      <c r="Q1691">
        <v>0</v>
      </c>
      <c r="R1691">
        <v>0</v>
      </c>
      <c r="S1691">
        <v>0</v>
      </c>
      <c r="T1691">
        <v>0</v>
      </c>
      <c r="U1691">
        <v>0</v>
      </c>
      <c r="V1691">
        <v>0</v>
      </c>
      <c r="Y1691">
        <v>1</v>
      </c>
      <c r="Z1691">
        <v>0</v>
      </c>
      <c r="AA1691">
        <v>0</v>
      </c>
      <c r="AB1691">
        <v>0</v>
      </c>
      <c r="AC1691">
        <v>0</v>
      </c>
      <c r="AI1691">
        <v>0</v>
      </c>
      <c r="AO1691">
        <v>12.899999999999999</v>
      </c>
      <c r="AP1691">
        <v>0</v>
      </c>
      <c r="AQ1691">
        <v>835.8</v>
      </c>
      <c r="AR1691">
        <v>71</v>
      </c>
      <c r="AV1691">
        <v>411</v>
      </c>
      <c r="AW1691" t="s">
        <v>517</v>
      </c>
      <c r="AX1691" t="s">
        <v>620</v>
      </c>
    </row>
    <row r="1692" spans="1:50" x14ac:dyDescent="0.45">
      <c r="A1692">
        <v>30248</v>
      </c>
      <c r="B1692">
        <v>1</v>
      </c>
      <c r="C1692">
        <v>77</v>
      </c>
      <c r="D1692">
        <v>0</v>
      </c>
      <c r="E1692">
        <v>0</v>
      </c>
      <c r="F1692">
        <v>0</v>
      </c>
      <c r="G1692">
        <v>0</v>
      </c>
      <c r="H1692">
        <v>3</v>
      </c>
      <c r="I1692">
        <v>0</v>
      </c>
      <c r="J1692">
        <v>0</v>
      </c>
      <c r="K1692">
        <v>20</v>
      </c>
      <c r="L1692">
        <v>0</v>
      </c>
      <c r="M1692">
        <v>0</v>
      </c>
      <c r="N1692">
        <v>0</v>
      </c>
      <c r="O1692">
        <v>0</v>
      </c>
      <c r="P1692">
        <v>0</v>
      </c>
      <c r="Q1692">
        <v>0</v>
      </c>
      <c r="R1692">
        <v>0</v>
      </c>
      <c r="S1692">
        <v>0</v>
      </c>
      <c r="T1692">
        <v>0</v>
      </c>
      <c r="U1692">
        <v>0</v>
      </c>
      <c r="V1692">
        <v>0</v>
      </c>
      <c r="Y1692">
        <v>1</v>
      </c>
      <c r="Z1692">
        <v>0</v>
      </c>
      <c r="AA1692">
        <v>0</v>
      </c>
      <c r="AB1692">
        <v>0</v>
      </c>
      <c r="AC1692">
        <v>0</v>
      </c>
      <c r="AI1692">
        <v>0</v>
      </c>
      <c r="AO1692">
        <v>14.3</v>
      </c>
      <c r="AP1692">
        <v>0</v>
      </c>
      <c r="AQ1692">
        <v>835.8</v>
      </c>
      <c r="AR1692">
        <v>67</v>
      </c>
      <c r="AV1692">
        <v>326</v>
      </c>
      <c r="AW1692" t="s">
        <v>517</v>
      </c>
      <c r="AX1692" t="s">
        <v>620</v>
      </c>
    </row>
    <row r="1693" spans="1:50" x14ac:dyDescent="0.45">
      <c r="A1693">
        <v>30249</v>
      </c>
      <c r="B1693">
        <v>1</v>
      </c>
      <c r="C1693">
        <v>72</v>
      </c>
      <c r="D1693">
        <v>0</v>
      </c>
      <c r="E1693">
        <v>0</v>
      </c>
      <c r="F1693">
        <v>0</v>
      </c>
      <c r="G1693">
        <v>0</v>
      </c>
      <c r="H1693">
        <v>3</v>
      </c>
      <c r="I1693">
        <v>0</v>
      </c>
      <c r="J1693">
        <v>0</v>
      </c>
      <c r="K1693">
        <v>25</v>
      </c>
      <c r="L1693">
        <v>0</v>
      </c>
      <c r="M1693">
        <v>0</v>
      </c>
      <c r="N1693">
        <v>0</v>
      </c>
      <c r="O1693">
        <v>0</v>
      </c>
      <c r="P1693">
        <v>0</v>
      </c>
      <c r="Q1693">
        <v>0</v>
      </c>
      <c r="R1693">
        <v>0</v>
      </c>
      <c r="S1693">
        <v>0</v>
      </c>
      <c r="T1693">
        <v>0</v>
      </c>
      <c r="U1693">
        <v>0</v>
      </c>
      <c r="V1693">
        <v>0</v>
      </c>
      <c r="Y1693">
        <v>1</v>
      </c>
      <c r="Z1693">
        <v>0</v>
      </c>
      <c r="AA1693">
        <v>0</v>
      </c>
      <c r="AB1693">
        <v>0</v>
      </c>
      <c r="AC1693">
        <v>0</v>
      </c>
      <c r="AI1693">
        <v>0</v>
      </c>
      <c r="AO1693">
        <v>15.7</v>
      </c>
      <c r="AP1693">
        <v>0</v>
      </c>
      <c r="AQ1693">
        <v>835.8</v>
      </c>
      <c r="AR1693">
        <v>65</v>
      </c>
      <c r="AV1693">
        <v>289</v>
      </c>
      <c r="AW1693" t="s">
        <v>517</v>
      </c>
      <c r="AX1693" t="s">
        <v>620</v>
      </c>
    </row>
    <row r="1694" spans="1:50" x14ac:dyDescent="0.45">
      <c r="A1694">
        <v>30250</v>
      </c>
      <c r="B1694">
        <v>1</v>
      </c>
      <c r="C1694">
        <v>92</v>
      </c>
      <c r="D1694">
        <v>0</v>
      </c>
      <c r="E1694">
        <v>0</v>
      </c>
      <c r="F1694">
        <v>0</v>
      </c>
      <c r="G1694">
        <v>0</v>
      </c>
      <c r="H1694">
        <v>1</v>
      </c>
      <c r="I1694">
        <v>0</v>
      </c>
      <c r="J1694">
        <v>0</v>
      </c>
      <c r="K1694">
        <v>0</v>
      </c>
      <c r="L1694">
        <v>7</v>
      </c>
      <c r="M1694">
        <v>0</v>
      </c>
      <c r="N1694">
        <v>0</v>
      </c>
      <c r="O1694">
        <v>0</v>
      </c>
      <c r="P1694">
        <v>0</v>
      </c>
      <c r="Q1694">
        <v>0</v>
      </c>
      <c r="R1694">
        <v>0</v>
      </c>
      <c r="S1694">
        <v>0</v>
      </c>
      <c r="T1694">
        <v>0</v>
      </c>
      <c r="U1694">
        <v>0</v>
      </c>
      <c r="V1694">
        <v>0</v>
      </c>
      <c r="Y1694">
        <v>1</v>
      </c>
      <c r="Z1694">
        <v>0</v>
      </c>
      <c r="AA1694">
        <v>0</v>
      </c>
      <c r="AB1694">
        <v>0</v>
      </c>
      <c r="AC1694">
        <v>0</v>
      </c>
      <c r="AI1694">
        <v>0</v>
      </c>
      <c r="AO1694">
        <v>9.9</v>
      </c>
      <c r="AP1694">
        <v>0</v>
      </c>
      <c r="AQ1694">
        <v>800.1</v>
      </c>
      <c r="AR1694">
        <v>111</v>
      </c>
      <c r="AT1694">
        <v>1902</v>
      </c>
      <c r="AV1694">
        <v>435</v>
      </c>
      <c r="AW1694" t="s">
        <v>518</v>
      </c>
      <c r="AX1694" t="s">
        <v>621</v>
      </c>
    </row>
    <row r="1695" spans="1:50" x14ac:dyDescent="0.45">
      <c r="A1695">
        <v>30251</v>
      </c>
      <c r="B1695">
        <v>1</v>
      </c>
      <c r="C1695">
        <v>90</v>
      </c>
      <c r="D1695">
        <v>0</v>
      </c>
      <c r="E1695">
        <v>0</v>
      </c>
      <c r="F1695">
        <v>0</v>
      </c>
      <c r="G1695">
        <v>0</v>
      </c>
      <c r="H1695">
        <v>3</v>
      </c>
      <c r="I1695">
        <v>0</v>
      </c>
      <c r="J1695">
        <v>0</v>
      </c>
      <c r="K1695">
        <v>0</v>
      </c>
      <c r="L1695">
        <v>7</v>
      </c>
      <c r="M1695">
        <v>0</v>
      </c>
      <c r="N1695">
        <v>0</v>
      </c>
      <c r="O1695">
        <v>0</v>
      </c>
      <c r="P1695">
        <v>0</v>
      </c>
      <c r="Q1695">
        <v>0</v>
      </c>
      <c r="R1695">
        <v>0</v>
      </c>
      <c r="S1695">
        <v>0</v>
      </c>
      <c r="T1695">
        <v>0</v>
      </c>
      <c r="U1695">
        <v>0</v>
      </c>
      <c r="V1695">
        <v>0</v>
      </c>
      <c r="Y1695">
        <v>1</v>
      </c>
      <c r="Z1695">
        <v>0</v>
      </c>
      <c r="AA1695">
        <v>0</v>
      </c>
      <c r="AB1695">
        <v>0</v>
      </c>
      <c r="AC1695">
        <v>0</v>
      </c>
      <c r="AI1695">
        <v>0</v>
      </c>
      <c r="AO1695">
        <v>15.7</v>
      </c>
      <c r="AP1695">
        <v>0</v>
      </c>
      <c r="AQ1695">
        <v>769.3</v>
      </c>
      <c r="AR1695">
        <v>85</v>
      </c>
      <c r="AT1695">
        <v>2201</v>
      </c>
      <c r="AV1695">
        <v>382</v>
      </c>
      <c r="AW1695" t="s">
        <v>518</v>
      </c>
      <c r="AX1695" t="s">
        <v>621</v>
      </c>
    </row>
    <row r="1696" spans="1:50" x14ac:dyDescent="0.45">
      <c r="A1696">
        <v>30252</v>
      </c>
      <c r="B1696">
        <v>1</v>
      </c>
      <c r="C1696">
        <v>88</v>
      </c>
      <c r="D1696">
        <v>0</v>
      </c>
      <c r="E1696">
        <v>0</v>
      </c>
      <c r="F1696">
        <v>0</v>
      </c>
      <c r="G1696">
        <v>0</v>
      </c>
      <c r="H1696">
        <v>5</v>
      </c>
      <c r="I1696">
        <v>0</v>
      </c>
      <c r="J1696">
        <v>0</v>
      </c>
      <c r="K1696">
        <v>0</v>
      </c>
      <c r="L1696">
        <v>7</v>
      </c>
      <c r="M1696">
        <v>0</v>
      </c>
      <c r="N1696">
        <v>0</v>
      </c>
      <c r="O1696">
        <v>0</v>
      </c>
      <c r="P1696">
        <v>0</v>
      </c>
      <c r="Q1696">
        <v>0</v>
      </c>
      <c r="R1696">
        <v>0</v>
      </c>
      <c r="S1696">
        <v>0</v>
      </c>
      <c r="T1696">
        <v>0</v>
      </c>
      <c r="U1696">
        <v>0</v>
      </c>
      <c r="V1696">
        <v>0</v>
      </c>
      <c r="Y1696">
        <v>1</v>
      </c>
      <c r="Z1696">
        <v>0</v>
      </c>
      <c r="AA1696">
        <v>0</v>
      </c>
      <c r="AB1696">
        <v>0</v>
      </c>
      <c r="AC1696">
        <v>0</v>
      </c>
      <c r="AI1696">
        <v>0</v>
      </c>
      <c r="AO1696">
        <v>21.5</v>
      </c>
      <c r="AP1696">
        <v>0</v>
      </c>
      <c r="AQ1696">
        <v>738.5</v>
      </c>
      <c r="AR1696">
        <v>89</v>
      </c>
      <c r="AT1696">
        <v>1994</v>
      </c>
      <c r="AV1696">
        <v>347</v>
      </c>
      <c r="AW1696" t="s">
        <v>518</v>
      </c>
      <c r="AX1696" t="s">
        <v>621</v>
      </c>
    </row>
    <row r="1697" spans="1:50" x14ac:dyDescent="0.45">
      <c r="A1697">
        <v>30253</v>
      </c>
      <c r="B1697">
        <v>1</v>
      </c>
      <c r="C1697">
        <v>86</v>
      </c>
      <c r="D1697">
        <v>0</v>
      </c>
      <c r="E1697">
        <v>0</v>
      </c>
      <c r="F1697">
        <v>0</v>
      </c>
      <c r="G1697">
        <v>0</v>
      </c>
      <c r="H1697">
        <v>7</v>
      </c>
      <c r="I1697">
        <v>0</v>
      </c>
      <c r="J1697">
        <v>0</v>
      </c>
      <c r="K1697">
        <v>0</v>
      </c>
      <c r="L1697">
        <v>7</v>
      </c>
      <c r="M1697">
        <v>0</v>
      </c>
      <c r="N1697">
        <v>0</v>
      </c>
      <c r="O1697">
        <v>0</v>
      </c>
      <c r="P1697">
        <v>0</v>
      </c>
      <c r="Q1697">
        <v>0</v>
      </c>
      <c r="R1697">
        <v>0</v>
      </c>
      <c r="S1697">
        <v>0</v>
      </c>
      <c r="T1697">
        <v>0</v>
      </c>
      <c r="U1697">
        <v>0</v>
      </c>
      <c r="V1697">
        <v>0</v>
      </c>
      <c r="Y1697">
        <v>1</v>
      </c>
      <c r="Z1697">
        <v>0</v>
      </c>
      <c r="AA1697">
        <v>0</v>
      </c>
      <c r="AB1697">
        <v>0</v>
      </c>
      <c r="AC1697">
        <v>0</v>
      </c>
      <c r="AI1697">
        <v>0</v>
      </c>
      <c r="AO1697">
        <v>27.3</v>
      </c>
      <c r="AP1697">
        <v>0</v>
      </c>
      <c r="AQ1697">
        <v>707.7</v>
      </c>
      <c r="AR1697">
        <v>98</v>
      </c>
      <c r="AT1697">
        <v>1851</v>
      </c>
      <c r="AV1697">
        <v>367</v>
      </c>
      <c r="AW1697" t="s">
        <v>518</v>
      </c>
      <c r="AX1697" t="s">
        <v>621</v>
      </c>
    </row>
    <row r="1698" spans="1:50" x14ac:dyDescent="0.45">
      <c r="A1698">
        <v>30254</v>
      </c>
      <c r="B1698">
        <v>1</v>
      </c>
      <c r="C1698">
        <v>84</v>
      </c>
      <c r="D1698">
        <v>0</v>
      </c>
      <c r="E1698">
        <v>0</v>
      </c>
      <c r="F1698">
        <v>0</v>
      </c>
      <c r="G1698">
        <v>0</v>
      </c>
      <c r="H1698">
        <v>8</v>
      </c>
      <c r="I1698">
        <v>0</v>
      </c>
      <c r="J1698">
        <v>0</v>
      </c>
      <c r="K1698">
        <v>0</v>
      </c>
      <c r="L1698">
        <v>0</v>
      </c>
      <c r="M1698">
        <v>0</v>
      </c>
      <c r="N1698">
        <v>0</v>
      </c>
      <c r="O1698">
        <v>8</v>
      </c>
      <c r="P1698">
        <v>0</v>
      </c>
      <c r="Q1698">
        <v>0</v>
      </c>
      <c r="R1698">
        <v>0</v>
      </c>
      <c r="S1698">
        <v>0</v>
      </c>
      <c r="T1698">
        <v>0</v>
      </c>
      <c r="U1698">
        <v>0</v>
      </c>
      <c r="Y1698">
        <v>0</v>
      </c>
      <c r="Z1698">
        <v>0</v>
      </c>
      <c r="AA1698">
        <v>0</v>
      </c>
      <c r="AB1698">
        <v>0</v>
      </c>
      <c r="AC1698">
        <v>1</v>
      </c>
      <c r="AD1698">
        <v>758.8</v>
      </c>
      <c r="AF1698">
        <v>1</v>
      </c>
      <c r="AG1698">
        <v>0</v>
      </c>
      <c r="AH1698">
        <v>0</v>
      </c>
      <c r="AI1698">
        <v>0</v>
      </c>
      <c r="AO1698">
        <v>24.96</v>
      </c>
      <c r="AP1698">
        <v>0</v>
      </c>
      <c r="AQ1698">
        <v>758.8</v>
      </c>
      <c r="AS1698">
        <v>914</v>
      </c>
      <c r="AT1698">
        <v>1058</v>
      </c>
      <c r="AV1698">
        <v>327</v>
      </c>
      <c r="AW1698" t="s">
        <v>519</v>
      </c>
      <c r="AX1698" t="s">
        <v>622</v>
      </c>
    </row>
    <row r="1699" spans="1:50" x14ac:dyDescent="0.45">
      <c r="A1699">
        <v>30255</v>
      </c>
      <c r="B1699">
        <v>1</v>
      </c>
      <c r="C1699">
        <v>80</v>
      </c>
      <c r="D1699">
        <v>0</v>
      </c>
      <c r="E1699">
        <v>0</v>
      </c>
      <c r="F1699">
        <v>0</v>
      </c>
      <c r="G1699">
        <v>0</v>
      </c>
      <c r="H1699">
        <v>8</v>
      </c>
      <c r="I1699">
        <v>0</v>
      </c>
      <c r="J1699">
        <v>4</v>
      </c>
      <c r="K1699">
        <v>0</v>
      </c>
      <c r="L1699">
        <v>0</v>
      </c>
      <c r="M1699">
        <v>0</v>
      </c>
      <c r="N1699">
        <v>0</v>
      </c>
      <c r="O1699">
        <v>8</v>
      </c>
      <c r="P1699">
        <v>0</v>
      </c>
      <c r="Q1699">
        <v>0</v>
      </c>
      <c r="R1699">
        <v>0</v>
      </c>
      <c r="S1699">
        <v>0</v>
      </c>
      <c r="T1699">
        <v>0</v>
      </c>
      <c r="U1699">
        <v>0</v>
      </c>
      <c r="Y1699">
        <v>0</v>
      </c>
      <c r="Z1699">
        <v>0</v>
      </c>
      <c r="AA1699">
        <v>0</v>
      </c>
      <c r="AB1699">
        <v>0</v>
      </c>
      <c r="AC1699">
        <v>1</v>
      </c>
      <c r="AD1699">
        <v>731.19999999999993</v>
      </c>
      <c r="AF1699">
        <v>1</v>
      </c>
      <c r="AG1699">
        <v>0</v>
      </c>
      <c r="AH1699">
        <v>0</v>
      </c>
      <c r="AI1699">
        <v>0</v>
      </c>
      <c r="AO1699">
        <v>24.96</v>
      </c>
      <c r="AP1699">
        <v>0.66666666666666663</v>
      </c>
      <c r="AQ1699">
        <v>731.19999999999993</v>
      </c>
      <c r="AS1699">
        <v>934</v>
      </c>
      <c r="AT1699">
        <v>1054</v>
      </c>
      <c r="AV1699">
        <v>331</v>
      </c>
      <c r="AW1699" t="s">
        <v>519</v>
      </c>
      <c r="AX1699" t="s">
        <v>622</v>
      </c>
    </row>
    <row r="1700" spans="1:50" x14ac:dyDescent="0.45">
      <c r="A1700">
        <v>30256</v>
      </c>
      <c r="B1700">
        <v>1</v>
      </c>
      <c r="C1700">
        <v>76</v>
      </c>
      <c r="D1700">
        <v>0</v>
      </c>
      <c r="E1700">
        <v>0</v>
      </c>
      <c r="F1700">
        <v>0</v>
      </c>
      <c r="G1700">
        <v>0</v>
      </c>
      <c r="H1700">
        <v>10</v>
      </c>
      <c r="I1700">
        <v>0</v>
      </c>
      <c r="J1700">
        <v>4</v>
      </c>
      <c r="K1700">
        <v>0</v>
      </c>
      <c r="L1700">
        <v>0</v>
      </c>
      <c r="M1700">
        <v>0</v>
      </c>
      <c r="N1700">
        <v>0</v>
      </c>
      <c r="O1700">
        <v>10</v>
      </c>
      <c r="P1700">
        <v>0</v>
      </c>
      <c r="Q1700">
        <v>0</v>
      </c>
      <c r="R1700">
        <v>0</v>
      </c>
      <c r="S1700">
        <v>0</v>
      </c>
      <c r="T1700">
        <v>0</v>
      </c>
      <c r="U1700">
        <v>0</v>
      </c>
      <c r="Y1700">
        <v>0</v>
      </c>
      <c r="Z1700">
        <v>0</v>
      </c>
      <c r="AA1700">
        <v>0</v>
      </c>
      <c r="AB1700">
        <v>0</v>
      </c>
      <c r="AC1700">
        <v>1</v>
      </c>
      <c r="AD1700">
        <v>700.4</v>
      </c>
      <c r="AF1700">
        <v>1</v>
      </c>
      <c r="AG1700">
        <v>0</v>
      </c>
      <c r="AH1700">
        <v>0</v>
      </c>
      <c r="AI1700">
        <v>0</v>
      </c>
      <c r="AO1700">
        <v>31.2</v>
      </c>
      <c r="AP1700">
        <v>0.66666666666666663</v>
      </c>
      <c r="AQ1700">
        <v>700.4</v>
      </c>
      <c r="AS1700">
        <v>966</v>
      </c>
      <c r="AT1700">
        <v>1086</v>
      </c>
      <c r="AV1700">
        <v>338</v>
      </c>
      <c r="AW1700" t="s">
        <v>519</v>
      </c>
      <c r="AX1700" t="s">
        <v>622</v>
      </c>
    </row>
    <row r="1701" spans="1:50" x14ac:dyDescent="0.45">
      <c r="A1701">
        <v>30257</v>
      </c>
      <c r="B1701">
        <v>1</v>
      </c>
      <c r="C1701">
        <v>64.8</v>
      </c>
      <c r="D1701">
        <v>0</v>
      </c>
      <c r="E1701">
        <v>0</v>
      </c>
      <c r="F1701">
        <v>0</v>
      </c>
      <c r="G1701">
        <v>0</v>
      </c>
      <c r="H1701">
        <v>2</v>
      </c>
      <c r="I1701">
        <v>0</v>
      </c>
      <c r="J1701">
        <v>0</v>
      </c>
      <c r="K1701">
        <v>25</v>
      </c>
      <c r="L1701">
        <v>5</v>
      </c>
      <c r="M1701">
        <v>3</v>
      </c>
      <c r="N1701">
        <v>0</v>
      </c>
      <c r="O1701">
        <v>0</v>
      </c>
      <c r="P1701">
        <v>0</v>
      </c>
      <c r="Q1701">
        <v>0</v>
      </c>
      <c r="R1701">
        <v>0</v>
      </c>
      <c r="S1701">
        <v>0</v>
      </c>
      <c r="T1701">
        <v>0.2</v>
      </c>
      <c r="U1701">
        <v>0</v>
      </c>
      <c r="V1701">
        <v>0</v>
      </c>
      <c r="Y1701">
        <v>1</v>
      </c>
      <c r="Z1701">
        <v>0</v>
      </c>
      <c r="AA1701">
        <v>0</v>
      </c>
      <c r="AB1701">
        <v>0</v>
      </c>
      <c r="AC1701">
        <v>0</v>
      </c>
      <c r="AI1701">
        <v>0</v>
      </c>
      <c r="AO1701">
        <v>17.8</v>
      </c>
      <c r="AP1701">
        <v>1.02</v>
      </c>
      <c r="AQ1701">
        <v>840.90000000000009</v>
      </c>
      <c r="AR1701">
        <v>72</v>
      </c>
      <c r="AT1701">
        <v>621</v>
      </c>
      <c r="AW1701" t="s">
        <v>520</v>
      </c>
      <c r="AX1701" t="s">
        <v>623</v>
      </c>
    </row>
    <row r="1702" spans="1:50" x14ac:dyDescent="0.45">
      <c r="A1702">
        <v>30258</v>
      </c>
      <c r="B1702">
        <v>1</v>
      </c>
      <c r="C1702">
        <v>64.7</v>
      </c>
      <c r="D1702">
        <v>0</v>
      </c>
      <c r="E1702">
        <v>0</v>
      </c>
      <c r="F1702">
        <v>0</v>
      </c>
      <c r="G1702">
        <v>0</v>
      </c>
      <c r="H1702">
        <v>2</v>
      </c>
      <c r="I1702">
        <v>0</v>
      </c>
      <c r="J1702">
        <v>0</v>
      </c>
      <c r="K1702">
        <v>25</v>
      </c>
      <c r="L1702">
        <v>5</v>
      </c>
      <c r="M1702">
        <v>3</v>
      </c>
      <c r="N1702">
        <v>0</v>
      </c>
      <c r="O1702">
        <v>0</v>
      </c>
      <c r="P1702">
        <v>0</v>
      </c>
      <c r="Q1702">
        <v>0</v>
      </c>
      <c r="R1702">
        <v>0</v>
      </c>
      <c r="S1702">
        <v>0</v>
      </c>
      <c r="T1702">
        <v>0.3</v>
      </c>
      <c r="U1702">
        <v>0</v>
      </c>
      <c r="V1702">
        <v>0</v>
      </c>
      <c r="Y1702">
        <v>1</v>
      </c>
      <c r="Z1702">
        <v>0</v>
      </c>
      <c r="AA1702">
        <v>0</v>
      </c>
      <c r="AB1702">
        <v>0</v>
      </c>
      <c r="AC1702">
        <v>0</v>
      </c>
      <c r="AI1702">
        <v>0</v>
      </c>
      <c r="AO1702">
        <v>17.8</v>
      </c>
      <c r="AP1702">
        <v>1.03</v>
      </c>
      <c r="AQ1702">
        <v>853.2</v>
      </c>
      <c r="AR1702">
        <v>75</v>
      </c>
      <c r="AT1702">
        <v>682</v>
      </c>
      <c r="AW1702" t="s">
        <v>520</v>
      </c>
      <c r="AX1702" t="s">
        <v>623</v>
      </c>
    </row>
    <row r="1703" spans="1:50" x14ac:dyDescent="0.45">
      <c r="A1703">
        <v>30259</v>
      </c>
      <c r="B1703">
        <v>1</v>
      </c>
      <c r="C1703">
        <v>64.400000000000006</v>
      </c>
      <c r="D1703">
        <v>0</v>
      </c>
      <c r="E1703">
        <v>0</v>
      </c>
      <c r="F1703">
        <v>0</v>
      </c>
      <c r="G1703">
        <v>0</v>
      </c>
      <c r="H1703">
        <v>2</v>
      </c>
      <c r="I1703">
        <v>0</v>
      </c>
      <c r="J1703">
        <v>0</v>
      </c>
      <c r="K1703">
        <v>25</v>
      </c>
      <c r="L1703">
        <v>5</v>
      </c>
      <c r="M1703">
        <v>3</v>
      </c>
      <c r="N1703">
        <v>0</v>
      </c>
      <c r="O1703">
        <v>0</v>
      </c>
      <c r="P1703">
        <v>0</v>
      </c>
      <c r="Q1703">
        <v>0</v>
      </c>
      <c r="R1703">
        <v>0</v>
      </c>
      <c r="S1703">
        <v>0</v>
      </c>
      <c r="T1703">
        <v>0.6</v>
      </c>
      <c r="U1703">
        <v>0</v>
      </c>
      <c r="V1703">
        <v>0</v>
      </c>
      <c r="Y1703">
        <v>1</v>
      </c>
      <c r="Z1703">
        <v>0</v>
      </c>
      <c r="AA1703">
        <v>0</v>
      </c>
      <c r="AB1703">
        <v>0</v>
      </c>
      <c r="AC1703">
        <v>0</v>
      </c>
      <c r="AI1703">
        <v>0</v>
      </c>
      <c r="AO1703">
        <v>17.8</v>
      </c>
      <c r="AP1703">
        <v>1.06</v>
      </c>
      <c r="AQ1703">
        <v>890.1</v>
      </c>
      <c r="AR1703">
        <v>74</v>
      </c>
      <c r="AT1703">
        <v>610</v>
      </c>
      <c r="AW1703" t="s">
        <v>520</v>
      </c>
      <c r="AX1703" t="s">
        <v>623</v>
      </c>
    </row>
    <row r="1704" spans="1:50" x14ac:dyDescent="0.45">
      <c r="A1704">
        <v>30260</v>
      </c>
      <c r="B1704">
        <v>1</v>
      </c>
      <c r="C1704">
        <v>81</v>
      </c>
      <c r="D1704">
        <v>3</v>
      </c>
      <c r="E1704">
        <v>0</v>
      </c>
      <c r="F1704">
        <v>0</v>
      </c>
      <c r="G1704">
        <v>0</v>
      </c>
      <c r="H1704">
        <v>0</v>
      </c>
      <c r="I1704">
        <v>0</v>
      </c>
      <c r="J1704">
        <v>0</v>
      </c>
      <c r="K1704">
        <v>0</v>
      </c>
      <c r="L1704">
        <v>15</v>
      </c>
      <c r="M1704">
        <v>0</v>
      </c>
      <c r="N1704">
        <v>0</v>
      </c>
      <c r="O1704">
        <v>0</v>
      </c>
      <c r="P1704">
        <v>0</v>
      </c>
      <c r="Q1704">
        <v>0</v>
      </c>
      <c r="R1704">
        <v>0</v>
      </c>
      <c r="S1704">
        <v>0</v>
      </c>
      <c r="T1704">
        <v>1</v>
      </c>
      <c r="U1704">
        <v>0</v>
      </c>
      <c r="Y1704">
        <v>0</v>
      </c>
      <c r="Z1704">
        <v>0</v>
      </c>
      <c r="AA1704">
        <v>0</v>
      </c>
      <c r="AB1704">
        <v>0</v>
      </c>
      <c r="AC1704">
        <v>1</v>
      </c>
      <c r="AD1704">
        <v>868.8</v>
      </c>
      <c r="AF1704">
        <v>0</v>
      </c>
      <c r="AG1704">
        <v>1</v>
      </c>
      <c r="AH1704">
        <v>0</v>
      </c>
      <c r="AI1704">
        <v>0</v>
      </c>
      <c r="AO1704">
        <v>12</v>
      </c>
      <c r="AP1704">
        <v>3.1</v>
      </c>
      <c r="AQ1704">
        <v>868.8</v>
      </c>
      <c r="AS1704">
        <v>1203</v>
      </c>
      <c r="AV1704">
        <v>376</v>
      </c>
      <c r="AW1704" t="s">
        <v>521</v>
      </c>
      <c r="AX1704" t="s">
        <v>561</v>
      </c>
    </row>
    <row r="1705" spans="1:50" x14ac:dyDescent="0.45">
      <c r="A1705">
        <v>30261</v>
      </c>
      <c r="B1705">
        <v>1</v>
      </c>
      <c r="C1705">
        <v>63</v>
      </c>
      <c r="D1705">
        <v>0</v>
      </c>
      <c r="E1705">
        <v>0</v>
      </c>
      <c r="F1705">
        <v>0</v>
      </c>
      <c r="G1705">
        <v>0</v>
      </c>
      <c r="H1705">
        <v>0</v>
      </c>
      <c r="I1705">
        <v>0</v>
      </c>
      <c r="J1705">
        <v>6</v>
      </c>
      <c r="K1705">
        <v>29</v>
      </c>
      <c r="L1705">
        <v>2</v>
      </c>
      <c r="M1705">
        <v>0</v>
      </c>
      <c r="N1705">
        <v>0</v>
      </c>
      <c r="O1705">
        <v>0</v>
      </c>
      <c r="P1705">
        <v>0</v>
      </c>
      <c r="Q1705">
        <v>0</v>
      </c>
      <c r="R1705">
        <v>0</v>
      </c>
      <c r="S1705">
        <v>0</v>
      </c>
      <c r="T1705">
        <v>0</v>
      </c>
      <c r="U1705">
        <v>0</v>
      </c>
      <c r="Y1705">
        <v>0</v>
      </c>
      <c r="Z1705">
        <v>0</v>
      </c>
      <c r="AA1705">
        <v>0</v>
      </c>
      <c r="AB1705">
        <v>0</v>
      </c>
      <c r="AC1705">
        <v>1</v>
      </c>
      <c r="AD1705">
        <v>821.6</v>
      </c>
      <c r="AF1705">
        <v>1</v>
      </c>
      <c r="AG1705">
        <v>0</v>
      </c>
      <c r="AH1705">
        <v>0</v>
      </c>
      <c r="AI1705">
        <v>0</v>
      </c>
      <c r="AO1705">
        <v>10.120000000000001</v>
      </c>
      <c r="AP1705">
        <v>1</v>
      </c>
      <c r="AQ1705">
        <v>821.6</v>
      </c>
      <c r="AR1705">
        <v>79</v>
      </c>
      <c r="AV1705">
        <v>297</v>
      </c>
      <c r="AW1705" t="s">
        <v>522</v>
      </c>
      <c r="AX1705" t="s">
        <v>624</v>
      </c>
    </row>
    <row r="1706" spans="1:50" x14ac:dyDescent="0.45">
      <c r="A1706">
        <v>30262</v>
      </c>
      <c r="B1706">
        <v>1</v>
      </c>
      <c r="C1706">
        <v>85</v>
      </c>
      <c r="D1706">
        <v>0</v>
      </c>
      <c r="E1706">
        <v>0</v>
      </c>
      <c r="F1706">
        <v>0</v>
      </c>
      <c r="G1706">
        <v>0</v>
      </c>
      <c r="H1706">
        <v>0</v>
      </c>
      <c r="I1706">
        <v>0</v>
      </c>
      <c r="J1706">
        <v>0</v>
      </c>
      <c r="K1706">
        <v>3</v>
      </c>
      <c r="L1706">
        <v>12</v>
      </c>
      <c r="M1706">
        <v>0</v>
      </c>
      <c r="N1706">
        <v>0</v>
      </c>
      <c r="O1706">
        <v>0</v>
      </c>
      <c r="P1706">
        <v>0</v>
      </c>
      <c r="Q1706">
        <v>0</v>
      </c>
      <c r="R1706">
        <v>0</v>
      </c>
      <c r="S1706">
        <v>0</v>
      </c>
      <c r="T1706">
        <v>0</v>
      </c>
      <c r="U1706">
        <v>0</v>
      </c>
      <c r="Y1706">
        <v>0</v>
      </c>
      <c r="Z1706">
        <v>0</v>
      </c>
      <c r="AA1706">
        <v>0</v>
      </c>
      <c r="AB1706">
        <v>0</v>
      </c>
      <c r="AC1706">
        <v>1</v>
      </c>
      <c r="AD1706">
        <v>768</v>
      </c>
      <c r="AF1706">
        <v>1</v>
      </c>
      <c r="AG1706">
        <v>0</v>
      </c>
      <c r="AH1706">
        <v>0</v>
      </c>
      <c r="AI1706">
        <v>0</v>
      </c>
      <c r="AO1706">
        <v>12.84</v>
      </c>
      <c r="AP1706">
        <v>0</v>
      </c>
      <c r="AQ1706">
        <v>768</v>
      </c>
      <c r="AR1706">
        <v>105</v>
      </c>
      <c r="AS1706">
        <v>449</v>
      </c>
      <c r="AT1706">
        <v>747</v>
      </c>
      <c r="AW1706" t="s">
        <v>523</v>
      </c>
      <c r="AX1706" t="s">
        <v>625</v>
      </c>
    </row>
    <row r="1707" spans="1:50" x14ac:dyDescent="0.45">
      <c r="A1707">
        <v>30263</v>
      </c>
      <c r="B1707">
        <v>1</v>
      </c>
      <c r="C1707">
        <v>52.9</v>
      </c>
      <c r="D1707">
        <v>0</v>
      </c>
      <c r="E1707">
        <v>0</v>
      </c>
      <c r="F1707">
        <v>0</v>
      </c>
      <c r="G1707">
        <v>0</v>
      </c>
      <c r="H1707">
        <v>0</v>
      </c>
      <c r="I1707">
        <v>0</v>
      </c>
      <c r="J1707">
        <v>7</v>
      </c>
      <c r="K1707">
        <v>35</v>
      </c>
      <c r="L1707">
        <v>0</v>
      </c>
      <c r="M1707">
        <v>0</v>
      </c>
      <c r="N1707">
        <v>0</v>
      </c>
      <c r="O1707">
        <v>5</v>
      </c>
      <c r="P1707">
        <v>0</v>
      </c>
      <c r="Q1707">
        <v>0</v>
      </c>
      <c r="R1707">
        <v>0</v>
      </c>
      <c r="S1707">
        <v>0</v>
      </c>
      <c r="T1707">
        <v>0.1</v>
      </c>
      <c r="U1707">
        <v>0</v>
      </c>
      <c r="Y1707">
        <v>0</v>
      </c>
      <c r="Z1707">
        <v>0</v>
      </c>
      <c r="AA1707">
        <v>0</v>
      </c>
      <c r="AB1707">
        <v>0</v>
      </c>
      <c r="AC1707">
        <v>1</v>
      </c>
      <c r="AD1707">
        <v>846</v>
      </c>
      <c r="AF1707">
        <v>1</v>
      </c>
      <c r="AG1707">
        <v>0</v>
      </c>
      <c r="AH1707">
        <v>0</v>
      </c>
      <c r="AI1707">
        <v>0</v>
      </c>
      <c r="AO1707">
        <v>10.9</v>
      </c>
      <c r="AP1707">
        <v>1.1766666666666667</v>
      </c>
      <c r="AQ1707">
        <v>846</v>
      </c>
      <c r="AS1707">
        <v>530</v>
      </c>
      <c r="AT1707">
        <v>590</v>
      </c>
      <c r="AW1707" t="s">
        <v>524</v>
      </c>
      <c r="AX1707" t="s">
        <v>626</v>
      </c>
    </row>
    <row r="1708" spans="1:50" x14ac:dyDescent="0.45">
      <c r="A1708">
        <v>30264</v>
      </c>
      <c r="B1708">
        <v>1</v>
      </c>
      <c r="C1708">
        <v>52.5</v>
      </c>
      <c r="D1708">
        <v>0</v>
      </c>
      <c r="E1708">
        <v>0</v>
      </c>
      <c r="F1708">
        <v>0</v>
      </c>
      <c r="G1708">
        <v>0</v>
      </c>
      <c r="H1708">
        <v>0</v>
      </c>
      <c r="I1708">
        <v>0</v>
      </c>
      <c r="J1708">
        <v>7</v>
      </c>
      <c r="K1708">
        <v>35</v>
      </c>
      <c r="L1708">
        <v>0</v>
      </c>
      <c r="M1708">
        <v>0</v>
      </c>
      <c r="N1708">
        <v>0</v>
      </c>
      <c r="O1708">
        <v>5</v>
      </c>
      <c r="P1708">
        <v>0</v>
      </c>
      <c r="Q1708">
        <v>0</v>
      </c>
      <c r="R1708">
        <v>0</v>
      </c>
      <c r="S1708">
        <v>0</v>
      </c>
      <c r="T1708">
        <v>0.5</v>
      </c>
      <c r="U1708">
        <v>0</v>
      </c>
      <c r="Y1708">
        <v>0</v>
      </c>
      <c r="Z1708">
        <v>0</v>
      </c>
      <c r="AA1708">
        <v>0</v>
      </c>
      <c r="AB1708">
        <v>0</v>
      </c>
      <c r="AC1708">
        <v>1</v>
      </c>
      <c r="AD1708">
        <v>895.2</v>
      </c>
      <c r="AF1708">
        <v>1</v>
      </c>
      <c r="AG1708">
        <v>0</v>
      </c>
      <c r="AH1708">
        <v>0</v>
      </c>
      <c r="AI1708">
        <v>0</v>
      </c>
      <c r="AO1708">
        <v>10.9</v>
      </c>
      <c r="AP1708">
        <v>1.2166666666666668</v>
      </c>
      <c r="AQ1708">
        <v>895.2</v>
      </c>
      <c r="AS1708">
        <v>937</v>
      </c>
      <c r="AT1708">
        <v>1014</v>
      </c>
      <c r="AW1708" t="s">
        <v>524</v>
      </c>
      <c r="AX1708" t="s">
        <v>626</v>
      </c>
    </row>
    <row r="1709" spans="1:50" x14ac:dyDescent="0.45">
      <c r="A1709">
        <v>30265</v>
      </c>
      <c r="B1709">
        <v>1</v>
      </c>
      <c r="C1709">
        <v>52.3</v>
      </c>
      <c r="D1709">
        <v>0</v>
      </c>
      <c r="E1709">
        <v>0</v>
      </c>
      <c r="F1709">
        <v>0</v>
      </c>
      <c r="G1709">
        <v>0</v>
      </c>
      <c r="H1709">
        <v>0</v>
      </c>
      <c r="I1709">
        <v>0</v>
      </c>
      <c r="J1709">
        <v>7</v>
      </c>
      <c r="K1709">
        <v>35</v>
      </c>
      <c r="L1709">
        <v>0</v>
      </c>
      <c r="M1709">
        <v>0</v>
      </c>
      <c r="N1709">
        <v>0</v>
      </c>
      <c r="O1709">
        <v>5</v>
      </c>
      <c r="P1709">
        <v>0</v>
      </c>
      <c r="Q1709">
        <v>0</v>
      </c>
      <c r="R1709">
        <v>0</v>
      </c>
      <c r="S1709">
        <v>0</v>
      </c>
      <c r="T1709">
        <v>0.7</v>
      </c>
      <c r="U1709">
        <v>0</v>
      </c>
      <c r="Y1709">
        <v>0</v>
      </c>
      <c r="Z1709">
        <v>0</v>
      </c>
      <c r="AA1709">
        <v>0</v>
      </c>
      <c r="AB1709">
        <v>0</v>
      </c>
      <c r="AC1709">
        <v>1</v>
      </c>
      <c r="AD1709">
        <v>919.80000000000007</v>
      </c>
      <c r="AF1709">
        <v>1</v>
      </c>
      <c r="AG1709">
        <v>0</v>
      </c>
      <c r="AH1709">
        <v>0</v>
      </c>
      <c r="AI1709">
        <v>0</v>
      </c>
      <c r="AO1709">
        <v>10.9</v>
      </c>
      <c r="AP1709">
        <v>1.2366666666666668</v>
      </c>
      <c r="AQ1709">
        <v>919.80000000000007</v>
      </c>
      <c r="AS1709">
        <v>1081</v>
      </c>
      <c r="AT1709">
        <v>1097</v>
      </c>
      <c r="AW1709" t="s">
        <v>524</v>
      </c>
      <c r="AX1709" t="s">
        <v>626</v>
      </c>
    </row>
    <row r="1710" spans="1:50" x14ac:dyDescent="0.45">
      <c r="A1710">
        <v>30266</v>
      </c>
      <c r="B1710">
        <v>1</v>
      </c>
      <c r="C1710">
        <v>65</v>
      </c>
      <c r="D1710">
        <v>0</v>
      </c>
      <c r="E1710">
        <v>0</v>
      </c>
      <c r="F1710">
        <v>0</v>
      </c>
      <c r="G1710">
        <v>0</v>
      </c>
      <c r="H1710">
        <v>0</v>
      </c>
      <c r="I1710">
        <v>0</v>
      </c>
      <c r="J1710">
        <v>30</v>
      </c>
      <c r="K1710">
        <v>0</v>
      </c>
      <c r="L1710">
        <v>5</v>
      </c>
      <c r="M1710">
        <v>0</v>
      </c>
      <c r="N1710">
        <v>0</v>
      </c>
      <c r="O1710">
        <v>0</v>
      </c>
      <c r="P1710">
        <v>0</v>
      </c>
      <c r="Q1710">
        <v>0</v>
      </c>
      <c r="R1710">
        <v>0</v>
      </c>
      <c r="S1710">
        <v>0</v>
      </c>
      <c r="T1710">
        <v>0</v>
      </c>
      <c r="U1710">
        <v>0</v>
      </c>
      <c r="Y1710">
        <v>0</v>
      </c>
      <c r="Z1710">
        <v>0</v>
      </c>
      <c r="AA1710">
        <v>0</v>
      </c>
      <c r="AB1710">
        <v>0</v>
      </c>
      <c r="AC1710">
        <v>1</v>
      </c>
      <c r="AD1710">
        <v>627.5</v>
      </c>
      <c r="AF1710">
        <v>1</v>
      </c>
      <c r="AG1710">
        <v>0</v>
      </c>
      <c r="AH1710">
        <v>0</v>
      </c>
      <c r="AI1710">
        <v>0</v>
      </c>
      <c r="AO1710">
        <v>5</v>
      </c>
      <c r="AP1710">
        <v>5</v>
      </c>
      <c r="AQ1710">
        <v>627.5</v>
      </c>
      <c r="AR1710">
        <v>75</v>
      </c>
      <c r="AS1710">
        <v>383</v>
      </c>
      <c r="AT1710">
        <v>762</v>
      </c>
      <c r="AW1710" t="s">
        <v>301</v>
      </c>
      <c r="AX1710" t="s">
        <v>627</v>
      </c>
    </row>
    <row r="1711" spans="1:50" x14ac:dyDescent="0.45">
      <c r="A1711">
        <v>30267</v>
      </c>
      <c r="B1711">
        <v>1</v>
      </c>
      <c r="C1711">
        <v>64</v>
      </c>
      <c r="D1711">
        <v>0</v>
      </c>
      <c r="E1711">
        <v>0</v>
      </c>
      <c r="F1711">
        <v>0</v>
      </c>
      <c r="G1711">
        <v>0</v>
      </c>
      <c r="H1711">
        <v>0</v>
      </c>
      <c r="I1711">
        <v>0</v>
      </c>
      <c r="J1711">
        <v>30</v>
      </c>
      <c r="K1711">
        <v>0</v>
      </c>
      <c r="L1711">
        <v>6</v>
      </c>
      <c r="M1711">
        <v>0</v>
      </c>
      <c r="N1711">
        <v>0</v>
      </c>
      <c r="O1711">
        <v>0</v>
      </c>
      <c r="P1711">
        <v>0</v>
      </c>
      <c r="Q1711">
        <v>0</v>
      </c>
      <c r="R1711">
        <v>0</v>
      </c>
      <c r="S1711">
        <v>0</v>
      </c>
      <c r="T1711">
        <v>0</v>
      </c>
      <c r="U1711">
        <v>0</v>
      </c>
      <c r="Y1711">
        <v>0</v>
      </c>
      <c r="Z1711">
        <v>0</v>
      </c>
      <c r="AA1711">
        <v>0</v>
      </c>
      <c r="AB1711">
        <v>0</v>
      </c>
      <c r="AC1711">
        <v>1</v>
      </c>
      <c r="AD1711">
        <v>618</v>
      </c>
      <c r="AF1711">
        <v>1</v>
      </c>
      <c r="AG1711">
        <v>0</v>
      </c>
      <c r="AH1711">
        <v>0</v>
      </c>
      <c r="AI1711">
        <v>0</v>
      </c>
      <c r="AO1711">
        <v>6</v>
      </c>
      <c r="AP1711">
        <v>5</v>
      </c>
      <c r="AQ1711">
        <v>618</v>
      </c>
      <c r="AR1711">
        <v>63</v>
      </c>
      <c r="AS1711">
        <v>459</v>
      </c>
      <c r="AT1711">
        <v>723</v>
      </c>
      <c r="AW1711" t="s">
        <v>301</v>
      </c>
      <c r="AX1711" t="s">
        <v>627</v>
      </c>
    </row>
    <row r="1712" spans="1:50" x14ac:dyDescent="0.45">
      <c r="A1712">
        <v>30268</v>
      </c>
      <c r="B1712">
        <v>1</v>
      </c>
      <c r="C1712">
        <v>63</v>
      </c>
      <c r="D1712">
        <v>0</v>
      </c>
      <c r="E1712">
        <v>0</v>
      </c>
      <c r="F1712">
        <v>0</v>
      </c>
      <c r="G1712">
        <v>0</v>
      </c>
      <c r="H1712">
        <v>0</v>
      </c>
      <c r="I1712">
        <v>0</v>
      </c>
      <c r="J1712">
        <v>30</v>
      </c>
      <c r="K1712">
        <v>0</v>
      </c>
      <c r="L1712">
        <v>7</v>
      </c>
      <c r="M1712">
        <v>0</v>
      </c>
      <c r="N1712">
        <v>0</v>
      </c>
      <c r="O1712">
        <v>0</v>
      </c>
      <c r="P1712">
        <v>0</v>
      </c>
      <c r="Q1712">
        <v>0</v>
      </c>
      <c r="R1712">
        <v>0</v>
      </c>
      <c r="S1712">
        <v>0</v>
      </c>
      <c r="T1712">
        <v>0</v>
      </c>
      <c r="U1712">
        <v>0</v>
      </c>
      <c r="Y1712">
        <v>0</v>
      </c>
      <c r="Z1712">
        <v>0</v>
      </c>
      <c r="AA1712">
        <v>0</v>
      </c>
      <c r="AB1712">
        <v>0</v>
      </c>
      <c r="AC1712">
        <v>1</v>
      </c>
      <c r="AD1712">
        <v>608.5</v>
      </c>
      <c r="AF1712">
        <v>1</v>
      </c>
      <c r="AG1712">
        <v>0</v>
      </c>
      <c r="AH1712">
        <v>0</v>
      </c>
      <c r="AI1712">
        <v>0</v>
      </c>
      <c r="AO1712">
        <v>7</v>
      </c>
      <c r="AP1712">
        <v>5</v>
      </c>
      <c r="AQ1712">
        <v>608.5</v>
      </c>
      <c r="AR1712">
        <v>66</v>
      </c>
      <c r="AS1712">
        <v>674</v>
      </c>
      <c r="AT1712">
        <v>784</v>
      </c>
      <c r="AW1712" t="s">
        <v>301</v>
      </c>
      <c r="AX1712" t="s">
        <v>627</v>
      </c>
    </row>
    <row r="1713" spans="1:50" x14ac:dyDescent="0.45">
      <c r="A1713">
        <v>30269</v>
      </c>
      <c r="B1713">
        <v>1</v>
      </c>
      <c r="C1713">
        <v>59.454900000000002</v>
      </c>
      <c r="D1713">
        <v>0</v>
      </c>
      <c r="E1713">
        <v>0</v>
      </c>
      <c r="F1713">
        <v>0</v>
      </c>
      <c r="G1713">
        <v>0</v>
      </c>
      <c r="H1713">
        <v>0</v>
      </c>
      <c r="I1713">
        <v>0</v>
      </c>
      <c r="J1713">
        <v>0</v>
      </c>
      <c r="K1713">
        <v>40.545099999999998</v>
      </c>
      <c r="L1713">
        <v>0</v>
      </c>
      <c r="M1713">
        <v>0</v>
      </c>
      <c r="N1713">
        <v>0</v>
      </c>
      <c r="O1713">
        <v>0</v>
      </c>
      <c r="P1713">
        <v>0</v>
      </c>
      <c r="Q1713">
        <v>0</v>
      </c>
      <c r="R1713">
        <v>0</v>
      </c>
      <c r="S1713">
        <v>0</v>
      </c>
      <c r="T1713">
        <v>0</v>
      </c>
      <c r="U1713">
        <v>0</v>
      </c>
      <c r="V1713">
        <v>0</v>
      </c>
      <c r="Y1713">
        <v>1</v>
      </c>
      <c r="Z1713">
        <v>0</v>
      </c>
      <c r="AA1713">
        <v>0</v>
      </c>
      <c r="AB1713">
        <v>0</v>
      </c>
      <c r="AC1713">
        <v>0</v>
      </c>
      <c r="AI1713">
        <v>0</v>
      </c>
      <c r="AO1713">
        <v>11.352624377889663</v>
      </c>
      <c r="AP1713">
        <v>0</v>
      </c>
      <c r="AQ1713">
        <v>882</v>
      </c>
      <c r="AR1713">
        <v>75</v>
      </c>
      <c r="AS1713">
        <v>447</v>
      </c>
      <c r="AV1713">
        <v>227</v>
      </c>
      <c r="AW1713" t="s">
        <v>525</v>
      </c>
      <c r="AX1713" t="s">
        <v>628</v>
      </c>
    </row>
    <row r="1714" spans="1:50" x14ac:dyDescent="0.45">
      <c r="A1714">
        <v>30270</v>
      </c>
      <c r="B1714">
        <v>1</v>
      </c>
      <c r="C1714">
        <v>56.929099999999998</v>
      </c>
      <c r="D1714">
        <v>0</v>
      </c>
      <c r="E1714">
        <v>0</v>
      </c>
      <c r="F1714">
        <v>0</v>
      </c>
      <c r="G1714">
        <v>0</v>
      </c>
      <c r="H1714">
        <v>0</v>
      </c>
      <c r="I1714">
        <v>0</v>
      </c>
      <c r="J1714">
        <v>0</v>
      </c>
      <c r="K1714">
        <v>39.901000000000003</v>
      </c>
      <c r="L1714">
        <v>3.1699000000000002</v>
      </c>
      <c r="M1714">
        <v>0</v>
      </c>
      <c r="N1714">
        <v>0</v>
      </c>
      <c r="O1714">
        <v>0</v>
      </c>
      <c r="P1714">
        <v>0</v>
      </c>
      <c r="Q1714">
        <v>0</v>
      </c>
      <c r="R1714">
        <v>0</v>
      </c>
      <c r="S1714">
        <v>0</v>
      </c>
      <c r="T1714">
        <v>0</v>
      </c>
      <c r="U1714">
        <v>0</v>
      </c>
      <c r="V1714">
        <v>0</v>
      </c>
      <c r="Y1714">
        <v>1</v>
      </c>
      <c r="Z1714">
        <v>0</v>
      </c>
      <c r="AA1714">
        <v>0</v>
      </c>
      <c r="AB1714">
        <v>0</v>
      </c>
      <c r="AC1714">
        <v>0</v>
      </c>
      <c r="AI1714">
        <v>0</v>
      </c>
      <c r="AO1714">
        <v>14.342152046147781</v>
      </c>
      <c r="AP1714">
        <v>0</v>
      </c>
      <c r="AQ1714">
        <v>851.88629097831506</v>
      </c>
      <c r="AR1714">
        <v>67</v>
      </c>
      <c r="AS1714">
        <v>535</v>
      </c>
      <c r="AV1714">
        <v>189</v>
      </c>
      <c r="AW1714" t="s">
        <v>525</v>
      </c>
      <c r="AX1714" t="s">
        <v>628</v>
      </c>
    </row>
    <row r="1715" spans="1:50" x14ac:dyDescent="0.45">
      <c r="A1715">
        <v>30271</v>
      </c>
      <c r="B1715">
        <v>1</v>
      </c>
      <c r="C1715">
        <v>54.482300000000002</v>
      </c>
      <c r="D1715">
        <v>0</v>
      </c>
      <c r="E1715">
        <v>0</v>
      </c>
      <c r="F1715">
        <v>0</v>
      </c>
      <c r="G1715">
        <v>0</v>
      </c>
      <c r="H1715">
        <v>0</v>
      </c>
      <c r="I1715">
        <v>0</v>
      </c>
      <c r="J1715">
        <v>0</v>
      </c>
      <c r="K1715">
        <v>39.277099999999997</v>
      </c>
      <c r="L1715">
        <v>6.2405999999999997</v>
      </c>
      <c r="M1715">
        <v>0</v>
      </c>
      <c r="N1715">
        <v>0</v>
      </c>
      <c r="O1715">
        <v>0</v>
      </c>
      <c r="P1715">
        <v>0</v>
      </c>
      <c r="Q1715">
        <v>0</v>
      </c>
      <c r="R1715">
        <v>0</v>
      </c>
      <c r="S1715">
        <v>0</v>
      </c>
      <c r="T1715">
        <v>0</v>
      </c>
      <c r="U1715">
        <v>0</v>
      </c>
      <c r="V1715">
        <v>0</v>
      </c>
      <c r="Y1715">
        <v>1</v>
      </c>
      <c r="Z1715">
        <v>0</v>
      </c>
      <c r="AA1715">
        <v>0</v>
      </c>
      <c r="AB1715">
        <v>0</v>
      </c>
      <c r="AC1715">
        <v>0</v>
      </c>
      <c r="AI1715">
        <v>0</v>
      </c>
      <c r="AO1715">
        <v>17.238187542986623</v>
      </c>
      <c r="AP1715">
        <v>0</v>
      </c>
      <c r="AQ1715">
        <v>822.71433475451124</v>
      </c>
      <c r="AR1715">
        <v>64</v>
      </c>
      <c r="AS1715">
        <v>621</v>
      </c>
      <c r="AV1715">
        <v>211</v>
      </c>
      <c r="AW1715" t="s">
        <v>525</v>
      </c>
      <c r="AX1715" t="s">
        <v>628</v>
      </c>
    </row>
    <row r="1716" spans="1:50" x14ac:dyDescent="0.45">
      <c r="A1716">
        <v>30272</v>
      </c>
      <c r="B1716">
        <v>1</v>
      </c>
      <c r="C1716">
        <v>52.110799999999998</v>
      </c>
      <c r="D1716">
        <v>0</v>
      </c>
      <c r="E1716">
        <v>0</v>
      </c>
      <c r="F1716">
        <v>0</v>
      </c>
      <c r="G1716">
        <v>0</v>
      </c>
      <c r="H1716">
        <v>0</v>
      </c>
      <c r="I1716">
        <v>0</v>
      </c>
      <c r="J1716">
        <v>0</v>
      </c>
      <c r="K1716">
        <v>38.672400000000003</v>
      </c>
      <c r="L1716">
        <v>9.2167999999999992</v>
      </c>
      <c r="M1716">
        <v>0</v>
      </c>
      <c r="N1716">
        <v>0</v>
      </c>
      <c r="O1716">
        <v>0</v>
      </c>
      <c r="P1716">
        <v>0</v>
      </c>
      <c r="Q1716">
        <v>0</v>
      </c>
      <c r="R1716">
        <v>0</v>
      </c>
      <c r="S1716">
        <v>0</v>
      </c>
      <c r="T1716">
        <v>0</v>
      </c>
      <c r="U1716">
        <v>0</v>
      </c>
      <c r="V1716">
        <v>0</v>
      </c>
      <c r="Y1716">
        <v>1</v>
      </c>
      <c r="Z1716">
        <v>0</v>
      </c>
      <c r="AA1716">
        <v>0</v>
      </c>
      <c r="AB1716">
        <v>0</v>
      </c>
      <c r="AC1716">
        <v>0</v>
      </c>
      <c r="AI1716">
        <v>0</v>
      </c>
      <c r="AO1716">
        <v>20.045049049254644</v>
      </c>
      <c r="AP1716">
        <v>0</v>
      </c>
      <c r="AQ1716">
        <v>794.44063400860944</v>
      </c>
      <c r="AR1716">
        <v>56</v>
      </c>
      <c r="AS1716">
        <v>634</v>
      </c>
      <c r="AV1716">
        <v>218</v>
      </c>
      <c r="AW1716" t="s">
        <v>525</v>
      </c>
      <c r="AX1716" t="s">
        <v>628</v>
      </c>
    </row>
    <row r="1717" spans="1:50" x14ac:dyDescent="0.45">
      <c r="A1717">
        <v>30273</v>
      </c>
      <c r="B1717">
        <v>1</v>
      </c>
      <c r="C1717">
        <v>49.811300000000003</v>
      </c>
      <c r="D1717">
        <v>0</v>
      </c>
      <c r="E1717">
        <v>0</v>
      </c>
      <c r="F1717">
        <v>0</v>
      </c>
      <c r="G1717">
        <v>0</v>
      </c>
      <c r="H1717">
        <v>0</v>
      </c>
      <c r="I1717">
        <v>0</v>
      </c>
      <c r="J1717">
        <v>0</v>
      </c>
      <c r="K1717">
        <v>38.085999999999999</v>
      </c>
      <c r="L1717">
        <v>12.1027</v>
      </c>
      <c r="M1717">
        <v>0</v>
      </c>
      <c r="N1717">
        <v>0</v>
      </c>
      <c r="O1717">
        <v>0</v>
      </c>
      <c r="P1717">
        <v>0</v>
      </c>
      <c r="Q1717">
        <v>0</v>
      </c>
      <c r="R1717">
        <v>0</v>
      </c>
      <c r="S1717">
        <v>0</v>
      </c>
      <c r="T1717">
        <v>0</v>
      </c>
      <c r="U1717">
        <v>0</v>
      </c>
      <c r="V1717">
        <v>0</v>
      </c>
      <c r="Y1717">
        <v>1</v>
      </c>
      <c r="Z1717">
        <v>0</v>
      </c>
      <c r="AA1717">
        <v>0</v>
      </c>
      <c r="AB1717">
        <v>0</v>
      </c>
      <c r="AC1717">
        <v>0</v>
      </c>
      <c r="AI1717">
        <v>0</v>
      </c>
      <c r="AO1717">
        <v>22.766792849266956</v>
      </c>
      <c r="AP1717">
        <v>0</v>
      </c>
      <c r="AQ1717">
        <v>767.02432952165282</v>
      </c>
      <c r="AR1717">
        <v>55</v>
      </c>
      <c r="AS1717">
        <v>663</v>
      </c>
      <c r="AV1717">
        <v>242</v>
      </c>
      <c r="AW1717" t="s">
        <v>525</v>
      </c>
      <c r="AX1717" t="s">
        <v>628</v>
      </c>
    </row>
    <row r="1718" spans="1:50" x14ac:dyDescent="0.45">
      <c r="A1718">
        <v>30274</v>
      </c>
      <c r="B1718">
        <v>1</v>
      </c>
      <c r="C1718">
        <v>22.3386</v>
      </c>
      <c r="D1718">
        <v>13.344200000000001</v>
      </c>
      <c r="E1718">
        <v>23.205100000000002</v>
      </c>
      <c r="F1718">
        <v>0</v>
      </c>
      <c r="G1718">
        <v>0</v>
      </c>
      <c r="H1718">
        <v>0</v>
      </c>
      <c r="I1718">
        <v>0</v>
      </c>
      <c r="J1718">
        <v>0</v>
      </c>
      <c r="K1718">
        <v>41.112000000000002</v>
      </c>
      <c r="L1718">
        <v>0</v>
      </c>
      <c r="M1718">
        <v>0</v>
      </c>
      <c r="N1718">
        <v>0</v>
      </c>
      <c r="O1718">
        <v>0</v>
      </c>
      <c r="P1718">
        <v>0</v>
      </c>
      <c r="Q1718">
        <v>0</v>
      </c>
      <c r="R1718">
        <v>0</v>
      </c>
      <c r="S1718">
        <v>0</v>
      </c>
      <c r="T1718">
        <v>0</v>
      </c>
      <c r="U1718">
        <v>0</v>
      </c>
      <c r="Y1718">
        <v>0</v>
      </c>
      <c r="Z1718">
        <v>0</v>
      </c>
      <c r="AA1718">
        <v>0</v>
      </c>
      <c r="AB1718">
        <v>0</v>
      </c>
      <c r="AC1718">
        <v>1</v>
      </c>
      <c r="AD1718">
        <v>636.20223915442921</v>
      </c>
      <c r="AF1718">
        <v>0</v>
      </c>
      <c r="AG1718">
        <v>0</v>
      </c>
      <c r="AH1718">
        <v>1</v>
      </c>
      <c r="AI1718">
        <v>0</v>
      </c>
      <c r="AO1718">
        <v>13.714552191282458</v>
      </c>
      <c r="AP1718">
        <v>13.344249668401837</v>
      </c>
      <c r="AQ1718">
        <v>636.20223915442921</v>
      </c>
      <c r="AS1718">
        <v>1020</v>
      </c>
      <c r="AT1718">
        <v>1318</v>
      </c>
      <c r="AV1718">
        <v>448</v>
      </c>
      <c r="AW1718" t="s">
        <v>526</v>
      </c>
      <c r="AX1718" t="s">
        <v>629</v>
      </c>
    </row>
    <row r="1719" spans="1:50" x14ac:dyDescent="0.45">
      <c r="A1719">
        <v>30275</v>
      </c>
      <c r="B1719">
        <v>0</v>
      </c>
      <c r="C1719">
        <v>11.661</v>
      </c>
      <c r="D1719">
        <v>0</v>
      </c>
      <c r="E1719">
        <v>0</v>
      </c>
      <c r="F1719">
        <v>0</v>
      </c>
      <c r="G1719">
        <v>0</v>
      </c>
      <c r="H1719">
        <v>0</v>
      </c>
      <c r="I1719">
        <v>0</v>
      </c>
      <c r="J1719">
        <v>22.223299999999998</v>
      </c>
      <c r="K1719">
        <v>22.633199999999999</v>
      </c>
      <c r="L1719">
        <v>0</v>
      </c>
      <c r="M1719">
        <v>0</v>
      </c>
      <c r="N1719">
        <v>43.482500000000002</v>
      </c>
      <c r="O1719">
        <v>0</v>
      </c>
      <c r="P1719">
        <v>0</v>
      </c>
      <c r="Q1719">
        <v>0</v>
      </c>
      <c r="R1719">
        <v>0</v>
      </c>
      <c r="S1719">
        <v>0</v>
      </c>
      <c r="T1719">
        <v>0</v>
      </c>
      <c r="U1719">
        <v>0</v>
      </c>
      <c r="Y1719">
        <v>0</v>
      </c>
      <c r="Z1719">
        <v>0</v>
      </c>
      <c r="AA1719">
        <v>0</v>
      </c>
      <c r="AB1719">
        <v>0</v>
      </c>
      <c r="AC1719">
        <v>1</v>
      </c>
      <c r="AD1719">
        <v>728.65892692216914</v>
      </c>
      <c r="AF1719">
        <v>0</v>
      </c>
      <c r="AG1719">
        <v>0</v>
      </c>
      <c r="AH1719">
        <v>1</v>
      </c>
      <c r="AI1719">
        <v>0</v>
      </c>
      <c r="AO1719">
        <v>6.3372873332396571</v>
      </c>
      <c r="AP1719">
        <v>3.7038906540538847</v>
      </c>
      <c r="AQ1719">
        <v>728.65892692216914</v>
      </c>
      <c r="AS1719">
        <v>879</v>
      </c>
      <c r="AT1719">
        <v>969</v>
      </c>
      <c r="AW1719" t="s">
        <v>527</v>
      </c>
      <c r="AX1719" t="s">
        <v>630</v>
      </c>
    </row>
    <row r="1720" spans="1:50" x14ac:dyDescent="0.45">
      <c r="A1720">
        <v>30276</v>
      </c>
      <c r="B1720">
        <v>0</v>
      </c>
      <c r="C1720">
        <v>7.9566999999999997</v>
      </c>
      <c r="D1720">
        <v>0</v>
      </c>
      <c r="E1720">
        <v>0</v>
      </c>
      <c r="F1720">
        <v>0</v>
      </c>
      <c r="G1720">
        <v>0</v>
      </c>
      <c r="H1720">
        <v>0</v>
      </c>
      <c r="I1720">
        <v>0</v>
      </c>
      <c r="J1720">
        <v>16.3415</v>
      </c>
      <c r="K1720">
        <v>14.8398</v>
      </c>
      <c r="L1720">
        <v>0</v>
      </c>
      <c r="M1720">
        <v>0</v>
      </c>
      <c r="N1720">
        <v>30.814299999999999</v>
      </c>
      <c r="O1720">
        <v>30.047699999999999</v>
      </c>
      <c r="P1720">
        <v>0</v>
      </c>
      <c r="Q1720">
        <v>0</v>
      </c>
      <c r="R1720">
        <v>0</v>
      </c>
      <c r="S1720">
        <v>0</v>
      </c>
      <c r="T1720">
        <v>0</v>
      </c>
      <c r="U1720">
        <v>0</v>
      </c>
      <c r="Y1720">
        <v>0</v>
      </c>
      <c r="Z1720">
        <v>0</v>
      </c>
      <c r="AA1720">
        <v>0</v>
      </c>
      <c r="AB1720">
        <v>0</v>
      </c>
      <c r="AC1720">
        <v>1</v>
      </c>
      <c r="AD1720">
        <v>769.24372953318675</v>
      </c>
      <c r="AF1720">
        <v>0</v>
      </c>
      <c r="AG1720">
        <v>0</v>
      </c>
      <c r="AH1720">
        <v>1</v>
      </c>
      <c r="AI1720">
        <v>0</v>
      </c>
      <c r="AO1720">
        <v>10.765637323593298</v>
      </c>
      <c r="AP1720">
        <v>2.7235814122418667</v>
      </c>
      <c r="AQ1720">
        <v>769.24372953318675</v>
      </c>
      <c r="AS1720">
        <v>929</v>
      </c>
      <c r="AV1720">
        <v>390</v>
      </c>
      <c r="AW1720" t="s">
        <v>528</v>
      </c>
      <c r="AX1720" t="s">
        <v>631</v>
      </c>
    </row>
    <row r="1721" spans="1:50" x14ac:dyDescent="0.45">
      <c r="A1721">
        <v>30277</v>
      </c>
      <c r="B1721">
        <v>1</v>
      </c>
      <c r="C1721">
        <v>77.419499999999999</v>
      </c>
      <c r="D1721">
        <v>0</v>
      </c>
      <c r="E1721">
        <v>0</v>
      </c>
      <c r="F1721">
        <v>0</v>
      </c>
      <c r="G1721">
        <v>0</v>
      </c>
      <c r="H1721">
        <v>22.580500000000001</v>
      </c>
      <c r="I1721">
        <v>0</v>
      </c>
      <c r="J1721">
        <v>0</v>
      </c>
      <c r="K1721">
        <v>0</v>
      </c>
      <c r="L1721">
        <v>0</v>
      </c>
      <c r="M1721">
        <v>0</v>
      </c>
      <c r="N1721">
        <v>0</v>
      </c>
      <c r="O1721">
        <v>0</v>
      </c>
      <c r="P1721">
        <v>0</v>
      </c>
      <c r="Q1721">
        <v>0</v>
      </c>
      <c r="R1721">
        <v>0</v>
      </c>
      <c r="S1721">
        <v>0</v>
      </c>
      <c r="T1721">
        <v>0</v>
      </c>
      <c r="U1721">
        <v>0</v>
      </c>
      <c r="V1721">
        <v>0</v>
      </c>
      <c r="Y1721">
        <v>1</v>
      </c>
      <c r="Z1721">
        <v>0</v>
      </c>
      <c r="AA1721">
        <v>0</v>
      </c>
      <c r="AB1721">
        <v>0</v>
      </c>
      <c r="AC1721">
        <v>0</v>
      </c>
      <c r="AI1721">
        <v>0</v>
      </c>
      <c r="AO1721">
        <v>65.48356835986857</v>
      </c>
      <c r="AP1721">
        <v>0</v>
      </c>
      <c r="AQ1721">
        <v>534.25967146828407</v>
      </c>
      <c r="AS1721">
        <v>1389</v>
      </c>
      <c r="AT1721">
        <v>1566</v>
      </c>
      <c r="AV1721">
        <v>484</v>
      </c>
      <c r="AW1721" t="s">
        <v>529</v>
      </c>
      <c r="AX1721" t="s">
        <v>632</v>
      </c>
    </row>
    <row r="1722" spans="1:50" x14ac:dyDescent="0.45">
      <c r="A1722">
        <v>30278</v>
      </c>
      <c r="B1722">
        <v>1</v>
      </c>
      <c r="C1722">
        <v>75.372200000000007</v>
      </c>
      <c r="D1722">
        <v>0</v>
      </c>
      <c r="E1722">
        <v>0</v>
      </c>
      <c r="F1722">
        <v>0</v>
      </c>
      <c r="G1722">
        <v>0</v>
      </c>
      <c r="H1722">
        <v>22.261700000000001</v>
      </c>
      <c r="I1722">
        <v>0</v>
      </c>
      <c r="J1722">
        <v>0</v>
      </c>
      <c r="K1722">
        <v>0</v>
      </c>
      <c r="L1722">
        <v>0</v>
      </c>
      <c r="M1722">
        <v>2.3660999999999999</v>
      </c>
      <c r="N1722">
        <v>0</v>
      </c>
      <c r="O1722">
        <v>0</v>
      </c>
      <c r="P1722">
        <v>0</v>
      </c>
      <c r="Q1722">
        <v>0</v>
      </c>
      <c r="R1722">
        <v>0</v>
      </c>
      <c r="S1722">
        <v>0</v>
      </c>
      <c r="T1722">
        <v>0</v>
      </c>
      <c r="U1722">
        <v>0</v>
      </c>
      <c r="V1722">
        <v>0</v>
      </c>
      <c r="Y1722">
        <v>1</v>
      </c>
      <c r="Z1722">
        <v>0</v>
      </c>
      <c r="AA1722">
        <v>0</v>
      </c>
      <c r="AB1722">
        <v>0</v>
      </c>
      <c r="AC1722">
        <v>0</v>
      </c>
      <c r="AI1722">
        <v>0</v>
      </c>
      <c r="AO1722">
        <v>64.558918879917101</v>
      </c>
      <c r="AP1722">
        <v>0.78870373740331301</v>
      </c>
      <c r="AQ1722">
        <v>549.10754614275629</v>
      </c>
      <c r="AS1722">
        <v>1531</v>
      </c>
      <c r="AT1722">
        <v>1679</v>
      </c>
      <c r="AV1722">
        <v>495</v>
      </c>
      <c r="AW1722" t="s">
        <v>529</v>
      </c>
      <c r="AX1722" t="s">
        <v>632</v>
      </c>
    </row>
    <row r="1723" spans="1:50" x14ac:dyDescent="0.45">
      <c r="A1723">
        <v>30279</v>
      </c>
      <c r="B1723">
        <v>1</v>
      </c>
      <c r="C1723">
        <v>71.446299999999994</v>
      </c>
      <c r="D1723">
        <v>0</v>
      </c>
      <c r="E1723">
        <v>0</v>
      </c>
      <c r="F1723">
        <v>0</v>
      </c>
      <c r="G1723">
        <v>0</v>
      </c>
      <c r="H1723">
        <v>21.650300000000001</v>
      </c>
      <c r="I1723">
        <v>0</v>
      </c>
      <c r="J1723">
        <v>0</v>
      </c>
      <c r="K1723">
        <v>0</v>
      </c>
      <c r="L1723">
        <v>0</v>
      </c>
      <c r="M1723">
        <v>6.9034000000000004</v>
      </c>
      <c r="N1723">
        <v>0</v>
      </c>
      <c r="O1723">
        <v>0</v>
      </c>
      <c r="P1723">
        <v>0</v>
      </c>
      <c r="Q1723">
        <v>0</v>
      </c>
      <c r="R1723">
        <v>0</v>
      </c>
      <c r="S1723">
        <v>0</v>
      </c>
      <c r="T1723">
        <v>0</v>
      </c>
      <c r="U1723">
        <v>0</v>
      </c>
      <c r="V1723">
        <v>0</v>
      </c>
      <c r="Y1723">
        <v>1</v>
      </c>
      <c r="Z1723">
        <v>0</v>
      </c>
      <c r="AA1723">
        <v>0</v>
      </c>
      <c r="AB1723">
        <v>0</v>
      </c>
      <c r="AC1723">
        <v>0</v>
      </c>
      <c r="AI1723">
        <v>0</v>
      </c>
      <c r="AO1723">
        <v>62.785806486379812</v>
      </c>
      <c r="AP1723">
        <v>2.3011259059556539</v>
      </c>
      <c r="AQ1723">
        <v>577.57990369426557</v>
      </c>
      <c r="AS1723">
        <v>1574</v>
      </c>
      <c r="AT1723">
        <v>1732</v>
      </c>
      <c r="AV1723">
        <v>513</v>
      </c>
      <c r="AW1723" t="s">
        <v>529</v>
      </c>
      <c r="AX1723" t="s">
        <v>632</v>
      </c>
    </row>
    <row r="1724" spans="1:50" x14ac:dyDescent="0.45">
      <c r="A1724">
        <v>30280</v>
      </c>
      <c r="B1724">
        <v>1</v>
      </c>
      <c r="C1724">
        <v>67.730400000000003</v>
      </c>
      <c r="D1724">
        <v>0</v>
      </c>
      <c r="E1724">
        <v>0</v>
      </c>
      <c r="F1724">
        <v>0</v>
      </c>
      <c r="G1724">
        <v>0</v>
      </c>
      <c r="H1724">
        <v>21.0715</v>
      </c>
      <c r="I1724">
        <v>0</v>
      </c>
      <c r="J1724">
        <v>0</v>
      </c>
      <c r="K1724">
        <v>0</v>
      </c>
      <c r="L1724">
        <v>0</v>
      </c>
      <c r="M1724">
        <v>11.1981</v>
      </c>
      <c r="N1724">
        <v>0</v>
      </c>
      <c r="O1724">
        <v>0</v>
      </c>
      <c r="P1724">
        <v>0</v>
      </c>
      <c r="Q1724">
        <v>0</v>
      </c>
      <c r="R1724">
        <v>0</v>
      </c>
      <c r="S1724">
        <v>0</v>
      </c>
      <c r="T1724">
        <v>0</v>
      </c>
      <c r="U1724">
        <v>0</v>
      </c>
      <c r="V1724">
        <v>0</v>
      </c>
      <c r="Y1724">
        <v>1</v>
      </c>
      <c r="Z1724">
        <v>0</v>
      </c>
      <c r="AA1724">
        <v>0</v>
      </c>
      <c r="AB1724">
        <v>0</v>
      </c>
      <c r="AC1724">
        <v>0</v>
      </c>
      <c r="AI1724">
        <v>0</v>
      </c>
      <c r="AO1724">
        <v>61.107487739283258</v>
      </c>
      <c r="AP1724">
        <v>3.7326913770772947</v>
      </c>
      <c r="AQ1724">
        <v>604.53007990808351</v>
      </c>
      <c r="AS1724">
        <v>1700</v>
      </c>
      <c r="AT1724">
        <v>2332</v>
      </c>
      <c r="AV1724">
        <v>558</v>
      </c>
      <c r="AW1724" t="s">
        <v>529</v>
      </c>
      <c r="AX1724" t="s">
        <v>632</v>
      </c>
    </row>
    <row r="1725" spans="1:50" x14ac:dyDescent="0.45">
      <c r="A1725">
        <v>30281</v>
      </c>
      <c r="B1725">
        <v>1</v>
      </c>
      <c r="C1725">
        <v>77.114199999999997</v>
      </c>
      <c r="D1725">
        <v>0</v>
      </c>
      <c r="E1725">
        <v>0</v>
      </c>
      <c r="F1725">
        <v>0</v>
      </c>
      <c r="G1725">
        <v>0</v>
      </c>
      <c r="H1725">
        <v>10.7102</v>
      </c>
      <c r="I1725">
        <v>0</v>
      </c>
      <c r="J1725">
        <v>0</v>
      </c>
      <c r="K1725">
        <v>5.3455000000000004</v>
      </c>
      <c r="L1725">
        <v>0</v>
      </c>
      <c r="M1725">
        <v>6.8300999999999998</v>
      </c>
      <c r="N1725">
        <v>0</v>
      </c>
      <c r="O1725">
        <v>0</v>
      </c>
      <c r="P1725">
        <v>0</v>
      </c>
      <c r="Q1725">
        <v>0</v>
      </c>
      <c r="R1725">
        <v>0</v>
      </c>
      <c r="S1725">
        <v>0</v>
      </c>
      <c r="T1725">
        <v>0</v>
      </c>
      <c r="U1725">
        <v>0</v>
      </c>
      <c r="V1725">
        <v>0</v>
      </c>
      <c r="Y1725">
        <v>1</v>
      </c>
      <c r="Z1725">
        <v>0</v>
      </c>
      <c r="AA1725">
        <v>0</v>
      </c>
      <c r="AB1725">
        <v>0</v>
      </c>
      <c r="AC1725">
        <v>0</v>
      </c>
      <c r="AI1725">
        <v>0</v>
      </c>
      <c r="AO1725">
        <v>32.556427089551853</v>
      </c>
      <c r="AP1725">
        <v>2.2767016890422336</v>
      </c>
      <c r="AQ1725">
        <v>745.74873434104495</v>
      </c>
      <c r="AS1725">
        <v>1470</v>
      </c>
      <c r="AT1725">
        <v>1950</v>
      </c>
      <c r="AW1725" t="s">
        <v>530</v>
      </c>
      <c r="AX1725" t="s">
        <v>633</v>
      </c>
    </row>
    <row r="1726" spans="1:50" x14ac:dyDescent="0.45">
      <c r="A1726">
        <v>30282</v>
      </c>
      <c r="B1726">
        <v>1</v>
      </c>
      <c r="C1726">
        <v>75.048500000000004</v>
      </c>
      <c r="D1726">
        <v>0</v>
      </c>
      <c r="E1726">
        <v>0</v>
      </c>
      <c r="F1726">
        <v>0</v>
      </c>
      <c r="G1726">
        <v>0</v>
      </c>
      <c r="H1726">
        <v>12.8131</v>
      </c>
      <c r="I1726">
        <v>0</v>
      </c>
      <c r="J1726">
        <v>0</v>
      </c>
      <c r="K1726">
        <v>5.3292000000000002</v>
      </c>
      <c r="L1726">
        <v>0</v>
      </c>
      <c r="M1726">
        <v>6.8093000000000004</v>
      </c>
      <c r="N1726">
        <v>0</v>
      </c>
      <c r="O1726">
        <v>0</v>
      </c>
      <c r="P1726">
        <v>0</v>
      </c>
      <c r="Q1726">
        <v>0</v>
      </c>
      <c r="R1726">
        <v>0</v>
      </c>
      <c r="S1726">
        <v>0</v>
      </c>
      <c r="T1726">
        <v>0</v>
      </c>
      <c r="U1726">
        <v>0</v>
      </c>
      <c r="V1726">
        <v>0</v>
      </c>
      <c r="Y1726">
        <v>1</v>
      </c>
      <c r="Z1726">
        <v>0</v>
      </c>
      <c r="AA1726">
        <v>0</v>
      </c>
      <c r="AB1726">
        <v>0</v>
      </c>
      <c r="AC1726">
        <v>0</v>
      </c>
      <c r="AI1726">
        <v>0</v>
      </c>
      <c r="AO1726">
        <v>38.650098976366095</v>
      </c>
      <c r="AP1726">
        <v>2.2697563273276886</v>
      </c>
      <c r="AQ1726">
        <v>713.27747698636097</v>
      </c>
      <c r="AS1726">
        <v>1600</v>
      </c>
      <c r="AT1726">
        <v>2080</v>
      </c>
      <c r="AW1726" t="s">
        <v>530</v>
      </c>
      <c r="AX1726" t="s">
        <v>633</v>
      </c>
    </row>
    <row r="1727" spans="1:50" x14ac:dyDescent="0.45">
      <c r="A1727">
        <v>30283</v>
      </c>
      <c r="B1727">
        <v>1</v>
      </c>
      <c r="C1727">
        <v>72.995400000000004</v>
      </c>
      <c r="D1727">
        <v>0</v>
      </c>
      <c r="E1727">
        <v>0</v>
      </c>
      <c r="F1727">
        <v>0</v>
      </c>
      <c r="G1727">
        <v>0</v>
      </c>
      <c r="H1727">
        <v>14.9031</v>
      </c>
      <c r="I1727">
        <v>0</v>
      </c>
      <c r="J1727">
        <v>0</v>
      </c>
      <c r="K1727">
        <v>5.3129</v>
      </c>
      <c r="L1727">
        <v>0</v>
      </c>
      <c r="M1727">
        <v>6.7885999999999997</v>
      </c>
      <c r="N1727">
        <v>0</v>
      </c>
      <c r="O1727">
        <v>0</v>
      </c>
      <c r="P1727">
        <v>0</v>
      </c>
      <c r="Q1727">
        <v>0</v>
      </c>
      <c r="R1727">
        <v>0</v>
      </c>
      <c r="S1727">
        <v>0</v>
      </c>
      <c r="T1727">
        <v>0</v>
      </c>
      <c r="U1727">
        <v>0</v>
      </c>
      <c r="V1727">
        <v>0</v>
      </c>
      <c r="Y1727">
        <v>1</v>
      </c>
      <c r="Z1727">
        <v>0</v>
      </c>
      <c r="AA1727">
        <v>0</v>
      </c>
      <c r="AB1727">
        <v>0</v>
      </c>
      <c r="AC1727">
        <v>0</v>
      </c>
      <c r="AI1727">
        <v>0</v>
      </c>
      <c r="AO1727">
        <v>44.706704929186998</v>
      </c>
      <c r="AP1727">
        <v>2.2628532121147016</v>
      </c>
      <c r="AQ1727">
        <v>681.00373231436583</v>
      </c>
      <c r="AS1727">
        <v>1880</v>
      </c>
      <c r="AT1727">
        <v>2400</v>
      </c>
      <c r="AW1727" t="s">
        <v>530</v>
      </c>
      <c r="AX1727" t="s">
        <v>633</v>
      </c>
    </row>
  </sheetData>
  <autoFilter ref="A1:AX1727" xr:uid="{92C91345-9CE2-4256-9977-84D8B4ABA20F}">
    <sortState xmlns:xlrd2="http://schemas.microsoft.com/office/spreadsheetml/2017/richdata2" ref="A2:AX1727">
      <sortCondition ref="A1:A1727"/>
    </sortState>
  </autoFilter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CF97E4-29B0-4D4F-9369-310EC08E40A1}">
  <dimension ref="A1:BC1205"/>
  <sheetViews>
    <sheetView zoomScaleNormal="100" workbookViewId="0">
      <pane ySplit="1" topLeftCell="A2" activePane="bottomLeft" state="frozen"/>
      <selection activeCell="AU1" sqref="AU1"/>
      <selection pane="bottomLeft"/>
    </sheetView>
  </sheetViews>
  <sheetFormatPr defaultRowHeight="14" x14ac:dyDescent="0.45"/>
  <cols>
    <col min="1" max="1" width="3" bestFit="1" customWidth="1"/>
    <col min="2" max="2" width="9.234375" bestFit="1" customWidth="1"/>
    <col min="3" max="3" width="8.46875" bestFit="1" customWidth="1"/>
    <col min="4" max="5" width="6.46875" bestFit="1" customWidth="1"/>
    <col min="6" max="6" width="5.46875" bestFit="1" customWidth="1"/>
    <col min="7" max="7" width="4.05859375" bestFit="1" customWidth="1"/>
    <col min="8" max="8" width="6.46875" bestFit="1" customWidth="1"/>
    <col min="9" max="9" width="3.5859375" bestFit="1" customWidth="1"/>
    <col min="10" max="13" width="6.46875" bestFit="1" customWidth="1"/>
    <col min="14" max="14" width="3.234375" bestFit="1" customWidth="1"/>
    <col min="15" max="15" width="6.46875" bestFit="1" customWidth="1"/>
    <col min="16" max="16" width="3.234375" bestFit="1" customWidth="1"/>
    <col min="17" max="17" width="2.9375" bestFit="1" customWidth="1"/>
    <col min="18" max="18" width="2.5859375" bestFit="1" customWidth="1"/>
    <col min="19" max="20" width="2.9375" bestFit="1" customWidth="1"/>
    <col min="21" max="21" width="3.3515625" bestFit="1" customWidth="1"/>
    <col min="22" max="22" width="10.9375" bestFit="1" customWidth="1"/>
    <col min="23" max="23" width="9.64453125" bestFit="1" customWidth="1"/>
    <col min="24" max="24" width="9.5859375" bestFit="1" customWidth="1"/>
    <col min="25" max="25" width="16.3515625" bestFit="1" customWidth="1"/>
    <col min="26" max="26" width="15.9375" bestFit="1" customWidth="1"/>
    <col min="27" max="27" width="16.5859375" bestFit="1" customWidth="1"/>
    <col min="28" max="28" width="17.9375" bestFit="1" customWidth="1"/>
    <col min="29" max="29" width="10.234375" bestFit="1" customWidth="1"/>
    <col min="30" max="30" width="12.64453125" bestFit="1" customWidth="1"/>
    <col min="31" max="31" width="11.9375" bestFit="1" customWidth="1"/>
    <col min="32" max="32" width="7.64453125" bestFit="1" customWidth="1"/>
    <col min="33" max="33" width="12.05859375" bestFit="1" customWidth="1"/>
    <col min="34" max="34" width="10.234375" bestFit="1" customWidth="1"/>
    <col min="35" max="35" width="12.64453125" bestFit="1" customWidth="1"/>
    <col min="36" max="36" width="11.9375" bestFit="1" customWidth="1"/>
    <col min="37" max="37" width="7.64453125" bestFit="1" customWidth="1"/>
    <col min="38" max="38" width="12.05859375" bestFit="1" customWidth="1"/>
    <col min="39" max="39" width="10.05859375" bestFit="1" customWidth="1"/>
    <col min="40" max="40" width="11.9375" bestFit="1" customWidth="1"/>
    <col min="41" max="41" width="10.5859375" bestFit="1" customWidth="1"/>
    <col min="42" max="42" width="17.9375" bestFit="1" customWidth="1"/>
    <col min="43" max="43" width="25.234375" bestFit="1" customWidth="1"/>
    <col min="44" max="44" width="13.46875" bestFit="1" customWidth="1"/>
    <col min="45" max="45" width="17.64453125" bestFit="1" customWidth="1"/>
    <col min="46" max="46" width="9.46875" bestFit="1" customWidth="1"/>
    <col min="47" max="47" width="12.64453125" bestFit="1" customWidth="1"/>
    <col min="48" max="48" width="16.234375" bestFit="1" customWidth="1"/>
    <col min="49" max="49" width="7.46875" bestFit="1" customWidth="1"/>
    <col min="50" max="50" width="9.46875" bestFit="1" customWidth="1"/>
    <col min="51" max="52" width="10.46875" bestFit="1" customWidth="1"/>
    <col min="53" max="53" width="7.46875" bestFit="1" customWidth="1"/>
    <col min="54" max="54" width="7.46875" customWidth="1"/>
  </cols>
  <sheetData>
    <row r="1" spans="1:55" x14ac:dyDescent="0.45">
      <c r="A1" s="1" t="s">
        <v>0</v>
      </c>
      <c r="B1" s="1" t="s">
        <v>47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7" t="s">
        <v>640</v>
      </c>
      <c r="W1" s="3" t="s">
        <v>20</v>
      </c>
      <c r="X1" s="3" t="s">
        <v>21</v>
      </c>
      <c r="Y1" s="3" t="s">
        <v>637</v>
      </c>
      <c r="Z1" s="3" t="s">
        <v>636</v>
      </c>
      <c r="AA1" s="3" t="s">
        <v>23</v>
      </c>
      <c r="AB1" s="3" t="s">
        <v>24</v>
      </c>
      <c r="AC1" s="6" t="s">
        <v>25</v>
      </c>
      <c r="AD1" s="6" t="s">
        <v>26</v>
      </c>
      <c r="AE1" s="6" t="s">
        <v>29</v>
      </c>
      <c r="AF1" s="6" t="s">
        <v>30</v>
      </c>
      <c r="AG1" s="6" t="s">
        <v>31</v>
      </c>
      <c r="AH1" s="6" t="s">
        <v>27</v>
      </c>
      <c r="AI1" s="6" t="s">
        <v>28</v>
      </c>
      <c r="AJ1" s="6" t="s">
        <v>32</v>
      </c>
      <c r="AK1" s="6" t="s">
        <v>33</v>
      </c>
      <c r="AL1" s="6" t="s">
        <v>34</v>
      </c>
      <c r="AM1" s="4" t="s">
        <v>641</v>
      </c>
      <c r="AN1" s="4" t="s">
        <v>35</v>
      </c>
      <c r="AO1" s="4" t="s">
        <v>36</v>
      </c>
      <c r="AP1" s="4" t="s">
        <v>37</v>
      </c>
      <c r="AQ1" s="4" t="s">
        <v>38</v>
      </c>
      <c r="AR1" s="4" t="s">
        <v>39</v>
      </c>
      <c r="AS1" s="4" t="s">
        <v>40</v>
      </c>
      <c r="AT1" s="4" t="s">
        <v>358</v>
      </c>
      <c r="AU1" s="4" t="s">
        <v>634</v>
      </c>
      <c r="AV1" s="4" t="s">
        <v>638</v>
      </c>
      <c r="AW1" s="5" t="s">
        <v>41</v>
      </c>
      <c r="AX1" s="5" t="s">
        <v>43</v>
      </c>
      <c r="AY1" s="5" t="s">
        <v>45</v>
      </c>
      <c r="AZ1" s="5" t="s">
        <v>46</v>
      </c>
      <c r="BA1" s="5" t="s">
        <v>218</v>
      </c>
      <c r="BB1" t="s">
        <v>219</v>
      </c>
      <c r="BC1" t="s">
        <v>48</v>
      </c>
    </row>
    <row r="2" spans="1:55" x14ac:dyDescent="0.45">
      <c r="C2">
        <v>99.837000000000003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1</v>
      </c>
      <c r="Z2">
        <v>0</v>
      </c>
      <c r="AA2">
        <v>0</v>
      </c>
      <c r="AB2">
        <v>0</v>
      </c>
      <c r="AC2">
        <v>800</v>
      </c>
      <c r="AD2">
        <v>1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f>L2+0.67*E2+0.44*P2+0.28*K2+0.22*O2+2.9*H2+1.6*F2+1.7*G2-D2</f>
        <v>0</v>
      </c>
      <c r="AU2">
        <f t="shared" ref="AU2:AU65" si="0">D2+J2/6+M2/3+(T2+S2)/10</f>
        <v>0</v>
      </c>
      <c r="AV2">
        <f t="shared" ref="AV2:AV65" si="1">882+2.1*D2-9.5*L2+4.2*M2-6.9*J2-11.8*E2-12.1*F2-15.4*H2+23.3*Q2+123*T2</f>
        <v>882</v>
      </c>
      <c r="AY2">
        <v>500</v>
      </c>
      <c r="BC2" t="s">
        <v>49</v>
      </c>
    </row>
    <row r="3" spans="1:55" x14ac:dyDescent="0.45">
      <c r="C3">
        <v>99.972999999999999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1</v>
      </c>
      <c r="Z3">
        <v>0</v>
      </c>
      <c r="AA3">
        <v>0</v>
      </c>
      <c r="AB3">
        <v>0</v>
      </c>
      <c r="AC3">
        <v>800</v>
      </c>
      <c r="AD3">
        <v>1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f t="shared" ref="AT3:AT66" si="2">L3+0.67*E3+0.44*P3+0.28*K3+0.22*O3+2.9*H3+1.6*F3+1.7*G3-D3</f>
        <v>0</v>
      </c>
      <c r="AU3">
        <f t="shared" si="0"/>
        <v>0</v>
      </c>
      <c r="AV3">
        <f t="shared" si="1"/>
        <v>882</v>
      </c>
      <c r="AY3">
        <v>257</v>
      </c>
      <c r="BC3" t="s">
        <v>49</v>
      </c>
    </row>
    <row r="4" spans="1:55" x14ac:dyDescent="0.45">
      <c r="C4">
        <v>60.72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39.28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1</v>
      </c>
      <c r="Z4">
        <v>0</v>
      </c>
      <c r="AA4">
        <v>0</v>
      </c>
      <c r="AB4">
        <v>0</v>
      </c>
      <c r="AC4">
        <v>850</v>
      </c>
      <c r="AD4">
        <v>1</v>
      </c>
      <c r="AE4">
        <v>1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f t="shared" si="2"/>
        <v>10.998400000000002</v>
      </c>
      <c r="AU4">
        <f t="shared" si="0"/>
        <v>0</v>
      </c>
      <c r="AV4">
        <f t="shared" si="1"/>
        <v>882</v>
      </c>
      <c r="AY4">
        <v>581.4</v>
      </c>
      <c r="AZ4">
        <v>22.32</v>
      </c>
      <c r="BC4" t="s">
        <v>51</v>
      </c>
    </row>
    <row r="5" spans="1:55" x14ac:dyDescent="0.45">
      <c r="C5">
        <v>59.45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40.549999999999997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1</v>
      </c>
      <c r="W5">
        <v>20</v>
      </c>
      <c r="X5">
        <v>99</v>
      </c>
      <c r="Y5">
        <v>0</v>
      </c>
      <c r="Z5">
        <v>1</v>
      </c>
      <c r="AA5">
        <v>0</v>
      </c>
      <c r="AB5">
        <v>0</v>
      </c>
      <c r="AC5">
        <v>900</v>
      </c>
      <c r="AD5">
        <v>0.5</v>
      </c>
      <c r="AE5">
        <v>1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f t="shared" si="2"/>
        <v>11.354000000000001</v>
      </c>
      <c r="AU5">
        <f t="shared" si="0"/>
        <v>0</v>
      </c>
      <c r="AV5">
        <f t="shared" si="1"/>
        <v>882</v>
      </c>
      <c r="AY5">
        <v>352</v>
      </c>
      <c r="AZ5">
        <v>9.08</v>
      </c>
      <c r="BC5" t="s">
        <v>52</v>
      </c>
    </row>
    <row r="6" spans="1:55" x14ac:dyDescent="0.45">
      <c r="C6">
        <v>59.45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40.549999999999997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1</v>
      </c>
      <c r="W6">
        <v>20</v>
      </c>
      <c r="X6">
        <v>99</v>
      </c>
      <c r="Y6">
        <v>0</v>
      </c>
      <c r="Z6">
        <v>1</v>
      </c>
      <c r="AA6">
        <v>0</v>
      </c>
      <c r="AB6">
        <v>0</v>
      </c>
      <c r="AC6">
        <v>900</v>
      </c>
      <c r="AD6">
        <v>0.5</v>
      </c>
      <c r="AE6">
        <v>1</v>
      </c>
      <c r="AF6">
        <v>0</v>
      </c>
      <c r="AG6">
        <v>0</v>
      </c>
      <c r="AH6">
        <v>200</v>
      </c>
      <c r="AI6">
        <v>1</v>
      </c>
      <c r="AJ6">
        <v>1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f t="shared" si="2"/>
        <v>11.354000000000001</v>
      </c>
      <c r="AU6">
        <f t="shared" si="0"/>
        <v>0</v>
      </c>
      <c r="AV6">
        <f t="shared" si="1"/>
        <v>882</v>
      </c>
      <c r="AY6">
        <v>392</v>
      </c>
      <c r="AZ6">
        <v>8.07</v>
      </c>
      <c r="BC6" t="s">
        <v>52</v>
      </c>
    </row>
    <row r="7" spans="1:55" x14ac:dyDescent="0.45">
      <c r="C7">
        <v>59.45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40.549999999999997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1</v>
      </c>
      <c r="W7">
        <v>20</v>
      </c>
      <c r="X7">
        <v>99</v>
      </c>
      <c r="Y7">
        <v>0</v>
      </c>
      <c r="Z7">
        <v>1</v>
      </c>
      <c r="AA7">
        <v>0</v>
      </c>
      <c r="AB7">
        <v>0</v>
      </c>
      <c r="AC7">
        <v>900</v>
      </c>
      <c r="AD7">
        <v>0.5</v>
      </c>
      <c r="AE7">
        <v>1</v>
      </c>
      <c r="AF7">
        <v>0</v>
      </c>
      <c r="AG7">
        <v>0</v>
      </c>
      <c r="AH7">
        <v>300</v>
      </c>
      <c r="AI7">
        <v>1</v>
      </c>
      <c r="AJ7">
        <v>1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f t="shared" si="2"/>
        <v>11.354000000000001</v>
      </c>
      <c r="AU7">
        <f t="shared" si="0"/>
        <v>0</v>
      </c>
      <c r="AV7">
        <f t="shared" si="1"/>
        <v>882</v>
      </c>
      <c r="AY7">
        <v>506</v>
      </c>
      <c r="AZ7">
        <v>9.58</v>
      </c>
      <c r="BC7" t="s">
        <v>52</v>
      </c>
    </row>
    <row r="8" spans="1:55" x14ac:dyDescent="0.45">
      <c r="C8">
        <v>59.45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40.549999999999997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1</v>
      </c>
      <c r="W8">
        <v>20</v>
      </c>
      <c r="X8">
        <v>99</v>
      </c>
      <c r="Y8">
        <v>0</v>
      </c>
      <c r="Z8">
        <v>1</v>
      </c>
      <c r="AA8">
        <v>0</v>
      </c>
      <c r="AB8">
        <v>0</v>
      </c>
      <c r="AC8">
        <v>900</v>
      </c>
      <c r="AD8">
        <v>0.5</v>
      </c>
      <c r="AE8">
        <v>1</v>
      </c>
      <c r="AF8">
        <v>0</v>
      </c>
      <c r="AG8">
        <v>0</v>
      </c>
      <c r="AH8">
        <v>400</v>
      </c>
      <c r="AI8">
        <v>1</v>
      </c>
      <c r="AJ8">
        <v>1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f t="shared" si="2"/>
        <v>11.354000000000001</v>
      </c>
      <c r="AU8">
        <f t="shared" si="0"/>
        <v>0</v>
      </c>
      <c r="AV8">
        <f t="shared" si="1"/>
        <v>882</v>
      </c>
      <c r="AY8">
        <v>435</v>
      </c>
      <c r="AZ8">
        <v>8.9499999999999993</v>
      </c>
      <c r="BC8" t="s">
        <v>52</v>
      </c>
    </row>
    <row r="9" spans="1:55" x14ac:dyDescent="0.45">
      <c r="C9">
        <v>59.45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40.549999999999997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1</v>
      </c>
      <c r="W9">
        <v>20</v>
      </c>
      <c r="X9">
        <v>99</v>
      </c>
      <c r="Y9">
        <v>0</v>
      </c>
      <c r="Z9">
        <v>1</v>
      </c>
      <c r="AA9">
        <v>0</v>
      </c>
      <c r="AB9">
        <v>0</v>
      </c>
      <c r="AC9">
        <v>900</v>
      </c>
      <c r="AD9">
        <v>0.5</v>
      </c>
      <c r="AE9">
        <v>1</v>
      </c>
      <c r="AF9">
        <v>0</v>
      </c>
      <c r="AG9">
        <v>0</v>
      </c>
      <c r="AH9">
        <v>600</v>
      </c>
      <c r="AI9">
        <v>1</v>
      </c>
      <c r="AJ9">
        <v>1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f t="shared" si="2"/>
        <v>11.354000000000001</v>
      </c>
      <c r="AU9">
        <f t="shared" si="0"/>
        <v>0</v>
      </c>
      <c r="AV9">
        <f t="shared" si="1"/>
        <v>882</v>
      </c>
      <c r="AY9">
        <v>370</v>
      </c>
      <c r="AZ9">
        <v>10.02</v>
      </c>
      <c r="BC9" t="s">
        <v>52</v>
      </c>
    </row>
    <row r="10" spans="1:55" x14ac:dyDescent="0.45">
      <c r="C10">
        <v>62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38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1</v>
      </c>
      <c r="W10">
        <v>20</v>
      </c>
      <c r="X10">
        <v>85</v>
      </c>
      <c r="Y10">
        <v>0</v>
      </c>
      <c r="Z10">
        <v>1</v>
      </c>
      <c r="AA10">
        <v>0</v>
      </c>
      <c r="AB10">
        <v>0</v>
      </c>
      <c r="AC10">
        <v>800</v>
      </c>
      <c r="AD10">
        <v>1</v>
      </c>
      <c r="AE10">
        <v>1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f t="shared" si="2"/>
        <v>10.64</v>
      </c>
      <c r="AU10">
        <f t="shared" si="0"/>
        <v>0</v>
      </c>
      <c r="AV10">
        <f t="shared" si="1"/>
        <v>882</v>
      </c>
      <c r="AY10">
        <v>411</v>
      </c>
      <c r="AZ10">
        <v>36.700000000000003</v>
      </c>
      <c r="BC10" t="s">
        <v>53</v>
      </c>
    </row>
    <row r="11" spans="1:55" x14ac:dyDescent="0.45">
      <c r="C11">
        <v>67.33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32.67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1</v>
      </c>
      <c r="W11">
        <v>20</v>
      </c>
      <c r="X11">
        <v>90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f t="shared" si="2"/>
        <v>9.1476000000000006</v>
      </c>
      <c r="AU11">
        <f t="shared" si="0"/>
        <v>0</v>
      </c>
      <c r="AV11">
        <f t="shared" si="1"/>
        <v>882</v>
      </c>
      <c r="AY11">
        <v>779</v>
      </c>
      <c r="AZ11">
        <v>6.2</v>
      </c>
      <c r="BC11" t="s">
        <v>54</v>
      </c>
    </row>
    <row r="12" spans="1:55" x14ac:dyDescent="0.45">
      <c r="C12">
        <v>67.33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32.67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1</v>
      </c>
      <c r="W12">
        <v>20</v>
      </c>
      <c r="X12">
        <v>90</v>
      </c>
      <c r="Y12">
        <v>0</v>
      </c>
      <c r="Z12">
        <v>1</v>
      </c>
      <c r="AA12">
        <v>0</v>
      </c>
      <c r="AB12">
        <v>0</v>
      </c>
      <c r="AC12">
        <v>750</v>
      </c>
      <c r="AD12">
        <v>1</v>
      </c>
      <c r="AE12">
        <v>1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f t="shared" si="2"/>
        <v>9.1476000000000006</v>
      </c>
      <c r="AU12">
        <f t="shared" si="0"/>
        <v>0</v>
      </c>
      <c r="AV12">
        <f t="shared" si="1"/>
        <v>882</v>
      </c>
      <c r="AY12">
        <v>503</v>
      </c>
      <c r="AZ12">
        <v>25.8</v>
      </c>
      <c r="BC12" t="s">
        <v>54</v>
      </c>
    </row>
    <row r="13" spans="1:55" x14ac:dyDescent="0.45">
      <c r="C13">
        <v>67.33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32.67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1</v>
      </c>
      <c r="W13">
        <v>20</v>
      </c>
      <c r="X13">
        <v>90</v>
      </c>
      <c r="Y13">
        <v>0</v>
      </c>
      <c r="Z13">
        <v>1</v>
      </c>
      <c r="AA13">
        <v>0</v>
      </c>
      <c r="AB13">
        <v>0</v>
      </c>
      <c r="AC13">
        <v>850</v>
      </c>
      <c r="AD13">
        <v>1</v>
      </c>
      <c r="AE13">
        <v>1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f t="shared" si="2"/>
        <v>9.1476000000000006</v>
      </c>
      <c r="AU13">
        <f t="shared" si="0"/>
        <v>0</v>
      </c>
      <c r="AV13">
        <f t="shared" si="1"/>
        <v>882</v>
      </c>
      <c r="AY13">
        <v>608</v>
      </c>
      <c r="AZ13">
        <v>24.9</v>
      </c>
      <c r="BC13" t="s">
        <v>54</v>
      </c>
    </row>
    <row r="14" spans="1:55" x14ac:dyDescent="0.45">
      <c r="C14">
        <v>67.33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32.67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1</v>
      </c>
      <c r="W14">
        <v>20</v>
      </c>
      <c r="X14">
        <v>90</v>
      </c>
      <c r="Y14">
        <v>0</v>
      </c>
      <c r="Z14">
        <v>1</v>
      </c>
      <c r="AA14">
        <v>0</v>
      </c>
      <c r="AB14">
        <v>0</v>
      </c>
      <c r="AC14">
        <v>950</v>
      </c>
      <c r="AD14">
        <v>1</v>
      </c>
      <c r="AE14">
        <v>1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f t="shared" si="2"/>
        <v>9.1476000000000006</v>
      </c>
      <c r="AU14">
        <f t="shared" si="0"/>
        <v>0</v>
      </c>
      <c r="AV14">
        <f t="shared" si="1"/>
        <v>882</v>
      </c>
      <c r="AY14">
        <v>623</v>
      </c>
      <c r="AZ14">
        <v>16.899999999999999</v>
      </c>
      <c r="BC14" t="s">
        <v>54</v>
      </c>
    </row>
    <row r="15" spans="1:55" x14ac:dyDescent="0.45">
      <c r="C15">
        <v>54.59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45.41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1</v>
      </c>
      <c r="W15">
        <v>20</v>
      </c>
      <c r="X15">
        <v>90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f t="shared" si="2"/>
        <v>12.7148</v>
      </c>
      <c r="AU15">
        <f t="shared" si="0"/>
        <v>0</v>
      </c>
      <c r="AV15">
        <f t="shared" si="1"/>
        <v>882</v>
      </c>
      <c r="AY15">
        <v>561</v>
      </c>
      <c r="AZ15">
        <v>3.5</v>
      </c>
      <c r="BC15" t="s">
        <v>54</v>
      </c>
    </row>
    <row r="16" spans="1:55" x14ac:dyDescent="0.45">
      <c r="C16">
        <v>54.59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45.41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1</v>
      </c>
      <c r="W16">
        <v>20</v>
      </c>
      <c r="X16">
        <v>90</v>
      </c>
      <c r="Y16">
        <v>0</v>
      </c>
      <c r="Z16">
        <v>1</v>
      </c>
      <c r="AA16">
        <v>0</v>
      </c>
      <c r="AB16">
        <v>0</v>
      </c>
      <c r="AC16">
        <v>750</v>
      </c>
      <c r="AD16">
        <v>1</v>
      </c>
      <c r="AE16">
        <v>1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f t="shared" si="2"/>
        <v>12.7148</v>
      </c>
      <c r="AU16">
        <f t="shared" si="0"/>
        <v>0</v>
      </c>
      <c r="AV16">
        <f t="shared" si="1"/>
        <v>882</v>
      </c>
      <c r="AY16">
        <v>449</v>
      </c>
      <c r="AZ16">
        <v>24</v>
      </c>
      <c r="BC16" t="s">
        <v>54</v>
      </c>
    </row>
    <row r="17" spans="3:55" x14ac:dyDescent="0.45">
      <c r="C17">
        <v>54.59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45.41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1</v>
      </c>
      <c r="W17">
        <v>20</v>
      </c>
      <c r="X17">
        <v>90</v>
      </c>
      <c r="Y17">
        <v>0</v>
      </c>
      <c r="Z17">
        <v>1</v>
      </c>
      <c r="AA17">
        <v>0</v>
      </c>
      <c r="AB17">
        <v>0</v>
      </c>
      <c r="AC17">
        <v>850</v>
      </c>
      <c r="AD17">
        <v>1</v>
      </c>
      <c r="AE17">
        <v>1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f t="shared" si="2"/>
        <v>12.7148</v>
      </c>
      <c r="AU17">
        <f t="shared" si="0"/>
        <v>0</v>
      </c>
      <c r="AV17">
        <f t="shared" si="1"/>
        <v>882</v>
      </c>
      <c r="AY17">
        <v>493</v>
      </c>
      <c r="AZ17">
        <v>21.1</v>
      </c>
      <c r="BC17" t="s">
        <v>54</v>
      </c>
    </row>
    <row r="18" spans="3:55" x14ac:dyDescent="0.45">
      <c r="C18">
        <v>54.59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45.41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1</v>
      </c>
      <c r="W18">
        <v>20</v>
      </c>
      <c r="X18">
        <v>90</v>
      </c>
      <c r="Y18">
        <v>0</v>
      </c>
      <c r="Z18">
        <v>1</v>
      </c>
      <c r="AA18">
        <v>0</v>
      </c>
      <c r="AB18">
        <v>0</v>
      </c>
      <c r="AC18">
        <v>950</v>
      </c>
      <c r="AD18">
        <v>1</v>
      </c>
      <c r="AE18">
        <v>1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f t="shared" si="2"/>
        <v>12.7148</v>
      </c>
      <c r="AU18">
        <f t="shared" si="0"/>
        <v>0</v>
      </c>
      <c r="AV18">
        <f t="shared" si="1"/>
        <v>882</v>
      </c>
      <c r="AY18">
        <v>587</v>
      </c>
      <c r="AZ18">
        <v>17.100000000000001</v>
      </c>
      <c r="BC18" t="s">
        <v>54</v>
      </c>
    </row>
    <row r="19" spans="3:55" x14ac:dyDescent="0.45">
      <c r="C19">
        <v>87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13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f t="shared" si="2"/>
        <v>3.6400000000000006</v>
      </c>
      <c r="AU19">
        <f t="shared" si="0"/>
        <v>0</v>
      </c>
      <c r="AV19">
        <f t="shared" si="1"/>
        <v>882</v>
      </c>
      <c r="AX19">
        <v>672.97</v>
      </c>
      <c r="AY19">
        <v>799.98</v>
      </c>
      <c r="AZ19">
        <v>5.1100000000000003</v>
      </c>
      <c r="BC19" t="s">
        <v>55</v>
      </c>
    </row>
    <row r="20" spans="3:55" x14ac:dyDescent="0.45">
      <c r="C20">
        <v>72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28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f t="shared" si="2"/>
        <v>7.8400000000000007</v>
      </c>
      <c r="AU20">
        <f t="shared" si="0"/>
        <v>0</v>
      </c>
      <c r="AV20">
        <f t="shared" si="1"/>
        <v>882</v>
      </c>
      <c r="AX20">
        <v>616.5</v>
      </c>
      <c r="AY20">
        <v>778.33</v>
      </c>
      <c r="AZ20">
        <v>3.03</v>
      </c>
      <c r="BC20" t="s">
        <v>55</v>
      </c>
    </row>
    <row r="21" spans="3:55" x14ac:dyDescent="0.45">
      <c r="C21">
        <v>85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15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1</v>
      </c>
      <c r="W21">
        <v>20</v>
      </c>
      <c r="X21">
        <v>85</v>
      </c>
      <c r="Y21">
        <v>0</v>
      </c>
      <c r="Z21">
        <v>1</v>
      </c>
      <c r="AA21">
        <v>0</v>
      </c>
      <c r="AB21">
        <v>0</v>
      </c>
      <c r="AC21">
        <v>900</v>
      </c>
      <c r="AD21">
        <v>0.5</v>
      </c>
      <c r="AE21">
        <v>1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f t="shared" si="2"/>
        <v>4.2</v>
      </c>
      <c r="AU21">
        <f t="shared" si="0"/>
        <v>0</v>
      </c>
      <c r="AV21">
        <f t="shared" si="1"/>
        <v>882</v>
      </c>
      <c r="AW21">
        <v>56</v>
      </c>
      <c r="AX21">
        <v>462</v>
      </c>
      <c r="AY21">
        <v>648</v>
      </c>
      <c r="AZ21">
        <v>16</v>
      </c>
      <c r="BA21">
        <v>241</v>
      </c>
      <c r="BC21" t="s">
        <v>56</v>
      </c>
    </row>
    <row r="22" spans="3:55" x14ac:dyDescent="0.45">
      <c r="C22">
        <v>68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32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1</v>
      </c>
      <c r="W22">
        <v>20</v>
      </c>
      <c r="X22">
        <v>85</v>
      </c>
      <c r="Y22">
        <v>0</v>
      </c>
      <c r="Z22">
        <v>1</v>
      </c>
      <c r="AA22">
        <v>0</v>
      </c>
      <c r="AB22">
        <v>0</v>
      </c>
      <c r="AC22">
        <v>900</v>
      </c>
      <c r="AD22">
        <v>0.5</v>
      </c>
      <c r="AE22">
        <v>1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f t="shared" si="2"/>
        <v>8.9600000000000009</v>
      </c>
      <c r="AU22">
        <f t="shared" si="0"/>
        <v>0</v>
      </c>
      <c r="AV22">
        <f t="shared" si="1"/>
        <v>882</v>
      </c>
      <c r="AW22">
        <v>65</v>
      </c>
      <c r="AX22">
        <v>325</v>
      </c>
      <c r="AY22">
        <v>550</v>
      </c>
      <c r="AZ22">
        <v>22</v>
      </c>
      <c r="BA22">
        <v>158</v>
      </c>
      <c r="BC22" t="s">
        <v>57</v>
      </c>
    </row>
    <row r="23" spans="3:55" x14ac:dyDescent="0.45">
      <c r="C23">
        <v>62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38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1</v>
      </c>
      <c r="W23">
        <v>20</v>
      </c>
      <c r="X23">
        <v>85</v>
      </c>
      <c r="Y23">
        <v>0</v>
      </c>
      <c r="Z23">
        <v>1</v>
      </c>
      <c r="AA23">
        <v>0</v>
      </c>
      <c r="AB23">
        <v>0</v>
      </c>
      <c r="AC23">
        <v>900</v>
      </c>
      <c r="AD23">
        <v>0.5</v>
      </c>
      <c r="AE23">
        <v>1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f t="shared" si="2"/>
        <v>10.64</v>
      </c>
      <c r="AU23">
        <f t="shared" si="0"/>
        <v>0</v>
      </c>
      <c r="AV23">
        <f t="shared" si="1"/>
        <v>882</v>
      </c>
      <c r="AW23">
        <v>60</v>
      </c>
      <c r="AX23">
        <v>220</v>
      </c>
      <c r="AY23">
        <v>479</v>
      </c>
      <c r="AZ23">
        <v>41</v>
      </c>
      <c r="BA23">
        <v>167</v>
      </c>
      <c r="BC23" t="s">
        <v>58</v>
      </c>
    </row>
    <row r="24" spans="3:55" x14ac:dyDescent="0.45">
      <c r="C24">
        <v>81.84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18.16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1</v>
      </c>
      <c r="W24">
        <v>0</v>
      </c>
      <c r="X24">
        <v>0</v>
      </c>
      <c r="Y24">
        <v>0</v>
      </c>
      <c r="Z24">
        <v>1</v>
      </c>
      <c r="AA24">
        <v>0</v>
      </c>
      <c r="AB24">
        <v>0</v>
      </c>
      <c r="AC24">
        <v>0</v>
      </c>
      <c r="AD24">
        <v>0</v>
      </c>
      <c r="AE24">
        <v>1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f t="shared" si="2"/>
        <v>5.0848000000000004</v>
      </c>
      <c r="AU24">
        <f t="shared" si="0"/>
        <v>0</v>
      </c>
      <c r="AV24">
        <f t="shared" si="1"/>
        <v>882</v>
      </c>
      <c r="AW24">
        <v>79</v>
      </c>
      <c r="AX24">
        <v>348</v>
      </c>
      <c r="BB24" t="s">
        <v>335</v>
      </c>
      <c r="BC24" t="s">
        <v>60</v>
      </c>
    </row>
    <row r="25" spans="3:55" x14ac:dyDescent="0.45">
      <c r="C25">
        <v>76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24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1</v>
      </c>
      <c r="W25">
        <v>0</v>
      </c>
      <c r="X25">
        <v>0</v>
      </c>
      <c r="Y25">
        <v>0</v>
      </c>
      <c r="Z25">
        <v>1</v>
      </c>
      <c r="AA25">
        <v>0</v>
      </c>
      <c r="AB25">
        <v>0</v>
      </c>
      <c r="AC25">
        <v>0</v>
      </c>
      <c r="AD25">
        <v>0</v>
      </c>
      <c r="AE25">
        <v>1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f t="shared" si="2"/>
        <v>6.7200000000000006</v>
      </c>
      <c r="AU25">
        <f t="shared" si="0"/>
        <v>0</v>
      </c>
      <c r="AV25">
        <f t="shared" si="1"/>
        <v>882</v>
      </c>
      <c r="AW25">
        <v>56</v>
      </c>
      <c r="AX25">
        <v>203</v>
      </c>
      <c r="BB25" t="s">
        <v>336</v>
      </c>
      <c r="BC25" t="s">
        <v>60</v>
      </c>
    </row>
    <row r="26" spans="3:55" x14ac:dyDescent="0.45">
      <c r="C26">
        <v>76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24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1</v>
      </c>
      <c r="W26">
        <v>0</v>
      </c>
      <c r="X26">
        <v>0</v>
      </c>
      <c r="Y26">
        <v>0</v>
      </c>
      <c r="Z26">
        <v>1</v>
      </c>
      <c r="AA26">
        <v>0</v>
      </c>
      <c r="AB26">
        <v>0</v>
      </c>
      <c r="AC26">
        <v>0</v>
      </c>
      <c r="AD26">
        <v>0</v>
      </c>
      <c r="AE26">
        <v>1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f t="shared" si="2"/>
        <v>6.7200000000000006</v>
      </c>
      <c r="AU26">
        <f t="shared" si="0"/>
        <v>0</v>
      </c>
      <c r="AV26">
        <f t="shared" si="1"/>
        <v>882</v>
      </c>
      <c r="AW26">
        <v>58</v>
      </c>
      <c r="AX26">
        <v>301</v>
      </c>
      <c r="BB26" t="s">
        <v>336</v>
      </c>
      <c r="BC26" t="s">
        <v>60</v>
      </c>
    </row>
    <row r="27" spans="3:55" x14ac:dyDescent="0.45">
      <c r="C27">
        <v>76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24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1</v>
      </c>
      <c r="W27">
        <v>0</v>
      </c>
      <c r="X27">
        <v>0</v>
      </c>
      <c r="Y27">
        <v>0</v>
      </c>
      <c r="Z27">
        <v>1</v>
      </c>
      <c r="AA27">
        <v>0</v>
      </c>
      <c r="AB27">
        <v>0</v>
      </c>
      <c r="AC27">
        <v>0</v>
      </c>
      <c r="AD27">
        <v>0</v>
      </c>
      <c r="AE27">
        <v>1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f t="shared" si="2"/>
        <v>6.7200000000000006</v>
      </c>
      <c r="AU27">
        <f t="shared" si="0"/>
        <v>0</v>
      </c>
      <c r="AV27">
        <f t="shared" si="1"/>
        <v>882</v>
      </c>
      <c r="AW27">
        <v>62</v>
      </c>
      <c r="AX27">
        <v>575</v>
      </c>
      <c r="BB27" t="s">
        <v>336</v>
      </c>
      <c r="BC27" t="s">
        <v>60</v>
      </c>
    </row>
    <row r="28" spans="3:55" x14ac:dyDescent="0.45">
      <c r="C28">
        <v>76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24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1</v>
      </c>
      <c r="W28">
        <v>0</v>
      </c>
      <c r="X28">
        <v>0</v>
      </c>
      <c r="Y28">
        <v>0</v>
      </c>
      <c r="Z28">
        <v>1</v>
      </c>
      <c r="AA28">
        <v>0</v>
      </c>
      <c r="AB28">
        <v>0</v>
      </c>
      <c r="AC28">
        <v>0</v>
      </c>
      <c r="AD28">
        <v>0</v>
      </c>
      <c r="AE28">
        <v>1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f t="shared" si="2"/>
        <v>6.7200000000000006</v>
      </c>
      <c r="AU28">
        <f t="shared" si="0"/>
        <v>0</v>
      </c>
      <c r="AV28">
        <f t="shared" si="1"/>
        <v>882</v>
      </c>
      <c r="AW28">
        <v>60</v>
      </c>
      <c r="AX28">
        <v>300</v>
      </c>
      <c r="BB28" t="s">
        <v>336</v>
      </c>
      <c r="BC28" t="s">
        <v>60</v>
      </c>
    </row>
    <row r="29" spans="3:55" x14ac:dyDescent="0.45">
      <c r="C29">
        <v>91.67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8.33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1</v>
      </c>
      <c r="W29">
        <v>0</v>
      </c>
      <c r="X29">
        <v>0</v>
      </c>
      <c r="Y29">
        <v>0</v>
      </c>
      <c r="Z29">
        <v>1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1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f t="shared" si="2"/>
        <v>2.3324000000000003</v>
      </c>
      <c r="AU29">
        <f t="shared" si="0"/>
        <v>0</v>
      </c>
      <c r="AV29">
        <f t="shared" si="1"/>
        <v>882</v>
      </c>
      <c r="AW29">
        <v>96</v>
      </c>
      <c r="AX29">
        <v>558</v>
      </c>
      <c r="BB29" t="s">
        <v>336</v>
      </c>
      <c r="BC29" t="s">
        <v>60</v>
      </c>
    </row>
    <row r="30" spans="3:55" x14ac:dyDescent="0.45">
      <c r="C30">
        <v>91.67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8.33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1</v>
      </c>
      <c r="W30">
        <v>0</v>
      </c>
      <c r="X30">
        <v>0</v>
      </c>
      <c r="Y30">
        <v>0</v>
      </c>
      <c r="Z30">
        <v>1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1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f t="shared" si="2"/>
        <v>2.3324000000000003</v>
      </c>
      <c r="AU30">
        <f t="shared" si="0"/>
        <v>0</v>
      </c>
      <c r="AV30">
        <f t="shared" si="1"/>
        <v>882</v>
      </c>
      <c r="AW30">
        <v>103</v>
      </c>
      <c r="AX30">
        <v>744</v>
      </c>
      <c r="BB30" t="s">
        <v>337</v>
      </c>
      <c r="BC30" t="s">
        <v>60</v>
      </c>
    </row>
    <row r="31" spans="3:55" x14ac:dyDescent="0.45">
      <c r="C31">
        <v>91.67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8.33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1</v>
      </c>
      <c r="W31">
        <v>0</v>
      </c>
      <c r="X31">
        <v>0</v>
      </c>
      <c r="Y31">
        <v>0</v>
      </c>
      <c r="Z31">
        <v>1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1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f t="shared" si="2"/>
        <v>2.3324000000000003</v>
      </c>
      <c r="AU31">
        <f t="shared" si="0"/>
        <v>0</v>
      </c>
      <c r="AV31">
        <f t="shared" si="1"/>
        <v>882</v>
      </c>
      <c r="AW31">
        <v>102</v>
      </c>
      <c r="AX31">
        <v>962</v>
      </c>
      <c r="BB31" t="s">
        <v>338</v>
      </c>
      <c r="BC31" t="s">
        <v>60</v>
      </c>
    </row>
    <row r="32" spans="3:55" x14ac:dyDescent="0.45">
      <c r="C32">
        <v>90.149999999999991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9.85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1</v>
      </c>
      <c r="W32">
        <v>0</v>
      </c>
      <c r="X32">
        <v>0</v>
      </c>
      <c r="Y32">
        <v>0</v>
      </c>
      <c r="Z32">
        <v>1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1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f t="shared" si="2"/>
        <v>2.758</v>
      </c>
      <c r="AU32">
        <f t="shared" si="0"/>
        <v>0</v>
      </c>
      <c r="AV32">
        <f t="shared" si="1"/>
        <v>882</v>
      </c>
      <c r="AW32">
        <v>89</v>
      </c>
      <c r="AX32">
        <v>628</v>
      </c>
      <c r="BB32" t="s">
        <v>338</v>
      </c>
      <c r="BC32" t="s">
        <v>60</v>
      </c>
    </row>
    <row r="33" spans="3:55" x14ac:dyDescent="0.45">
      <c r="C33">
        <v>90.149999999999991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9.85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1</v>
      </c>
      <c r="W33">
        <v>0</v>
      </c>
      <c r="X33">
        <v>0</v>
      </c>
      <c r="Y33">
        <v>0</v>
      </c>
      <c r="Z33">
        <v>1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1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f t="shared" si="2"/>
        <v>2.758</v>
      </c>
      <c r="AU33">
        <f t="shared" si="0"/>
        <v>0</v>
      </c>
      <c r="AV33">
        <f t="shared" si="1"/>
        <v>882</v>
      </c>
      <c r="AW33">
        <v>91</v>
      </c>
      <c r="AX33">
        <v>822</v>
      </c>
      <c r="BB33" t="s">
        <v>338</v>
      </c>
      <c r="BC33" t="s">
        <v>60</v>
      </c>
    </row>
    <row r="34" spans="3:55" x14ac:dyDescent="0.45">
      <c r="C34">
        <v>90.149999999999991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9.85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1</v>
      </c>
      <c r="W34">
        <v>0</v>
      </c>
      <c r="X34">
        <v>0</v>
      </c>
      <c r="Y34">
        <v>0</v>
      </c>
      <c r="Z34">
        <v>1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1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f t="shared" si="2"/>
        <v>2.758</v>
      </c>
      <c r="AU34">
        <f t="shared" si="0"/>
        <v>0</v>
      </c>
      <c r="AV34">
        <f t="shared" si="1"/>
        <v>882</v>
      </c>
      <c r="AW34">
        <v>92</v>
      </c>
      <c r="AX34">
        <v>893</v>
      </c>
      <c r="BB34" t="s">
        <v>338</v>
      </c>
      <c r="BC34" t="s">
        <v>60</v>
      </c>
    </row>
    <row r="35" spans="3:55" x14ac:dyDescent="0.45">
      <c r="C35">
        <v>88.59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11.41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1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1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f t="shared" si="2"/>
        <v>3.1948000000000003</v>
      </c>
      <c r="AU35">
        <f t="shared" si="0"/>
        <v>0</v>
      </c>
      <c r="AV35">
        <f t="shared" si="1"/>
        <v>882</v>
      </c>
      <c r="AW35">
        <v>89</v>
      </c>
      <c r="AX35">
        <v>655</v>
      </c>
      <c r="BB35" t="s">
        <v>338</v>
      </c>
      <c r="BC35" t="s">
        <v>60</v>
      </c>
    </row>
    <row r="36" spans="3:55" x14ac:dyDescent="0.45">
      <c r="C36">
        <v>88.59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11.41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1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1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f t="shared" si="2"/>
        <v>3.1948000000000003</v>
      </c>
      <c r="AU36">
        <f t="shared" si="0"/>
        <v>0</v>
      </c>
      <c r="AV36">
        <f t="shared" si="1"/>
        <v>882</v>
      </c>
      <c r="AW36">
        <v>87</v>
      </c>
      <c r="AX36">
        <v>818</v>
      </c>
      <c r="BB36" t="s">
        <v>338</v>
      </c>
      <c r="BC36" t="s">
        <v>60</v>
      </c>
    </row>
    <row r="37" spans="3:55" x14ac:dyDescent="0.45">
      <c r="C37">
        <v>88.59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11.41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1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1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f t="shared" si="2"/>
        <v>3.1948000000000003</v>
      </c>
      <c r="AU37">
        <f t="shared" si="0"/>
        <v>0</v>
      </c>
      <c r="AV37">
        <f t="shared" si="1"/>
        <v>882</v>
      </c>
      <c r="AW37">
        <v>94</v>
      </c>
      <c r="AX37">
        <v>906</v>
      </c>
      <c r="BB37" t="s">
        <v>338</v>
      </c>
      <c r="BC37" t="s">
        <v>60</v>
      </c>
    </row>
    <row r="38" spans="3:55" x14ac:dyDescent="0.45">
      <c r="C38">
        <v>86.99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13.01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1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1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f t="shared" si="2"/>
        <v>3.6428000000000003</v>
      </c>
      <c r="AU38">
        <f t="shared" si="0"/>
        <v>0</v>
      </c>
      <c r="AV38">
        <f t="shared" si="1"/>
        <v>882</v>
      </c>
      <c r="AW38">
        <v>89</v>
      </c>
      <c r="AX38">
        <v>734</v>
      </c>
      <c r="BB38" t="s">
        <v>338</v>
      </c>
      <c r="BC38" t="s">
        <v>60</v>
      </c>
    </row>
    <row r="39" spans="3:55" x14ac:dyDescent="0.45">
      <c r="C39">
        <v>86.99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13.01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1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1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f t="shared" si="2"/>
        <v>3.6428000000000003</v>
      </c>
      <c r="AU39">
        <f t="shared" si="0"/>
        <v>0</v>
      </c>
      <c r="AV39">
        <f t="shared" si="1"/>
        <v>882</v>
      </c>
      <c r="AW39">
        <v>99</v>
      </c>
      <c r="AX39">
        <v>854</v>
      </c>
      <c r="BB39" t="s">
        <v>220</v>
      </c>
      <c r="BC39" t="s">
        <v>60</v>
      </c>
    </row>
    <row r="40" spans="3:55" x14ac:dyDescent="0.45">
      <c r="C40">
        <v>86.99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13.01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1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1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f t="shared" si="2"/>
        <v>3.6428000000000003</v>
      </c>
      <c r="AU40">
        <f t="shared" si="0"/>
        <v>0</v>
      </c>
      <c r="AV40">
        <f t="shared" si="1"/>
        <v>882</v>
      </c>
      <c r="AW40">
        <v>100</v>
      </c>
      <c r="AX40">
        <v>930</v>
      </c>
      <c r="BB40" t="s">
        <v>221</v>
      </c>
      <c r="BC40" t="s">
        <v>60</v>
      </c>
    </row>
    <row r="41" spans="3:55" x14ac:dyDescent="0.45">
      <c r="C41">
        <v>78.28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21.72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1</v>
      </c>
      <c r="W41">
        <v>0</v>
      </c>
      <c r="X41">
        <v>0</v>
      </c>
      <c r="Y41">
        <v>0</v>
      </c>
      <c r="Z41">
        <v>1</v>
      </c>
      <c r="AA41">
        <v>0</v>
      </c>
      <c r="AB41">
        <v>0</v>
      </c>
      <c r="AC41">
        <v>0</v>
      </c>
      <c r="AD41">
        <v>0</v>
      </c>
      <c r="AE41">
        <v>1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f t="shared" si="2"/>
        <v>6.0815999999999999</v>
      </c>
      <c r="AU41">
        <f t="shared" si="0"/>
        <v>0</v>
      </c>
      <c r="AV41">
        <f t="shared" si="1"/>
        <v>882</v>
      </c>
      <c r="AW41">
        <v>73.900000000000006</v>
      </c>
      <c r="AX41">
        <v>289</v>
      </c>
      <c r="BB41" t="s">
        <v>222</v>
      </c>
      <c r="BC41" t="s">
        <v>60</v>
      </c>
    </row>
    <row r="42" spans="3:55" x14ac:dyDescent="0.45">
      <c r="C42">
        <v>78.28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21.72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1</v>
      </c>
      <c r="W42">
        <v>0</v>
      </c>
      <c r="X42">
        <v>0</v>
      </c>
      <c r="Y42">
        <v>0</v>
      </c>
      <c r="Z42">
        <v>1</v>
      </c>
      <c r="AA42">
        <v>0</v>
      </c>
      <c r="AB42">
        <v>0</v>
      </c>
      <c r="AC42">
        <v>0</v>
      </c>
      <c r="AD42">
        <v>0</v>
      </c>
      <c r="AE42">
        <v>1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f t="shared" si="2"/>
        <v>6.0815999999999999</v>
      </c>
      <c r="AU42">
        <f t="shared" si="0"/>
        <v>0</v>
      </c>
      <c r="AV42">
        <f t="shared" si="1"/>
        <v>882</v>
      </c>
      <c r="AW42">
        <v>85</v>
      </c>
      <c r="AX42">
        <v>338</v>
      </c>
      <c r="BB42" t="s">
        <v>223</v>
      </c>
      <c r="BC42" t="s">
        <v>60</v>
      </c>
    </row>
    <row r="43" spans="3:55" x14ac:dyDescent="0.45">
      <c r="C43">
        <v>78.28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21.72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1</v>
      </c>
      <c r="W43">
        <v>0</v>
      </c>
      <c r="X43">
        <v>0</v>
      </c>
      <c r="Y43">
        <v>0</v>
      </c>
      <c r="Z43">
        <v>1</v>
      </c>
      <c r="AA43">
        <v>0</v>
      </c>
      <c r="AB43">
        <v>0</v>
      </c>
      <c r="AC43">
        <v>0</v>
      </c>
      <c r="AD43">
        <v>0</v>
      </c>
      <c r="AE43">
        <v>1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f t="shared" si="2"/>
        <v>6.0815999999999999</v>
      </c>
      <c r="AU43">
        <f t="shared" si="0"/>
        <v>0</v>
      </c>
      <c r="AV43">
        <f t="shared" si="1"/>
        <v>882</v>
      </c>
      <c r="AW43">
        <v>72</v>
      </c>
      <c r="AX43">
        <v>382</v>
      </c>
      <c r="BB43" t="s">
        <v>224</v>
      </c>
      <c r="BC43" t="s">
        <v>60</v>
      </c>
    </row>
    <row r="44" spans="3:55" x14ac:dyDescent="0.45">
      <c r="C44">
        <v>85.34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14.66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1</v>
      </c>
      <c r="W44">
        <v>0</v>
      </c>
      <c r="X44">
        <v>0</v>
      </c>
      <c r="Y44">
        <v>0</v>
      </c>
      <c r="Z44">
        <v>1</v>
      </c>
      <c r="AA44">
        <v>0</v>
      </c>
      <c r="AB44">
        <v>0</v>
      </c>
      <c r="AC44">
        <v>0</v>
      </c>
      <c r="AD44">
        <v>0</v>
      </c>
      <c r="AE44">
        <v>1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f t="shared" si="2"/>
        <v>4.1048</v>
      </c>
      <c r="AU44">
        <f t="shared" si="0"/>
        <v>0</v>
      </c>
      <c r="AV44">
        <f t="shared" si="1"/>
        <v>882</v>
      </c>
      <c r="AW44">
        <v>64</v>
      </c>
      <c r="AX44">
        <v>456</v>
      </c>
      <c r="BC44" t="s">
        <v>60</v>
      </c>
    </row>
    <row r="45" spans="3:55" x14ac:dyDescent="0.45">
      <c r="C45">
        <v>81.910000000000011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18.09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1</v>
      </c>
      <c r="W45">
        <v>0</v>
      </c>
      <c r="X45">
        <v>0</v>
      </c>
      <c r="Y45">
        <v>0</v>
      </c>
      <c r="Z45">
        <v>1</v>
      </c>
      <c r="AA45">
        <v>0</v>
      </c>
      <c r="AB45">
        <v>0</v>
      </c>
      <c r="AC45">
        <v>0</v>
      </c>
      <c r="AD45">
        <v>0</v>
      </c>
      <c r="AE45">
        <v>1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f t="shared" si="2"/>
        <v>5.0652000000000008</v>
      </c>
      <c r="AU45">
        <f t="shared" si="0"/>
        <v>0</v>
      </c>
      <c r="AV45">
        <f t="shared" si="1"/>
        <v>882</v>
      </c>
      <c r="AW45">
        <v>79</v>
      </c>
      <c r="AX45">
        <v>327</v>
      </c>
      <c r="BC45" t="s">
        <v>60</v>
      </c>
    </row>
    <row r="46" spans="3:55" x14ac:dyDescent="0.45">
      <c r="C46">
        <v>78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22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1</v>
      </c>
      <c r="W46">
        <v>0</v>
      </c>
      <c r="X46">
        <v>0</v>
      </c>
      <c r="Y46">
        <v>0</v>
      </c>
      <c r="Z46">
        <v>1</v>
      </c>
      <c r="AA46">
        <v>0</v>
      </c>
      <c r="AB46">
        <v>0</v>
      </c>
      <c r="AC46">
        <v>0</v>
      </c>
      <c r="AD46">
        <v>0</v>
      </c>
      <c r="AE46">
        <v>1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f t="shared" si="2"/>
        <v>6.16</v>
      </c>
      <c r="AU46">
        <f t="shared" si="0"/>
        <v>0</v>
      </c>
      <c r="AV46">
        <f t="shared" si="1"/>
        <v>882</v>
      </c>
      <c r="AW46">
        <v>73</v>
      </c>
      <c r="AX46">
        <v>405</v>
      </c>
      <c r="BC46" t="s">
        <v>60</v>
      </c>
    </row>
    <row r="47" spans="3:55" x14ac:dyDescent="0.45">
      <c r="C47">
        <v>74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26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1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1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f t="shared" si="2"/>
        <v>7.2800000000000011</v>
      </c>
      <c r="AU47">
        <f t="shared" si="0"/>
        <v>0</v>
      </c>
      <c r="AV47">
        <f t="shared" si="1"/>
        <v>882</v>
      </c>
      <c r="AW47">
        <v>50</v>
      </c>
      <c r="AX47">
        <v>290</v>
      </c>
      <c r="BC47" t="s">
        <v>60</v>
      </c>
    </row>
    <row r="48" spans="3:55" x14ac:dyDescent="0.45">
      <c r="C48">
        <v>74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26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1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f t="shared" si="2"/>
        <v>7.2800000000000011</v>
      </c>
      <c r="AU48">
        <f t="shared" si="0"/>
        <v>0</v>
      </c>
      <c r="AV48">
        <f t="shared" si="1"/>
        <v>882</v>
      </c>
      <c r="AW48">
        <v>75</v>
      </c>
      <c r="AX48">
        <v>447</v>
      </c>
      <c r="BC48" t="s">
        <v>60</v>
      </c>
    </row>
    <row r="49" spans="3:49" x14ac:dyDescent="0.45">
      <c r="C49">
        <v>76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24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1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f t="shared" si="2"/>
        <v>6.7200000000000006</v>
      </c>
      <c r="AU49">
        <f t="shared" si="0"/>
        <v>0</v>
      </c>
      <c r="AV49">
        <f t="shared" si="1"/>
        <v>882</v>
      </c>
      <c r="AW49">
        <v>66.7</v>
      </c>
    </row>
    <row r="50" spans="3:49" x14ac:dyDescent="0.45">
      <c r="C50">
        <v>92.85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7.15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1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f t="shared" si="2"/>
        <v>2.0020000000000002</v>
      </c>
      <c r="AU50">
        <f t="shared" si="0"/>
        <v>0</v>
      </c>
      <c r="AV50">
        <f t="shared" si="1"/>
        <v>882</v>
      </c>
      <c r="AW50">
        <v>81.25</v>
      </c>
    </row>
    <row r="51" spans="3:49" x14ac:dyDescent="0.45">
      <c r="C51">
        <v>83.31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16.690000000000001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1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f t="shared" si="2"/>
        <v>4.6732000000000005</v>
      </c>
      <c r="AU51">
        <f t="shared" si="0"/>
        <v>0</v>
      </c>
      <c r="AV51">
        <f t="shared" si="1"/>
        <v>882</v>
      </c>
      <c r="AW51">
        <v>80.989999999999995</v>
      </c>
    </row>
    <row r="52" spans="3:49" x14ac:dyDescent="0.45">
      <c r="C52">
        <v>90.9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9.1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1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f t="shared" si="2"/>
        <v>2.548</v>
      </c>
      <c r="AU52">
        <f t="shared" si="0"/>
        <v>0</v>
      </c>
      <c r="AV52">
        <f t="shared" si="1"/>
        <v>882</v>
      </c>
      <c r="AW52">
        <v>92.7</v>
      </c>
    </row>
    <row r="53" spans="3:49" x14ac:dyDescent="0.45">
      <c r="C53">
        <v>90.8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9.1999999999999993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1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f t="shared" si="2"/>
        <v>2.5760000000000001</v>
      </c>
      <c r="AU53">
        <f t="shared" si="0"/>
        <v>0</v>
      </c>
      <c r="AV53">
        <f t="shared" si="1"/>
        <v>882</v>
      </c>
      <c r="AW53">
        <v>93.11</v>
      </c>
    </row>
    <row r="54" spans="3:49" x14ac:dyDescent="0.45">
      <c r="C54">
        <v>82.65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17.350000000000001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1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f t="shared" si="2"/>
        <v>4.8580000000000005</v>
      </c>
      <c r="AU54">
        <f t="shared" si="0"/>
        <v>0</v>
      </c>
      <c r="AV54">
        <f t="shared" si="1"/>
        <v>882</v>
      </c>
      <c r="AW54">
        <v>98.88</v>
      </c>
    </row>
    <row r="55" spans="3:49" x14ac:dyDescent="0.45">
      <c r="C55">
        <v>72.5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27.5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1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f t="shared" si="2"/>
        <v>7.7000000000000011</v>
      </c>
      <c r="AU55">
        <f t="shared" si="0"/>
        <v>0</v>
      </c>
      <c r="AV55">
        <f t="shared" si="1"/>
        <v>882</v>
      </c>
      <c r="AW55">
        <v>77.31</v>
      </c>
    </row>
    <row r="56" spans="3:49" x14ac:dyDescent="0.45">
      <c r="C56">
        <v>71.349999999999994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28.65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1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f t="shared" si="2"/>
        <v>8.0220000000000002</v>
      </c>
      <c r="AU56">
        <f t="shared" si="0"/>
        <v>0</v>
      </c>
      <c r="AV56">
        <f t="shared" si="1"/>
        <v>882</v>
      </c>
      <c r="AW56">
        <v>95.22</v>
      </c>
    </row>
    <row r="57" spans="3:49" x14ac:dyDescent="0.45">
      <c r="C57">
        <v>98.7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1.3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1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f t="shared" si="2"/>
        <v>0.36400000000000005</v>
      </c>
      <c r="AU57">
        <f t="shared" si="0"/>
        <v>0</v>
      </c>
      <c r="AV57">
        <f t="shared" si="1"/>
        <v>882</v>
      </c>
      <c r="AW57">
        <v>112.5</v>
      </c>
    </row>
    <row r="58" spans="3:49" x14ac:dyDescent="0.45">
      <c r="C58">
        <v>97.9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2.1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1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f t="shared" si="2"/>
        <v>0.58800000000000008</v>
      </c>
      <c r="AU58">
        <f t="shared" si="0"/>
        <v>0</v>
      </c>
      <c r="AV58">
        <f t="shared" si="1"/>
        <v>882</v>
      </c>
      <c r="AW58">
        <v>108</v>
      </c>
    </row>
    <row r="59" spans="3:49" x14ac:dyDescent="0.45">
      <c r="C59">
        <v>94.59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5.41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1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f t="shared" si="2"/>
        <v>1.5148000000000001</v>
      </c>
      <c r="AU59">
        <f t="shared" si="0"/>
        <v>0</v>
      </c>
      <c r="AV59">
        <f t="shared" si="1"/>
        <v>882</v>
      </c>
      <c r="AW59">
        <v>78.5</v>
      </c>
    </row>
    <row r="60" spans="3:49" x14ac:dyDescent="0.45">
      <c r="C60">
        <v>91.67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8.33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1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f t="shared" si="2"/>
        <v>2.3324000000000003</v>
      </c>
      <c r="AU60">
        <f t="shared" si="0"/>
        <v>0</v>
      </c>
      <c r="AV60">
        <f t="shared" si="1"/>
        <v>882</v>
      </c>
      <c r="AW60">
        <v>66.5</v>
      </c>
    </row>
    <row r="61" spans="3:49" x14ac:dyDescent="0.45">
      <c r="C61">
        <v>90.45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9.5500000000000007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1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f t="shared" si="2"/>
        <v>2.6740000000000004</v>
      </c>
      <c r="AU61">
        <f t="shared" si="0"/>
        <v>0</v>
      </c>
      <c r="AV61">
        <f t="shared" si="1"/>
        <v>882</v>
      </c>
      <c r="AW61">
        <v>66</v>
      </c>
    </row>
    <row r="62" spans="3:49" x14ac:dyDescent="0.45">
      <c r="C62">
        <v>88.59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11.41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1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f t="shared" si="2"/>
        <v>3.1948000000000003</v>
      </c>
      <c r="AU62">
        <f t="shared" si="0"/>
        <v>0</v>
      </c>
      <c r="AV62">
        <f t="shared" si="1"/>
        <v>882</v>
      </c>
      <c r="AW62">
        <v>78.5</v>
      </c>
    </row>
    <row r="63" spans="3:49" x14ac:dyDescent="0.45">
      <c r="C63">
        <v>81.91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18.09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1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f t="shared" si="2"/>
        <v>5.0652000000000008</v>
      </c>
      <c r="AU63">
        <f t="shared" si="0"/>
        <v>0</v>
      </c>
      <c r="AV63">
        <f t="shared" si="1"/>
        <v>882</v>
      </c>
      <c r="AW63">
        <v>93.5</v>
      </c>
    </row>
    <row r="64" spans="3:49" x14ac:dyDescent="0.45">
      <c r="C64">
        <v>74.430000000000007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25.57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1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f t="shared" si="2"/>
        <v>7.1596000000000011</v>
      </c>
      <c r="AU64">
        <f t="shared" si="0"/>
        <v>0</v>
      </c>
      <c r="AV64">
        <f t="shared" si="1"/>
        <v>882</v>
      </c>
      <c r="AW64">
        <v>67</v>
      </c>
    </row>
    <row r="65" spans="3:49" x14ac:dyDescent="0.45">
      <c r="C65">
        <v>70.349999999999994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29.65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1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f t="shared" si="2"/>
        <v>8.3019999999999996</v>
      </c>
      <c r="AU65">
        <f t="shared" si="0"/>
        <v>0</v>
      </c>
      <c r="AV65">
        <f t="shared" si="1"/>
        <v>882</v>
      </c>
      <c r="AW65">
        <v>67.5</v>
      </c>
    </row>
    <row r="66" spans="3:49" x14ac:dyDescent="0.45">
      <c r="C66">
        <v>66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34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1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f t="shared" si="2"/>
        <v>9.5200000000000014</v>
      </c>
      <c r="AU66">
        <f t="shared" ref="AU66:AU129" si="3">D66+J66/6+M66/3+(T66+S66)/10</f>
        <v>0</v>
      </c>
      <c r="AV66">
        <f t="shared" ref="AV66:AV129" si="4">882+2.1*D66-9.5*L66+4.2*M66-6.9*J66-11.8*E66-12.1*F66-15.4*H66+23.3*Q66+123*T66</f>
        <v>882</v>
      </c>
      <c r="AW66">
        <v>74.5</v>
      </c>
    </row>
    <row r="67" spans="3:49" x14ac:dyDescent="0.45">
      <c r="C67">
        <v>56.41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43.59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1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f t="shared" ref="AT67:AT130" si="5">L67+0.67*E67+0.44*P67+0.28*K67+0.22*O67+2.9*H67+1.6*F67+1.7*G67-D67</f>
        <v>12.205200000000001</v>
      </c>
      <c r="AU67">
        <f t="shared" si="3"/>
        <v>0</v>
      </c>
      <c r="AV67">
        <f t="shared" si="4"/>
        <v>882</v>
      </c>
      <c r="AW67">
        <v>84</v>
      </c>
    </row>
    <row r="68" spans="3:49" x14ac:dyDescent="0.45">
      <c r="C68">
        <v>77.53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22.47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1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f t="shared" si="5"/>
        <v>6.2915999999999999</v>
      </c>
      <c r="AU68">
        <f t="shared" si="3"/>
        <v>0</v>
      </c>
      <c r="AV68">
        <f t="shared" si="4"/>
        <v>882</v>
      </c>
      <c r="AW68">
        <v>72</v>
      </c>
    </row>
    <row r="69" spans="3:49" x14ac:dyDescent="0.45">
      <c r="C69">
        <v>74.430000000000007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25.57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1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f t="shared" si="5"/>
        <v>7.1596000000000011</v>
      </c>
      <c r="AU69">
        <f t="shared" si="3"/>
        <v>0</v>
      </c>
      <c r="AV69">
        <f t="shared" si="4"/>
        <v>882</v>
      </c>
      <c r="AW69">
        <v>61</v>
      </c>
    </row>
    <row r="70" spans="3:49" x14ac:dyDescent="0.45">
      <c r="C70">
        <v>72.83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27.17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1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f t="shared" si="5"/>
        <v>7.6076000000000015</v>
      </c>
      <c r="AU70">
        <f t="shared" si="3"/>
        <v>0</v>
      </c>
      <c r="AV70">
        <f t="shared" si="4"/>
        <v>882</v>
      </c>
      <c r="AW70">
        <v>62</v>
      </c>
    </row>
    <row r="71" spans="3:49" x14ac:dyDescent="0.45">
      <c r="C71">
        <v>70.25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29.75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1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f t="shared" si="5"/>
        <v>8.33</v>
      </c>
      <c r="AU71">
        <f t="shared" si="3"/>
        <v>0</v>
      </c>
      <c r="AV71">
        <f t="shared" si="4"/>
        <v>882</v>
      </c>
      <c r="AW71">
        <v>65</v>
      </c>
    </row>
    <row r="72" spans="3:49" x14ac:dyDescent="0.45">
      <c r="C72">
        <v>70.180000000000007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29.82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1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f t="shared" si="5"/>
        <v>8.3496000000000006</v>
      </c>
      <c r="AU72">
        <f t="shared" si="3"/>
        <v>0</v>
      </c>
      <c r="AV72">
        <f t="shared" si="4"/>
        <v>882</v>
      </c>
      <c r="AW72">
        <v>64.3</v>
      </c>
    </row>
    <row r="73" spans="3:49" x14ac:dyDescent="0.45">
      <c r="C73">
        <v>80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20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1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f t="shared" si="5"/>
        <v>5.6000000000000005</v>
      </c>
      <c r="AU73">
        <f t="shared" si="3"/>
        <v>0</v>
      </c>
      <c r="AV73">
        <f t="shared" si="4"/>
        <v>882</v>
      </c>
      <c r="AW73">
        <v>61.4</v>
      </c>
    </row>
    <row r="74" spans="3:49" x14ac:dyDescent="0.45">
      <c r="C74">
        <v>74.489999999999995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25.51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f t="shared" si="5"/>
        <v>7.1428000000000011</v>
      </c>
      <c r="AU74">
        <f t="shared" si="3"/>
        <v>0</v>
      </c>
      <c r="AV74">
        <f t="shared" si="4"/>
        <v>882</v>
      </c>
      <c r="AW74">
        <v>65</v>
      </c>
    </row>
    <row r="75" spans="3:49" x14ac:dyDescent="0.45">
      <c r="C75">
        <v>43.59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56.41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f t="shared" si="5"/>
        <v>15.7948</v>
      </c>
      <c r="AU75">
        <f t="shared" si="3"/>
        <v>0</v>
      </c>
      <c r="AV75">
        <f t="shared" si="4"/>
        <v>882</v>
      </c>
      <c r="AW75">
        <v>54</v>
      </c>
    </row>
    <row r="76" spans="3:49" x14ac:dyDescent="0.45">
      <c r="C76">
        <v>73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27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f t="shared" si="5"/>
        <v>7.5600000000000005</v>
      </c>
      <c r="AU76">
        <f t="shared" si="3"/>
        <v>0</v>
      </c>
      <c r="AV76">
        <f t="shared" si="4"/>
        <v>882</v>
      </c>
      <c r="AW76">
        <v>67.099999999999994</v>
      </c>
    </row>
    <row r="77" spans="3:49" x14ac:dyDescent="0.45">
      <c r="C77">
        <v>72.739999999999995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27.26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f t="shared" si="5"/>
        <v>7.6328000000000014</v>
      </c>
      <c r="AU77">
        <f t="shared" si="3"/>
        <v>0</v>
      </c>
      <c r="AV77">
        <f t="shared" si="4"/>
        <v>882</v>
      </c>
      <c r="AW77">
        <v>55</v>
      </c>
    </row>
    <row r="78" spans="3:49" x14ac:dyDescent="0.45">
      <c r="C78">
        <v>76.849999999999994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23.15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</v>
      </c>
      <c r="AT78">
        <f t="shared" si="5"/>
        <v>6.4820000000000002</v>
      </c>
      <c r="AU78">
        <f t="shared" si="3"/>
        <v>0</v>
      </c>
      <c r="AV78">
        <f t="shared" si="4"/>
        <v>882</v>
      </c>
      <c r="AW78">
        <v>65</v>
      </c>
    </row>
    <row r="79" spans="3:49" x14ac:dyDescent="0.45">
      <c r="C79">
        <v>71.180000000000007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28.82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f t="shared" si="5"/>
        <v>8.0696000000000012</v>
      </c>
      <c r="AU79">
        <f t="shared" si="3"/>
        <v>0</v>
      </c>
      <c r="AV79">
        <f t="shared" si="4"/>
        <v>882</v>
      </c>
      <c r="AW79">
        <v>62</v>
      </c>
    </row>
    <row r="80" spans="3:49" x14ac:dyDescent="0.45">
      <c r="C80">
        <v>78.28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21.72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>
        <f t="shared" si="5"/>
        <v>6.0815999999999999</v>
      </c>
      <c r="AU80">
        <f t="shared" si="3"/>
        <v>0</v>
      </c>
      <c r="AV80">
        <f t="shared" si="4"/>
        <v>882</v>
      </c>
      <c r="AW80">
        <v>69</v>
      </c>
    </row>
    <row r="81" spans="3:55" x14ac:dyDescent="0.45">
      <c r="C81">
        <v>76.849999999999994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23.15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f t="shared" si="5"/>
        <v>6.4820000000000002</v>
      </c>
      <c r="AU81">
        <f t="shared" si="3"/>
        <v>0</v>
      </c>
      <c r="AV81">
        <f t="shared" si="4"/>
        <v>882</v>
      </c>
      <c r="AW81">
        <v>65</v>
      </c>
    </row>
    <row r="82" spans="3:55" x14ac:dyDescent="0.45">
      <c r="C82">
        <v>70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30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950</v>
      </c>
      <c r="AD82">
        <v>1</v>
      </c>
      <c r="AE82">
        <v>1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0</v>
      </c>
      <c r="AS82">
        <v>0</v>
      </c>
      <c r="AT82">
        <f t="shared" si="5"/>
        <v>6.6</v>
      </c>
      <c r="AU82">
        <f t="shared" si="3"/>
        <v>0</v>
      </c>
      <c r="AV82">
        <f t="shared" si="4"/>
        <v>882</v>
      </c>
      <c r="AY82">
        <v>587</v>
      </c>
      <c r="AZ82">
        <v>20.97</v>
      </c>
      <c r="BC82" t="s">
        <v>109</v>
      </c>
    </row>
    <row r="83" spans="3:55" x14ac:dyDescent="0.45">
      <c r="C83">
        <v>70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30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1</v>
      </c>
      <c r="Z83">
        <v>0</v>
      </c>
      <c r="AA83">
        <v>0</v>
      </c>
      <c r="AB83">
        <v>0</v>
      </c>
      <c r="AC83">
        <v>950</v>
      </c>
      <c r="AD83">
        <v>1</v>
      </c>
      <c r="AE83">
        <v>1</v>
      </c>
      <c r="AF83">
        <v>0</v>
      </c>
      <c r="AG83">
        <v>0</v>
      </c>
      <c r="AH83">
        <v>500</v>
      </c>
      <c r="AI83">
        <v>72</v>
      </c>
      <c r="AJ83">
        <v>1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f t="shared" si="5"/>
        <v>6.6</v>
      </c>
      <c r="AU83">
        <f t="shared" si="3"/>
        <v>0</v>
      </c>
      <c r="AV83">
        <f t="shared" si="4"/>
        <v>882</v>
      </c>
      <c r="AY83">
        <v>891</v>
      </c>
      <c r="AZ83">
        <v>9.32</v>
      </c>
      <c r="BC83" t="s">
        <v>109</v>
      </c>
    </row>
    <row r="84" spans="3:55" x14ac:dyDescent="0.45">
      <c r="C84">
        <v>70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30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1</v>
      </c>
      <c r="Z84">
        <v>0</v>
      </c>
      <c r="AA84">
        <v>0</v>
      </c>
      <c r="AB84">
        <v>0</v>
      </c>
      <c r="AC84">
        <v>950</v>
      </c>
      <c r="AD84">
        <v>1</v>
      </c>
      <c r="AE84">
        <v>1</v>
      </c>
      <c r="AF84">
        <v>0</v>
      </c>
      <c r="AG84">
        <v>0</v>
      </c>
      <c r="AH84">
        <v>600</v>
      </c>
      <c r="AI84">
        <v>72</v>
      </c>
      <c r="AJ84">
        <v>1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f t="shared" si="5"/>
        <v>6.6</v>
      </c>
      <c r="AU84">
        <f t="shared" si="3"/>
        <v>0</v>
      </c>
      <c r="AV84">
        <f t="shared" si="4"/>
        <v>882</v>
      </c>
      <c r="AY84">
        <v>761</v>
      </c>
      <c r="AZ84">
        <v>11.93</v>
      </c>
      <c r="BC84" t="s">
        <v>109</v>
      </c>
    </row>
    <row r="85" spans="3:55" x14ac:dyDescent="0.45">
      <c r="C85">
        <v>50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50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1</v>
      </c>
      <c r="Z85">
        <v>0</v>
      </c>
      <c r="AA85">
        <v>0</v>
      </c>
      <c r="AB85">
        <v>0</v>
      </c>
      <c r="AC85">
        <v>950</v>
      </c>
      <c r="AD85">
        <v>1</v>
      </c>
      <c r="AE85">
        <v>1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AT85">
        <f t="shared" si="5"/>
        <v>11</v>
      </c>
      <c r="AU85">
        <f t="shared" si="3"/>
        <v>0</v>
      </c>
      <c r="AV85">
        <f t="shared" si="4"/>
        <v>882</v>
      </c>
      <c r="AY85">
        <v>582</v>
      </c>
      <c r="AZ85">
        <v>22.97</v>
      </c>
      <c r="BC85" t="s">
        <v>109</v>
      </c>
    </row>
    <row r="86" spans="3:55" x14ac:dyDescent="0.45">
      <c r="C86">
        <v>50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50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1</v>
      </c>
      <c r="Z86">
        <v>0</v>
      </c>
      <c r="AA86">
        <v>0</v>
      </c>
      <c r="AB86">
        <v>0</v>
      </c>
      <c r="AC86">
        <v>950</v>
      </c>
      <c r="AD86">
        <v>1</v>
      </c>
      <c r="AE86">
        <v>1</v>
      </c>
      <c r="AF86">
        <v>0</v>
      </c>
      <c r="AG86">
        <v>0</v>
      </c>
      <c r="AH86">
        <v>500</v>
      </c>
      <c r="AI86">
        <v>72</v>
      </c>
      <c r="AJ86">
        <v>1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f t="shared" si="5"/>
        <v>11</v>
      </c>
      <c r="AU86">
        <f t="shared" si="3"/>
        <v>0</v>
      </c>
      <c r="AV86">
        <f t="shared" si="4"/>
        <v>882</v>
      </c>
      <c r="AY86">
        <v>1029</v>
      </c>
      <c r="AZ86">
        <v>10.38</v>
      </c>
      <c r="BC86" t="s">
        <v>109</v>
      </c>
    </row>
    <row r="87" spans="3:55" x14ac:dyDescent="0.45">
      <c r="C87">
        <v>50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50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1</v>
      </c>
      <c r="Z87">
        <v>0</v>
      </c>
      <c r="AA87">
        <v>0</v>
      </c>
      <c r="AB87">
        <v>0</v>
      </c>
      <c r="AC87">
        <v>950</v>
      </c>
      <c r="AD87">
        <v>1</v>
      </c>
      <c r="AE87">
        <v>1</v>
      </c>
      <c r="AF87">
        <v>0</v>
      </c>
      <c r="AG87">
        <v>0</v>
      </c>
      <c r="AH87">
        <v>600</v>
      </c>
      <c r="AI87">
        <v>72</v>
      </c>
      <c r="AJ87">
        <v>1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f t="shared" si="5"/>
        <v>11</v>
      </c>
      <c r="AU87">
        <f t="shared" si="3"/>
        <v>0</v>
      </c>
      <c r="AV87">
        <f t="shared" si="4"/>
        <v>882</v>
      </c>
      <c r="AY87">
        <v>988</v>
      </c>
      <c r="AZ87">
        <v>10.63</v>
      </c>
      <c r="BC87" t="s">
        <v>109</v>
      </c>
    </row>
    <row r="88" spans="3:55" x14ac:dyDescent="0.45">
      <c r="C88">
        <v>97.14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2.86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1</v>
      </c>
      <c r="W88">
        <v>0</v>
      </c>
      <c r="X88">
        <v>0</v>
      </c>
      <c r="Y88">
        <v>0</v>
      </c>
      <c r="Z88">
        <v>1</v>
      </c>
      <c r="AA88">
        <v>0</v>
      </c>
      <c r="AB88">
        <v>0</v>
      </c>
      <c r="AC88">
        <v>0</v>
      </c>
      <c r="AD88">
        <v>0</v>
      </c>
      <c r="AE88">
        <v>1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f t="shared" si="5"/>
        <v>0.62919999999999998</v>
      </c>
      <c r="AU88">
        <f t="shared" si="3"/>
        <v>0</v>
      </c>
      <c r="AV88">
        <f t="shared" si="4"/>
        <v>882</v>
      </c>
      <c r="AW88">
        <v>100</v>
      </c>
      <c r="AX88">
        <v>396</v>
      </c>
      <c r="BC88" t="s">
        <v>60</v>
      </c>
    </row>
    <row r="89" spans="3:55" x14ac:dyDescent="0.45">
      <c r="C89">
        <v>89.82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10.18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0</v>
      </c>
      <c r="Z89">
        <v>1</v>
      </c>
      <c r="AA89">
        <v>0</v>
      </c>
      <c r="AB89">
        <v>0</v>
      </c>
      <c r="AC89">
        <v>0</v>
      </c>
      <c r="AD89">
        <v>0</v>
      </c>
      <c r="AE89">
        <v>1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f t="shared" si="5"/>
        <v>2.2395999999999998</v>
      </c>
      <c r="AU89">
        <f t="shared" si="3"/>
        <v>0</v>
      </c>
      <c r="AV89">
        <f t="shared" si="4"/>
        <v>882</v>
      </c>
      <c r="AW89">
        <v>69</v>
      </c>
      <c r="AX89">
        <v>441</v>
      </c>
      <c r="BC89" t="s">
        <v>60</v>
      </c>
    </row>
    <row r="90" spans="3:55" x14ac:dyDescent="0.45">
      <c r="C90">
        <v>79.08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20.919999999999998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0</v>
      </c>
      <c r="AE90">
        <v>1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f t="shared" si="5"/>
        <v>4.6023999999999994</v>
      </c>
      <c r="AU90">
        <f t="shared" si="3"/>
        <v>0</v>
      </c>
      <c r="AV90">
        <f t="shared" si="4"/>
        <v>882</v>
      </c>
      <c r="AW90">
        <v>88</v>
      </c>
      <c r="AX90">
        <v>379</v>
      </c>
      <c r="BC90" t="s">
        <v>60</v>
      </c>
    </row>
    <row r="91" spans="3:55" x14ac:dyDescent="0.45">
      <c r="C91">
        <v>61.83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38.17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0</v>
      </c>
      <c r="Z91">
        <v>1</v>
      </c>
      <c r="AA91">
        <v>0</v>
      </c>
      <c r="AB91">
        <v>0</v>
      </c>
      <c r="AC91">
        <v>0</v>
      </c>
      <c r="AD91">
        <v>0</v>
      </c>
      <c r="AE91">
        <v>1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f t="shared" si="5"/>
        <v>8.3974000000000011</v>
      </c>
      <c r="AU91">
        <f t="shared" si="3"/>
        <v>0</v>
      </c>
      <c r="AV91">
        <f t="shared" si="4"/>
        <v>882</v>
      </c>
      <c r="AW91">
        <v>67</v>
      </c>
      <c r="AX91">
        <v>373</v>
      </c>
      <c r="BC91" t="s">
        <v>60</v>
      </c>
    </row>
    <row r="92" spans="3:55" x14ac:dyDescent="0.45">
      <c r="C92">
        <v>86.02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13.98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1</v>
      </c>
      <c r="Z92">
        <v>0</v>
      </c>
      <c r="AA92">
        <v>0</v>
      </c>
      <c r="AB92">
        <v>0</v>
      </c>
      <c r="AC92">
        <v>900</v>
      </c>
      <c r="AD92">
        <v>1.67E-2</v>
      </c>
      <c r="AE92">
        <v>1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</v>
      </c>
      <c r="AT92">
        <f t="shared" si="5"/>
        <v>13.98</v>
      </c>
      <c r="AU92">
        <f t="shared" si="3"/>
        <v>0</v>
      </c>
      <c r="AV92">
        <f t="shared" si="4"/>
        <v>749.19</v>
      </c>
      <c r="AY92">
        <v>1153</v>
      </c>
      <c r="AZ92">
        <v>8.18</v>
      </c>
      <c r="BC92" t="s">
        <v>61</v>
      </c>
    </row>
    <row r="93" spans="3:55" x14ac:dyDescent="0.45">
      <c r="C93">
        <v>86.02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13.98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1</v>
      </c>
      <c r="Z93">
        <v>0</v>
      </c>
      <c r="AA93">
        <v>0</v>
      </c>
      <c r="AB93">
        <v>0</v>
      </c>
      <c r="AC93">
        <v>900</v>
      </c>
      <c r="AD93">
        <v>0.05</v>
      </c>
      <c r="AE93">
        <v>1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T93">
        <f t="shared" si="5"/>
        <v>13.98</v>
      </c>
      <c r="AU93">
        <f t="shared" si="3"/>
        <v>0</v>
      </c>
      <c r="AV93">
        <f t="shared" si="4"/>
        <v>749.19</v>
      </c>
      <c r="AY93">
        <v>938</v>
      </c>
      <c r="AZ93">
        <v>27.2</v>
      </c>
      <c r="BC93" t="s">
        <v>61</v>
      </c>
    </row>
    <row r="94" spans="3:55" x14ac:dyDescent="0.45">
      <c r="C94">
        <v>86.02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13.98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1</v>
      </c>
      <c r="Z94">
        <v>0</v>
      </c>
      <c r="AA94">
        <v>0</v>
      </c>
      <c r="AB94">
        <v>0</v>
      </c>
      <c r="AC94">
        <v>900</v>
      </c>
      <c r="AD94">
        <v>8.3000000000000004E-2</v>
      </c>
      <c r="AE94">
        <v>1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f t="shared" si="5"/>
        <v>13.98</v>
      </c>
      <c r="AU94">
        <f t="shared" si="3"/>
        <v>0</v>
      </c>
      <c r="AV94">
        <f t="shared" si="4"/>
        <v>749.19</v>
      </c>
      <c r="AY94">
        <v>924</v>
      </c>
      <c r="AZ94">
        <v>28.2</v>
      </c>
      <c r="BC94" t="s">
        <v>61</v>
      </c>
    </row>
    <row r="95" spans="3:55" x14ac:dyDescent="0.45">
      <c r="C95">
        <v>86.02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13.98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0</v>
      </c>
      <c r="AA95">
        <v>0</v>
      </c>
      <c r="AB95">
        <v>0</v>
      </c>
      <c r="AC95">
        <v>900</v>
      </c>
      <c r="AD95">
        <v>0.16700000000000001</v>
      </c>
      <c r="AE95">
        <v>1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0</v>
      </c>
      <c r="AS95">
        <v>0</v>
      </c>
      <c r="AT95">
        <f t="shared" si="5"/>
        <v>13.98</v>
      </c>
      <c r="AU95">
        <f t="shared" si="3"/>
        <v>0</v>
      </c>
      <c r="AV95">
        <f t="shared" si="4"/>
        <v>749.19</v>
      </c>
      <c r="AY95">
        <v>921</v>
      </c>
      <c r="AZ95">
        <v>21.78</v>
      </c>
      <c r="BC95" t="s">
        <v>61</v>
      </c>
    </row>
    <row r="96" spans="3:55" x14ac:dyDescent="0.45">
      <c r="C96">
        <v>86.02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13.98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0</v>
      </c>
      <c r="AA96">
        <v>0</v>
      </c>
      <c r="AB96">
        <v>0</v>
      </c>
      <c r="AC96">
        <v>900</v>
      </c>
      <c r="AD96">
        <v>0.5</v>
      </c>
      <c r="AE96">
        <v>1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0</v>
      </c>
      <c r="AT96">
        <f t="shared" si="5"/>
        <v>13.98</v>
      </c>
      <c r="AU96">
        <f t="shared" si="3"/>
        <v>0</v>
      </c>
      <c r="AV96">
        <f t="shared" si="4"/>
        <v>749.19</v>
      </c>
      <c r="AY96">
        <v>940</v>
      </c>
      <c r="AZ96">
        <v>17.399999999999999</v>
      </c>
      <c r="BC96" t="s">
        <v>61</v>
      </c>
    </row>
    <row r="97" spans="3:55" x14ac:dyDescent="0.45">
      <c r="C97">
        <v>85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15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1</v>
      </c>
      <c r="W97">
        <v>1000</v>
      </c>
      <c r="X97">
        <v>70</v>
      </c>
      <c r="Y97">
        <v>0</v>
      </c>
      <c r="Z97">
        <v>1</v>
      </c>
      <c r="AA97">
        <v>0</v>
      </c>
      <c r="AB97">
        <v>0</v>
      </c>
      <c r="AC97">
        <v>850</v>
      </c>
      <c r="AD97">
        <v>1</v>
      </c>
      <c r="AE97">
        <v>1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>
        <f t="shared" si="5"/>
        <v>15</v>
      </c>
      <c r="AU97">
        <f t="shared" si="3"/>
        <v>0</v>
      </c>
      <c r="AV97">
        <f t="shared" si="4"/>
        <v>739.5</v>
      </c>
      <c r="AY97">
        <v>669</v>
      </c>
      <c r="AZ97">
        <v>45.52</v>
      </c>
      <c r="BC97" t="s">
        <v>110</v>
      </c>
    </row>
    <row r="98" spans="3:55" x14ac:dyDescent="0.45">
      <c r="C98">
        <v>84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16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1</v>
      </c>
      <c r="W98">
        <v>1000</v>
      </c>
      <c r="X98">
        <v>70</v>
      </c>
      <c r="Y98">
        <v>0</v>
      </c>
      <c r="Z98">
        <v>1</v>
      </c>
      <c r="AA98">
        <v>0</v>
      </c>
      <c r="AB98">
        <v>0</v>
      </c>
      <c r="AC98">
        <v>850</v>
      </c>
      <c r="AD98">
        <v>1</v>
      </c>
      <c r="AE98">
        <v>1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T98">
        <f t="shared" si="5"/>
        <v>16</v>
      </c>
      <c r="AU98">
        <f t="shared" si="3"/>
        <v>0</v>
      </c>
      <c r="AV98">
        <f t="shared" si="4"/>
        <v>730</v>
      </c>
      <c r="AY98">
        <v>687</v>
      </c>
      <c r="AZ98">
        <v>38.42</v>
      </c>
      <c r="BC98" t="s">
        <v>110</v>
      </c>
    </row>
    <row r="99" spans="3:55" x14ac:dyDescent="0.45">
      <c r="C99">
        <v>83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17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1</v>
      </c>
      <c r="W99">
        <v>1000</v>
      </c>
      <c r="X99">
        <v>70</v>
      </c>
      <c r="Y99">
        <v>0</v>
      </c>
      <c r="Z99">
        <v>1</v>
      </c>
      <c r="AA99">
        <v>0</v>
      </c>
      <c r="AB99">
        <v>0</v>
      </c>
      <c r="AC99">
        <v>850</v>
      </c>
      <c r="AD99">
        <v>1</v>
      </c>
      <c r="AE99">
        <v>1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f t="shared" si="5"/>
        <v>17</v>
      </c>
      <c r="AU99">
        <f t="shared" si="3"/>
        <v>0</v>
      </c>
      <c r="AV99">
        <f t="shared" si="4"/>
        <v>720.5</v>
      </c>
      <c r="AY99">
        <v>722</v>
      </c>
      <c r="AZ99">
        <v>23.86</v>
      </c>
      <c r="BC99" t="s">
        <v>110</v>
      </c>
    </row>
    <row r="100" spans="3:55" x14ac:dyDescent="0.45">
      <c r="C100">
        <v>82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18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1</v>
      </c>
      <c r="W100">
        <v>1000</v>
      </c>
      <c r="X100">
        <v>70</v>
      </c>
      <c r="Y100">
        <v>0</v>
      </c>
      <c r="Z100">
        <v>1</v>
      </c>
      <c r="AA100">
        <v>0</v>
      </c>
      <c r="AB100">
        <v>0</v>
      </c>
      <c r="AC100">
        <v>850</v>
      </c>
      <c r="AD100">
        <v>1</v>
      </c>
      <c r="AE100">
        <v>1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f t="shared" si="5"/>
        <v>18</v>
      </c>
      <c r="AU100">
        <f t="shared" si="3"/>
        <v>0</v>
      </c>
      <c r="AV100">
        <f t="shared" si="4"/>
        <v>711</v>
      </c>
      <c r="AY100">
        <v>778</v>
      </c>
      <c r="AZ100">
        <v>15.5</v>
      </c>
      <c r="BC100" t="s">
        <v>110</v>
      </c>
    </row>
    <row r="101" spans="3:55" x14ac:dyDescent="0.45">
      <c r="C101">
        <v>92.5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7.5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1</v>
      </c>
      <c r="W101">
        <v>0</v>
      </c>
      <c r="X101">
        <v>0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f t="shared" si="5"/>
        <v>7.5</v>
      </c>
      <c r="AU101">
        <f t="shared" si="3"/>
        <v>0</v>
      </c>
      <c r="AV101">
        <f t="shared" si="4"/>
        <v>810.75</v>
      </c>
      <c r="AW101">
        <v>70</v>
      </c>
      <c r="AX101">
        <v>737</v>
      </c>
      <c r="AY101">
        <v>1019</v>
      </c>
      <c r="AZ101">
        <v>16</v>
      </c>
      <c r="BC101" t="s">
        <v>62</v>
      </c>
    </row>
    <row r="102" spans="3:55" x14ac:dyDescent="0.45">
      <c r="C102">
        <v>85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15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1</v>
      </c>
      <c r="W102">
        <v>0</v>
      </c>
      <c r="X102">
        <v>0</v>
      </c>
      <c r="Y102">
        <v>0</v>
      </c>
      <c r="Z102">
        <v>1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f t="shared" si="5"/>
        <v>15</v>
      </c>
      <c r="AU102">
        <f t="shared" si="3"/>
        <v>0</v>
      </c>
      <c r="AV102">
        <f t="shared" si="4"/>
        <v>739.5</v>
      </c>
      <c r="AW102">
        <v>84</v>
      </c>
      <c r="AX102">
        <v>745</v>
      </c>
      <c r="AY102">
        <v>921</v>
      </c>
      <c r="AZ102">
        <v>25</v>
      </c>
      <c r="BC102" t="s">
        <v>63</v>
      </c>
    </row>
    <row r="103" spans="3:55" x14ac:dyDescent="0.45">
      <c r="C103">
        <v>92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8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1</v>
      </c>
      <c r="W103">
        <v>20</v>
      </c>
      <c r="X103">
        <v>94</v>
      </c>
      <c r="Y103">
        <v>0</v>
      </c>
      <c r="Z103">
        <v>1</v>
      </c>
      <c r="AA103">
        <v>0</v>
      </c>
      <c r="AB103">
        <v>0</v>
      </c>
      <c r="AC103">
        <v>900</v>
      </c>
      <c r="AD103">
        <v>0.5</v>
      </c>
      <c r="AE103">
        <v>1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f t="shared" si="5"/>
        <v>8</v>
      </c>
      <c r="AU103">
        <f t="shared" si="3"/>
        <v>0</v>
      </c>
      <c r="AV103">
        <f t="shared" si="4"/>
        <v>806</v>
      </c>
      <c r="AW103">
        <v>58.6</v>
      </c>
      <c r="AX103">
        <v>322</v>
      </c>
      <c r="AY103">
        <v>743</v>
      </c>
      <c r="AZ103">
        <v>31.71</v>
      </c>
      <c r="BC103" t="s">
        <v>64</v>
      </c>
    </row>
    <row r="104" spans="3:55" x14ac:dyDescent="0.45">
      <c r="C104">
        <v>89.8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10.199999999999999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1</v>
      </c>
      <c r="W104">
        <v>0</v>
      </c>
      <c r="X104">
        <v>0</v>
      </c>
      <c r="Y104">
        <v>0</v>
      </c>
      <c r="Z104">
        <v>1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f t="shared" si="5"/>
        <v>10.199999999999999</v>
      </c>
      <c r="AU104">
        <f t="shared" si="3"/>
        <v>0</v>
      </c>
      <c r="AV104">
        <f t="shared" si="4"/>
        <v>785.1</v>
      </c>
      <c r="AX104">
        <v>741.07</v>
      </c>
      <c r="AY104">
        <v>662.99</v>
      </c>
      <c r="AZ104">
        <v>0.71</v>
      </c>
      <c r="BA104">
        <v>113</v>
      </c>
      <c r="BC104" t="s">
        <v>65</v>
      </c>
    </row>
    <row r="105" spans="3:55" x14ac:dyDescent="0.45">
      <c r="C105">
        <v>89.17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10.83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1</v>
      </c>
      <c r="W105">
        <v>0</v>
      </c>
      <c r="X105">
        <v>0</v>
      </c>
      <c r="Y105">
        <v>0</v>
      </c>
      <c r="Z105">
        <v>1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f t="shared" si="5"/>
        <v>10.83</v>
      </c>
      <c r="AU105">
        <f t="shared" si="3"/>
        <v>0</v>
      </c>
      <c r="AV105">
        <f t="shared" si="4"/>
        <v>779.11500000000001</v>
      </c>
      <c r="AY105">
        <v>885.45</v>
      </c>
      <c r="AZ105">
        <v>0.35</v>
      </c>
      <c r="BA105">
        <v>105.17</v>
      </c>
      <c r="BC105" t="s">
        <v>65</v>
      </c>
    </row>
    <row r="106" spans="3:55" x14ac:dyDescent="0.45">
      <c r="C106">
        <v>87.11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12.89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1</v>
      </c>
      <c r="W106">
        <v>0</v>
      </c>
      <c r="X106">
        <v>0</v>
      </c>
      <c r="Y106">
        <v>0</v>
      </c>
      <c r="Z106">
        <v>1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>
        <v>0</v>
      </c>
      <c r="AR106">
        <v>0</v>
      </c>
      <c r="AS106">
        <v>0</v>
      </c>
      <c r="AT106">
        <f t="shared" si="5"/>
        <v>12.89</v>
      </c>
      <c r="AU106">
        <f t="shared" si="3"/>
        <v>0</v>
      </c>
      <c r="AV106">
        <f t="shared" si="4"/>
        <v>759.54499999999996</v>
      </c>
      <c r="AY106">
        <v>643.1</v>
      </c>
      <c r="AZ106">
        <v>0.09</v>
      </c>
      <c r="BA106">
        <v>104.47</v>
      </c>
      <c r="BB106" t="s">
        <v>339</v>
      </c>
      <c r="BC106" t="s">
        <v>65</v>
      </c>
    </row>
    <row r="107" spans="3:55" x14ac:dyDescent="0.45">
      <c r="C107">
        <v>84.95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15.05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1</v>
      </c>
      <c r="W107">
        <v>0</v>
      </c>
      <c r="X107">
        <v>0</v>
      </c>
      <c r="Y107">
        <v>0</v>
      </c>
      <c r="Z107">
        <v>1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0</v>
      </c>
      <c r="AT107">
        <f t="shared" si="5"/>
        <v>15.05</v>
      </c>
      <c r="AU107">
        <f t="shared" si="3"/>
        <v>0</v>
      </c>
      <c r="AV107">
        <f t="shared" si="4"/>
        <v>739.02499999999998</v>
      </c>
      <c r="AX107">
        <v>542.47</v>
      </c>
      <c r="AY107">
        <v>593.48</v>
      </c>
      <c r="AZ107">
        <v>0.14000000000000001</v>
      </c>
      <c r="BA107">
        <v>70.48</v>
      </c>
      <c r="BB107" t="s">
        <v>339</v>
      </c>
      <c r="BC107" t="s">
        <v>65</v>
      </c>
    </row>
    <row r="108" spans="3:55" x14ac:dyDescent="0.45">
      <c r="C108">
        <v>85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15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1</v>
      </c>
      <c r="W108">
        <v>1000</v>
      </c>
      <c r="X108">
        <v>70</v>
      </c>
      <c r="Y108">
        <v>0</v>
      </c>
      <c r="Z108">
        <v>1</v>
      </c>
      <c r="AA108">
        <v>0</v>
      </c>
      <c r="AB108">
        <v>0</v>
      </c>
      <c r="AC108">
        <v>850</v>
      </c>
      <c r="AD108">
        <v>1</v>
      </c>
      <c r="AE108">
        <v>1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v>0</v>
      </c>
      <c r="AN108">
        <v>0</v>
      </c>
      <c r="AO108">
        <v>0</v>
      </c>
      <c r="AP108">
        <v>0</v>
      </c>
      <c r="AQ108">
        <v>0</v>
      </c>
      <c r="AR108">
        <v>0</v>
      </c>
      <c r="AS108">
        <v>0</v>
      </c>
      <c r="AT108">
        <f t="shared" si="5"/>
        <v>15</v>
      </c>
      <c r="AU108">
        <f t="shared" si="3"/>
        <v>0</v>
      </c>
      <c r="AV108">
        <f t="shared" si="4"/>
        <v>739.5</v>
      </c>
      <c r="AX108" t="s">
        <v>216</v>
      </c>
      <c r="AY108">
        <v>669</v>
      </c>
      <c r="AZ108">
        <v>45.57</v>
      </c>
      <c r="BB108" t="s">
        <v>339</v>
      </c>
      <c r="BC108" t="s">
        <v>66</v>
      </c>
    </row>
    <row r="109" spans="3:55" x14ac:dyDescent="0.45">
      <c r="C109">
        <v>84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16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1</v>
      </c>
      <c r="W109">
        <v>1000</v>
      </c>
      <c r="X109">
        <v>70</v>
      </c>
      <c r="Y109">
        <v>0</v>
      </c>
      <c r="Z109">
        <v>1</v>
      </c>
      <c r="AA109">
        <v>0</v>
      </c>
      <c r="AB109">
        <v>0</v>
      </c>
      <c r="AC109">
        <v>850</v>
      </c>
      <c r="AD109">
        <v>1</v>
      </c>
      <c r="AE109">
        <v>1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0</v>
      </c>
      <c r="AM109">
        <v>0</v>
      </c>
      <c r="AN109">
        <v>0</v>
      </c>
      <c r="AO109">
        <v>0</v>
      </c>
      <c r="AP109">
        <v>0</v>
      </c>
      <c r="AQ109">
        <v>0</v>
      </c>
      <c r="AR109">
        <v>0</v>
      </c>
      <c r="AS109">
        <v>0</v>
      </c>
      <c r="AT109">
        <f t="shared" si="5"/>
        <v>16</v>
      </c>
      <c r="AU109">
        <f t="shared" si="3"/>
        <v>0</v>
      </c>
      <c r="AV109">
        <f t="shared" si="4"/>
        <v>730</v>
      </c>
      <c r="AY109">
        <v>687</v>
      </c>
      <c r="AZ109">
        <v>38.549999999999997</v>
      </c>
      <c r="BB109" t="s">
        <v>339</v>
      </c>
      <c r="BC109" t="s">
        <v>67</v>
      </c>
    </row>
    <row r="110" spans="3:55" x14ac:dyDescent="0.45">
      <c r="C110">
        <v>83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17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1</v>
      </c>
      <c r="W110">
        <v>1000</v>
      </c>
      <c r="X110">
        <v>70</v>
      </c>
      <c r="Y110">
        <v>0</v>
      </c>
      <c r="Z110">
        <v>1</v>
      </c>
      <c r="AA110">
        <v>0</v>
      </c>
      <c r="AB110">
        <v>0</v>
      </c>
      <c r="AC110">
        <v>850</v>
      </c>
      <c r="AD110">
        <v>1</v>
      </c>
      <c r="AE110">
        <v>1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  <c r="AL110">
        <v>0</v>
      </c>
      <c r="AM110">
        <v>0</v>
      </c>
      <c r="AN110">
        <v>0</v>
      </c>
      <c r="AO110">
        <v>0</v>
      </c>
      <c r="AP110">
        <v>0</v>
      </c>
      <c r="AQ110">
        <v>0</v>
      </c>
      <c r="AR110">
        <v>0</v>
      </c>
      <c r="AS110">
        <v>0</v>
      </c>
      <c r="AT110">
        <f t="shared" si="5"/>
        <v>17</v>
      </c>
      <c r="AU110">
        <f t="shared" si="3"/>
        <v>0</v>
      </c>
      <c r="AV110">
        <f t="shared" si="4"/>
        <v>720.5</v>
      </c>
      <c r="AY110">
        <v>722</v>
      </c>
      <c r="AZ110">
        <v>23.82</v>
      </c>
      <c r="BB110" t="s">
        <v>339</v>
      </c>
      <c r="BC110" t="s">
        <v>68</v>
      </c>
    </row>
    <row r="111" spans="3:55" x14ac:dyDescent="0.45">
      <c r="C111">
        <v>82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18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1</v>
      </c>
      <c r="W111">
        <v>1000</v>
      </c>
      <c r="X111">
        <v>70</v>
      </c>
      <c r="Y111">
        <v>0</v>
      </c>
      <c r="Z111">
        <v>1</v>
      </c>
      <c r="AA111">
        <v>0</v>
      </c>
      <c r="AB111">
        <v>0</v>
      </c>
      <c r="AC111">
        <v>850</v>
      </c>
      <c r="AD111">
        <v>1</v>
      </c>
      <c r="AE111">
        <v>1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>
        <v>0</v>
      </c>
      <c r="AQ111">
        <v>0</v>
      </c>
      <c r="AR111">
        <v>0</v>
      </c>
      <c r="AS111">
        <v>0</v>
      </c>
      <c r="AT111">
        <f t="shared" si="5"/>
        <v>18</v>
      </c>
      <c r="AU111">
        <f t="shared" si="3"/>
        <v>0</v>
      </c>
      <c r="AV111">
        <f t="shared" si="4"/>
        <v>711</v>
      </c>
      <c r="AY111">
        <v>778</v>
      </c>
      <c r="AZ111">
        <v>15.54</v>
      </c>
      <c r="BB111" t="s">
        <v>339</v>
      </c>
      <c r="BC111" t="s">
        <v>69</v>
      </c>
    </row>
    <row r="112" spans="3:55" x14ac:dyDescent="0.45">
      <c r="C112">
        <v>95.35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4.6500000000000004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1</v>
      </c>
      <c r="W112">
        <v>0</v>
      </c>
      <c r="X112">
        <v>0</v>
      </c>
      <c r="Y112">
        <v>0</v>
      </c>
      <c r="Z112">
        <v>1</v>
      </c>
      <c r="AA112">
        <v>0</v>
      </c>
      <c r="AB112">
        <v>0</v>
      </c>
      <c r="AC112">
        <v>0</v>
      </c>
      <c r="AD112">
        <v>0</v>
      </c>
      <c r="AE112">
        <v>1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0</v>
      </c>
      <c r="AR112">
        <v>0</v>
      </c>
      <c r="AS112">
        <v>0</v>
      </c>
      <c r="AT112">
        <f t="shared" si="5"/>
        <v>4.6500000000000004</v>
      </c>
      <c r="AU112">
        <f t="shared" si="3"/>
        <v>0</v>
      </c>
      <c r="AV112">
        <f t="shared" si="4"/>
        <v>837.82500000000005</v>
      </c>
      <c r="AW112">
        <v>91</v>
      </c>
      <c r="AX112">
        <v>537</v>
      </c>
      <c r="BC112" t="s">
        <v>60</v>
      </c>
    </row>
    <row r="113" spans="3:55" x14ac:dyDescent="0.45">
      <c r="C113">
        <v>94.61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5.3900000000000006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1</v>
      </c>
      <c r="W113">
        <v>0</v>
      </c>
      <c r="X113">
        <v>0</v>
      </c>
      <c r="Y113">
        <v>0</v>
      </c>
      <c r="Z113">
        <v>1</v>
      </c>
      <c r="AA113">
        <v>0</v>
      </c>
      <c r="AB113">
        <v>0</v>
      </c>
      <c r="AC113">
        <v>0</v>
      </c>
      <c r="AD113">
        <v>0</v>
      </c>
      <c r="AE113">
        <v>1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</v>
      </c>
      <c r="AR113">
        <v>0</v>
      </c>
      <c r="AS113">
        <v>0</v>
      </c>
      <c r="AT113">
        <f t="shared" si="5"/>
        <v>5.3900000000000006</v>
      </c>
      <c r="AU113">
        <f t="shared" si="3"/>
        <v>0</v>
      </c>
      <c r="AV113">
        <f t="shared" si="4"/>
        <v>830.79499999999996</v>
      </c>
      <c r="AW113">
        <v>93</v>
      </c>
      <c r="AX113">
        <v>731</v>
      </c>
      <c r="BC113" t="s">
        <v>60</v>
      </c>
    </row>
    <row r="114" spans="3:55" x14ac:dyDescent="0.45">
      <c r="C114">
        <v>89.24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10.76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1</v>
      </c>
      <c r="W114">
        <v>0</v>
      </c>
      <c r="X114">
        <v>0</v>
      </c>
      <c r="Y114">
        <v>0</v>
      </c>
      <c r="Z114">
        <v>1</v>
      </c>
      <c r="AA114">
        <v>0</v>
      </c>
      <c r="AB114">
        <v>0</v>
      </c>
      <c r="AC114">
        <v>0</v>
      </c>
      <c r="AD114">
        <v>0</v>
      </c>
      <c r="AE114">
        <v>1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>
        <v>0</v>
      </c>
      <c r="AS114">
        <v>0</v>
      </c>
      <c r="AT114">
        <f t="shared" si="5"/>
        <v>10.76</v>
      </c>
      <c r="AU114">
        <f t="shared" si="3"/>
        <v>0</v>
      </c>
      <c r="AV114">
        <f t="shared" si="4"/>
        <v>779.78</v>
      </c>
      <c r="AW114">
        <v>75</v>
      </c>
      <c r="AX114">
        <v>823</v>
      </c>
      <c r="BC114" t="s">
        <v>60</v>
      </c>
    </row>
    <row r="115" spans="3:55" x14ac:dyDescent="0.45">
      <c r="C115">
        <v>94.75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5.25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1</v>
      </c>
      <c r="W115">
        <v>0</v>
      </c>
      <c r="X115">
        <v>0</v>
      </c>
      <c r="Y115">
        <v>0</v>
      </c>
      <c r="Z115">
        <v>1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1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0</v>
      </c>
      <c r="AP115">
        <v>0</v>
      </c>
      <c r="AQ115">
        <v>0</v>
      </c>
      <c r="AR115">
        <v>0</v>
      </c>
      <c r="AS115">
        <v>0</v>
      </c>
      <c r="AT115">
        <f t="shared" si="5"/>
        <v>5.25</v>
      </c>
      <c r="AU115">
        <f t="shared" si="3"/>
        <v>0</v>
      </c>
      <c r="AV115">
        <f t="shared" si="4"/>
        <v>832.125</v>
      </c>
      <c r="AW115">
        <v>77.599999999999994</v>
      </c>
      <c r="AX115">
        <v>862</v>
      </c>
      <c r="BB115" t="s">
        <v>340</v>
      </c>
      <c r="BC115" t="s">
        <v>60</v>
      </c>
    </row>
    <row r="116" spans="3:55" x14ac:dyDescent="0.45">
      <c r="C116">
        <v>93.63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6.370000000000001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1</v>
      </c>
      <c r="W116">
        <v>0</v>
      </c>
      <c r="X116">
        <v>0</v>
      </c>
      <c r="Y116">
        <v>0</v>
      </c>
      <c r="Z116">
        <v>1</v>
      </c>
      <c r="AA116">
        <v>0</v>
      </c>
      <c r="AB116">
        <v>0</v>
      </c>
      <c r="AC116">
        <v>0</v>
      </c>
      <c r="AD116">
        <v>0</v>
      </c>
      <c r="AE116">
        <v>1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f t="shared" si="5"/>
        <v>6.370000000000001</v>
      </c>
      <c r="AU116">
        <f t="shared" si="3"/>
        <v>0</v>
      </c>
      <c r="AV116">
        <f t="shared" si="4"/>
        <v>821.48500000000001</v>
      </c>
      <c r="AW116">
        <v>90</v>
      </c>
      <c r="AX116">
        <v>550</v>
      </c>
      <c r="BB116" t="s">
        <v>340</v>
      </c>
      <c r="BC116" t="s">
        <v>60</v>
      </c>
    </row>
    <row r="117" spans="3:55" x14ac:dyDescent="0.45">
      <c r="C117">
        <v>93.75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6.25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0</v>
      </c>
      <c r="AM117">
        <v>0</v>
      </c>
      <c r="AN117">
        <v>0</v>
      </c>
      <c r="AO117">
        <v>0</v>
      </c>
      <c r="AP117">
        <v>0</v>
      </c>
      <c r="AQ117">
        <v>0</v>
      </c>
      <c r="AR117">
        <v>0</v>
      </c>
      <c r="AS117">
        <v>0</v>
      </c>
      <c r="AT117">
        <f t="shared" si="5"/>
        <v>6.25</v>
      </c>
      <c r="AU117">
        <f t="shared" si="3"/>
        <v>0</v>
      </c>
      <c r="AV117">
        <f t="shared" si="4"/>
        <v>822.625</v>
      </c>
      <c r="AW117">
        <v>116</v>
      </c>
      <c r="BB117" t="s">
        <v>340</v>
      </c>
    </row>
    <row r="118" spans="3:55" x14ac:dyDescent="0.45">
      <c r="C118">
        <v>91.9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8.1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0</v>
      </c>
      <c r="AR118">
        <v>0</v>
      </c>
      <c r="AS118">
        <v>0</v>
      </c>
      <c r="AT118">
        <f t="shared" si="5"/>
        <v>8.1</v>
      </c>
      <c r="AU118">
        <f t="shared" si="3"/>
        <v>0</v>
      </c>
      <c r="AV118">
        <f t="shared" si="4"/>
        <v>805.05</v>
      </c>
      <c r="AW118">
        <v>78</v>
      </c>
      <c r="BB118" t="s">
        <v>340</v>
      </c>
    </row>
    <row r="119" spans="3:55" x14ac:dyDescent="0.45">
      <c r="C119">
        <v>77.8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22.2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1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0</v>
      </c>
      <c r="AM119">
        <v>0</v>
      </c>
      <c r="AN119">
        <v>0</v>
      </c>
      <c r="AO119">
        <v>0</v>
      </c>
      <c r="AP119">
        <v>0</v>
      </c>
      <c r="AQ119">
        <v>0</v>
      </c>
      <c r="AR119">
        <v>0</v>
      </c>
      <c r="AS119">
        <v>0</v>
      </c>
      <c r="AT119">
        <f t="shared" si="5"/>
        <v>22.2</v>
      </c>
      <c r="AU119">
        <f t="shared" si="3"/>
        <v>0</v>
      </c>
      <c r="AV119">
        <f t="shared" si="4"/>
        <v>671.1</v>
      </c>
      <c r="AW119">
        <v>99</v>
      </c>
      <c r="BB119" t="s">
        <v>340</v>
      </c>
    </row>
    <row r="120" spans="3:55" x14ac:dyDescent="0.45">
      <c r="C120">
        <v>88.2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11.8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1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>
        <v>0</v>
      </c>
      <c r="AM120">
        <v>0</v>
      </c>
      <c r="AN120">
        <v>0</v>
      </c>
      <c r="AO120">
        <v>0</v>
      </c>
      <c r="AP120">
        <v>0</v>
      </c>
      <c r="AQ120">
        <v>0</v>
      </c>
      <c r="AR120">
        <v>0</v>
      </c>
      <c r="AS120">
        <v>0</v>
      </c>
      <c r="AT120">
        <f t="shared" si="5"/>
        <v>11.8</v>
      </c>
      <c r="AU120">
        <f t="shared" si="3"/>
        <v>0</v>
      </c>
      <c r="AV120">
        <f t="shared" si="4"/>
        <v>769.9</v>
      </c>
      <c r="AW120">
        <v>116</v>
      </c>
      <c r="BB120" t="s">
        <v>232</v>
      </c>
    </row>
    <row r="121" spans="3:55" x14ac:dyDescent="0.45">
      <c r="C121">
        <v>96.11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3.89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0</v>
      </c>
      <c r="AM121">
        <v>0</v>
      </c>
      <c r="AN121">
        <v>0</v>
      </c>
      <c r="AO121">
        <v>0</v>
      </c>
      <c r="AP121">
        <v>0</v>
      </c>
      <c r="AQ121">
        <v>0</v>
      </c>
      <c r="AR121">
        <v>0</v>
      </c>
      <c r="AS121">
        <v>0</v>
      </c>
      <c r="AT121">
        <f t="shared" si="5"/>
        <v>3.89</v>
      </c>
      <c r="AU121">
        <f t="shared" si="3"/>
        <v>0</v>
      </c>
      <c r="AV121">
        <f t="shared" si="4"/>
        <v>845.04499999999996</v>
      </c>
      <c r="AW121">
        <v>70</v>
      </c>
      <c r="BB121" t="s">
        <v>232</v>
      </c>
    </row>
    <row r="122" spans="3:55" x14ac:dyDescent="0.45">
      <c r="C122">
        <v>91.91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8.09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0</v>
      </c>
      <c r="AN122">
        <v>0</v>
      </c>
      <c r="AO122">
        <v>0</v>
      </c>
      <c r="AP122">
        <v>0</v>
      </c>
      <c r="AQ122">
        <v>0</v>
      </c>
      <c r="AR122">
        <v>0</v>
      </c>
      <c r="AS122">
        <v>0</v>
      </c>
      <c r="AT122">
        <f t="shared" si="5"/>
        <v>8.09</v>
      </c>
      <c r="AU122">
        <f t="shared" si="3"/>
        <v>0</v>
      </c>
      <c r="AV122">
        <f t="shared" si="4"/>
        <v>805.14499999999998</v>
      </c>
      <c r="AW122">
        <v>84</v>
      </c>
      <c r="BB122" t="s">
        <v>232</v>
      </c>
    </row>
    <row r="123" spans="3:55" x14ac:dyDescent="0.45">
      <c r="C123">
        <v>96.8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3.2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f t="shared" si="5"/>
        <v>3.2</v>
      </c>
      <c r="AU123">
        <f t="shared" si="3"/>
        <v>0</v>
      </c>
      <c r="AV123">
        <f t="shared" si="4"/>
        <v>851.6</v>
      </c>
      <c r="AW123">
        <v>83.73</v>
      </c>
      <c r="BB123" t="s">
        <v>232</v>
      </c>
    </row>
    <row r="124" spans="3:55" x14ac:dyDescent="0.45">
      <c r="C124">
        <v>95.5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4.5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  <c r="AP124">
        <v>0</v>
      </c>
      <c r="AQ124">
        <v>0</v>
      </c>
      <c r="AR124">
        <v>0</v>
      </c>
      <c r="AS124">
        <v>0</v>
      </c>
      <c r="AT124">
        <f t="shared" si="5"/>
        <v>4.5</v>
      </c>
      <c r="AU124">
        <f t="shared" si="3"/>
        <v>0</v>
      </c>
      <c r="AV124">
        <f t="shared" si="4"/>
        <v>839.25</v>
      </c>
      <c r="AW124">
        <v>88.36</v>
      </c>
      <c r="BB124" t="s">
        <v>225</v>
      </c>
    </row>
    <row r="125" spans="3:55" x14ac:dyDescent="0.45">
      <c r="C125">
        <v>94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6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0</v>
      </c>
      <c r="AN125">
        <v>0</v>
      </c>
      <c r="AO125">
        <v>0</v>
      </c>
      <c r="AP125">
        <v>0</v>
      </c>
      <c r="AQ125">
        <v>0</v>
      </c>
      <c r="AR125">
        <v>0</v>
      </c>
      <c r="AS125">
        <v>0</v>
      </c>
      <c r="AT125">
        <f t="shared" si="5"/>
        <v>6</v>
      </c>
      <c r="AU125">
        <f t="shared" si="3"/>
        <v>0</v>
      </c>
      <c r="AV125">
        <f t="shared" si="4"/>
        <v>825</v>
      </c>
      <c r="AW125">
        <v>111.7</v>
      </c>
      <c r="BB125" t="s">
        <v>226</v>
      </c>
    </row>
    <row r="126" spans="3:55" x14ac:dyDescent="0.45">
      <c r="C126">
        <v>93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7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0</v>
      </c>
      <c r="AQ126">
        <v>0</v>
      </c>
      <c r="AR126">
        <v>0</v>
      </c>
      <c r="AS126">
        <v>0</v>
      </c>
      <c r="AT126">
        <f t="shared" si="5"/>
        <v>7</v>
      </c>
      <c r="AU126">
        <f t="shared" si="3"/>
        <v>0</v>
      </c>
      <c r="AV126">
        <f t="shared" si="4"/>
        <v>815.5</v>
      </c>
      <c r="AW126">
        <v>99.55</v>
      </c>
      <c r="BB126" t="s">
        <v>227</v>
      </c>
    </row>
    <row r="127" spans="3:55" x14ac:dyDescent="0.45">
      <c r="C127">
        <v>92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8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f t="shared" si="5"/>
        <v>8</v>
      </c>
      <c r="AU127">
        <f t="shared" si="3"/>
        <v>0</v>
      </c>
      <c r="AV127">
        <f t="shared" si="4"/>
        <v>806</v>
      </c>
      <c r="AW127">
        <v>82.84</v>
      </c>
      <c r="BB127" t="s">
        <v>228</v>
      </c>
    </row>
    <row r="128" spans="3:55" x14ac:dyDescent="0.45">
      <c r="C128">
        <v>88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12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  <c r="AP128">
        <v>0</v>
      </c>
      <c r="AQ128">
        <v>0</v>
      </c>
      <c r="AR128">
        <v>0</v>
      </c>
      <c r="AS128">
        <v>0</v>
      </c>
      <c r="AT128">
        <f t="shared" si="5"/>
        <v>12</v>
      </c>
      <c r="AU128">
        <f t="shared" si="3"/>
        <v>0</v>
      </c>
      <c r="AV128">
        <f t="shared" si="4"/>
        <v>768</v>
      </c>
      <c r="AW128">
        <v>89.7</v>
      </c>
      <c r="BB128" t="s">
        <v>229</v>
      </c>
    </row>
    <row r="129" spans="3:55" x14ac:dyDescent="0.45">
      <c r="C129">
        <v>94.74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5.26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0</v>
      </c>
      <c r="AN129">
        <v>0</v>
      </c>
      <c r="AO129">
        <v>0</v>
      </c>
      <c r="AP129">
        <v>0</v>
      </c>
      <c r="AQ129">
        <v>0</v>
      </c>
      <c r="AR129">
        <v>0</v>
      </c>
      <c r="AS129">
        <v>0</v>
      </c>
      <c r="AT129">
        <f t="shared" si="5"/>
        <v>5.26</v>
      </c>
      <c r="AU129">
        <f t="shared" si="3"/>
        <v>0</v>
      </c>
      <c r="AV129">
        <f t="shared" si="4"/>
        <v>832.03</v>
      </c>
      <c r="AW129">
        <v>113</v>
      </c>
      <c r="BB129" t="s">
        <v>230</v>
      </c>
    </row>
    <row r="130" spans="3:55" x14ac:dyDescent="0.45">
      <c r="C130">
        <v>94.29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5.71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1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0</v>
      </c>
      <c r="AM130">
        <v>0</v>
      </c>
      <c r="AN130">
        <v>0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f t="shared" si="5"/>
        <v>5.71</v>
      </c>
      <c r="AU130">
        <f t="shared" ref="AU130:AU193" si="6">D130+J130/6+M130/3+(T130+S130)/10</f>
        <v>0</v>
      </c>
      <c r="AV130">
        <f t="shared" ref="AV130:AV193" si="7">882+2.1*D130-9.5*L130+4.2*M130-6.9*J130-11.8*E130-12.1*F130-15.4*H130+23.3*Q130+123*T130</f>
        <v>827.755</v>
      </c>
      <c r="AW130">
        <v>105.17</v>
      </c>
      <c r="BB130" t="s">
        <v>231</v>
      </c>
    </row>
    <row r="131" spans="3:55" x14ac:dyDescent="0.45">
      <c r="C131">
        <v>93.13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6.87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1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0</v>
      </c>
      <c r="AM131">
        <v>0</v>
      </c>
      <c r="AN131">
        <v>0</v>
      </c>
      <c r="AO131">
        <v>0</v>
      </c>
      <c r="AP131">
        <v>0</v>
      </c>
      <c r="AQ131">
        <v>0</v>
      </c>
      <c r="AR131">
        <v>0</v>
      </c>
      <c r="AS131">
        <v>0</v>
      </c>
      <c r="AT131">
        <f t="shared" ref="AT131:AT194" si="8">L131+0.67*E131+0.44*P131+0.28*K131+0.22*O131+2.9*H131+1.6*F131+1.7*G131-D131</f>
        <v>6.87</v>
      </c>
      <c r="AU131">
        <f t="shared" si="6"/>
        <v>0</v>
      </c>
      <c r="AV131">
        <f t="shared" si="7"/>
        <v>816.73500000000001</v>
      </c>
      <c r="AW131">
        <v>104.47</v>
      </c>
      <c r="BB131" t="s">
        <v>232</v>
      </c>
    </row>
    <row r="132" spans="3:55" x14ac:dyDescent="0.45">
      <c r="C132">
        <v>91.88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8.1199999999999992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1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0</v>
      </c>
      <c r="AN132">
        <v>0</v>
      </c>
      <c r="AO132">
        <v>0</v>
      </c>
      <c r="AP132">
        <v>0</v>
      </c>
      <c r="AQ132">
        <v>0</v>
      </c>
      <c r="AR132">
        <v>0</v>
      </c>
      <c r="AS132">
        <v>0</v>
      </c>
      <c r="AT132">
        <f t="shared" si="8"/>
        <v>8.1199999999999992</v>
      </c>
      <c r="AU132">
        <f t="shared" si="6"/>
        <v>0</v>
      </c>
      <c r="AV132">
        <f t="shared" si="7"/>
        <v>804.86</v>
      </c>
      <c r="AW132">
        <v>70.48</v>
      </c>
      <c r="BB132" t="s">
        <v>233</v>
      </c>
    </row>
    <row r="133" spans="3:55" x14ac:dyDescent="0.45">
      <c r="C133">
        <v>90</v>
      </c>
      <c r="D133">
        <v>0</v>
      </c>
      <c r="E133">
        <v>0</v>
      </c>
      <c r="F133">
        <v>10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1</v>
      </c>
      <c r="W133">
        <v>1000</v>
      </c>
      <c r="X133">
        <v>70</v>
      </c>
      <c r="Y133">
        <v>0</v>
      </c>
      <c r="Z133">
        <v>1</v>
      </c>
      <c r="AA133">
        <v>0</v>
      </c>
      <c r="AB133">
        <v>0</v>
      </c>
      <c r="AC133">
        <v>850</v>
      </c>
      <c r="AD133">
        <v>1</v>
      </c>
      <c r="AE133">
        <v>1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0</v>
      </c>
      <c r="AN133">
        <v>0</v>
      </c>
      <c r="AO133">
        <v>0</v>
      </c>
      <c r="AP133">
        <v>0</v>
      </c>
      <c r="AQ133">
        <v>0</v>
      </c>
      <c r="AR133">
        <v>0</v>
      </c>
      <c r="AS133">
        <v>0</v>
      </c>
      <c r="AT133">
        <f t="shared" si="8"/>
        <v>16</v>
      </c>
      <c r="AU133">
        <f t="shared" si="6"/>
        <v>0</v>
      </c>
      <c r="AV133">
        <f t="shared" si="7"/>
        <v>761</v>
      </c>
      <c r="AY133">
        <v>863</v>
      </c>
      <c r="AZ133">
        <v>18.97</v>
      </c>
      <c r="BB133" t="s">
        <v>234</v>
      </c>
      <c r="BC133" t="s">
        <v>71</v>
      </c>
    </row>
    <row r="134" spans="3:55" x14ac:dyDescent="0.45">
      <c r="C134">
        <v>89</v>
      </c>
      <c r="D134">
        <v>0</v>
      </c>
      <c r="E134">
        <v>0</v>
      </c>
      <c r="F134">
        <v>11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1</v>
      </c>
      <c r="W134">
        <v>1000</v>
      </c>
      <c r="X134">
        <v>70</v>
      </c>
      <c r="Y134">
        <v>0</v>
      </c>
      <c r="Z134">
        <v>1</v>
      </c>
      <c r="AA134">
        <v>0</v>
      </c>
      <c r="AB134">
        <v>0</v>
      </c>
      <c r="AC134">
        <v>850</v>
      </c>
      <c r="AD134">
        <v>1</v>
      </c>
      <c r="AE134">
        <v>1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  <c r="AP134">
        <v>0</v>
      </c>
      <c r="AQ134">
        <v>0</v>
      </c>
      <c r="AR134">
        <v>0</v>
      </c>
      <c r="AS134">
        <v>0</v>
      </c>
      <c r="AT134">
        <f t="shared" si="8"/>
        <v>17.600000000000001</v>
      </c>
      <c r="AU134">
        <f t="shared" si="6"/>
        <v>0</v>
      </c>
      <c r="AV134">
        <f t="shared" si="7"/>
        <v>748.9</v>
      </c>
      <c r="AY134">
        <v>833</v>
      </c>
      <c r="AZ134">
        <v>16.829999999999998</v>
      </c>
      <c r="BB134" t="s">
        <v>235</v>
      </c>
      <c r="BC134" t="s">
        <v>71</v>
      </c>
    </row>
    <row r="135" spans="3:55" x14ac:dyDescent="0.45">
      <c r="C135">
        <v>88</v>
      </c>
      <c r="D135">
        <v>0</v>
      </c>
      <c r="E135">
        <v>0</v>
      </c>
      <c r="F135">
        <v>12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1</v>
      </c>
      <c r="W135">
        <v>1000</v>
      </c>
      <c r="X135">
        <v>70</v>
      </c>
      <c r="Y135">
        <v>0</v>
      </c>
      <c r="Z135">
        <v>1</v>
      </c>
      <c r="AA135">
        <v>0</v>
      </c>
      <c r="AB135">
        <v>0</v>
      </c>
      <c r="AC135">
        <v>850</v>
      </c>
      <c r="AD135">
        <v>1</v>
      </c>
      <c r="AE135">
        <v>1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0</v>
      </c>
      <c r="AN135">
        <v>0</v>
      </c>
      <c r="AO135">
        <v>0</v>
      </c>
      <c r="AP135">
        <v>0</v>
      </c>
      <c r="AQ135">
        <v>0</v>
      </c>
      <c r="AR135">
        <v>0</v>
      </c>
      <c r="AS135">
        <v>0</v>
      </c>
      <c r="AT135">
        <f t="shared" si="8"/>
        <v>19.200000000000003</v>
      </c>
      <c r="AU135">
        <f t="shared" si="6"/>
        <v>0</v>
      </c>
      <c r="AV135">
        <f t="shared" si="7"/>
        <v>736.8</v>
      </c>
      <c r="AY135">
        <v>753</v>
      </c>
      <c r="AZ135">
        <v>13.27</v>
      </c>
      <c r="BC135" t="s">
        <v>71</v>
      </c>
    </row>
    <row r="136" spans="3:55" x14ac:dyDescent="0.45">
      <c r="C136">
        <v>87</v>
      </c>
      <c r="D136">
        <v>0</v>
      </c>
      <c r="E136">
        <v>0</v>
      </c>
      <c r="F136">
        <v>13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1</v>
      </c>
      <c r="W136">
        <v>1000</v>
      </c>
      <c r="X136">
        <v>70</v>
      </c>
      <c r="Y136">
        <v>0</v>
      </c>
      <c r="Z136">
        <v>1</v>
      </c>
      <c r="AA136">
        <v>0</v>
      </c>
      <c r="AB136">
        <v>0</v>
      </c>
      <c r="AC136">
        <v>850</v>
      </c>
      <c r="AD136">
        <v>1</v>
      </c>
      <c r="AE136">
        <v>1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</v>
      </c>
      <c r="AP136">
        <v>0</v>
      </c>
      <c r="AQ136">
        <v>0</v>
      </c>
      <c r="AR136">
        <v>0</v>
      </c>
      <c r="AS136">
        <v>0</v>
      </c>
      <c r="AT136">
        <f t="shared" si="8"/>
        <v>20.8</v>
      </c>
      <c r="AU136">
        <f t="shared" si="6"/>
        <v>0</v>
      </c>
      <c r="AV136">
        <f t="shared" si="7"/>
        <v>724.7</v>
      </c>
      <c r="AY136">
        <v>785</v>
      </c>
      <c r="AZ136">
        <v>12.6</v>
      </c>
      <c r="BC136" t="s">
        <v>71</v>
      </c>
    </row>
    <row r="137" spans="3:55" x14ac:dyDescent="0.45">
      <c r="C137">
        <v>86</v>
      </c>
      <c r="D137">
        <v>0</v>
      </c>
      <c r="E137">
        <v>0</v>
      </c>
      <c r="F137">
        <v>14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1</v>
      </c>
      <c r="W137">
        <v>1000</v>
      </c>
      <c r="X137">
        <v>70</v>
      </c>
      <c r="Y137">
        <v>0</v>
      </c>
      <c r="Z137">
        <v>1</v>
      </c>
      <c r="AA137">
        <v>0</v>
      </c>
      <c r="AB137">
        <v>0</v>
      </c>
      <c r="AC137">
        <v>850</v>
      </c>
      <c r="AD137">
        <v>1</v>
      </c>
      <c r="AE137">
        <v>1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f t="shared" si="8"/>
        <v>22.400000000000002</v>
      </c>
      <c r="AU137">
        <f t="shared" si="6"/>
        <v>0</v>
      </c>
      <c r="AV137">
        <f t="shared" si="7"/>
        <v>712.6</v>
      </c>
      <c r="AY137">
        <v>789</v>
      </c>
      <c r="AZ137">
        <v>13.52</v>
      </c>
      <c r="BC137" t="s">
        <v>71</v>
      </c>
    </row>
    <row r="138" spans="3:55" x14ac:dyDescent="0.45">
      <c r="C138">
        <v>88</v>
      </c>
      <c r="D138">
        <v>0</v>
      </c>
      <c r="E138">
        <v>0</v>
      </c>
      <c r="F138">
        <v>12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1</v>
      </c>
      <c r="W138">
        <v>1000</v>
      </c>
      <c r="X138">
        <v>70</v>
      </c>
      <c r="Y138">
        <v>0</v>
      </c>
      <c r="Z138">
        <v>1</v>
      </c>
      <c r="AA138">
        <v>0</v>
      </c>
      <c r="AB138">
        <v>0</v>
      </c>
      <c r="AC138">
        <v>850</v>
      </c>
      <c r="AD138">
        <v>1</v>
      </c>
      <c r="AE138">
        <v>1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0</v>
      </c>
      <c r="AM138">
        <v>0</v>
      </c>
      <c r="AN138">
        <v>0</v>
      </c>
      <c r="AO138">
        <v>0</v>
      </c>
      <c r="AP138">
        <v>0</v>
      </c>
      <c r="AQ138">
        <v>0</v>
      </c>
      <c r="AR138">
        <v>0</v>
      </c>
      <c r="AS138">
        <v>0</v>
      </c>
      <c r="AT138">
        <f t="shared" si="8"/>
        <v>19.200000000000003</v>
      </c>
      <c r="AU138">
        <f t="shared" si="6"/>
        <v>0</v>
      </c>
      <c r="AV138">
        <f t="shared" si="7"/>
        <v>736.8</v>
      </c>
      <c r="AY138">
        <v>754</v>
      </c>
      <c r="AZ138">
        <v>13.31</v>
      </c>
      <c r="BC138" t="s">
        <v>72</v>
      </c>
    </row>
    <row r="139" spans="3:55" x14ac:dyDescent="0.45">
      <c r="C139">
        <v>90</v>
      </c>
      <c r="D139">
        <v>0</v>
      </c>
      <c r="E139">
        <v>0</v>
      </c>
      <c r="F139">
        <v>10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1</v>
      </c>
      <c r="W139">
        <v>1000</v>
      </c>
      <c r="X139">
        <v>70</v>
      </c>
      <c r="Y139">
        <v>0</v>
      </c>
      <c r="Z139">
        <v>1</v>
      </c>
      <c r="AA139">
        <v>0</v>
      </c>
      <c r="AB139">
        <v>0</v>
      </c>
      <c r="AC139">
        <v>850</v>
      </c>
      <c r="AD139">
        <v>1</v>
      </c>
      <c r="AE139">
        <v>1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0</v>
      </c>
      <c r="AN139">
        <v>0</v>
      </c>
      <c r="AO139">
        <v>0</v>
      </c>
      <c r="AP139">
        <v>0</v>
      </c>
      <c r="AQ139">
        <v>0</v>
      </c>
      <c r="AR139">
        <v>0</v>
      </c>
      <c r="AS139">
        <v>0</v>
      </c>
      <c r="AT139">
        <f t="shared" si="8"/>
        <v>16</v>
      </c>
      <c r="AU139">
        <f t="shared" si="6"/>
        <v>0</v>
      </c>
      <c r="AV139">
        <f t="shared" si="7"/>
        <v>761</v>
      </c>
      <c r="AY139">
        <v>863</v>
      </c>
      <c r="AZ139">
        <v>18.989999999999998</v>
      </c>
      <c r="BC139" t="s">
        <v>73</v>
      </c>
    </row>
    <row r="140" spans="3:55" x14ac:dyDescent="0.45">
      <c r="C140">
        <v>89</v>
      </c>
      <c r="D140">
        <v>0</v>
      </c>
      <c r="E140">
        <v>0</v>
      </c>
      <c r="F140">
        <v>11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1</v>
      </c>
      <c r="W140">
        <v>1000</v>
      </c>
      <c r="X140">
        <v>70</v>
      </c>
      <c r="Y140">
        <v>0</v>
      </c>
      <c r="Z140">
        <v>1</v>
      </c>
      <c r="AA140">
        <v>0</v>
      </c>
      <c r="AB140">
        <v>0</v>
      </c>
      <c r="AC140">
        <v>850</v>
      </c>
      <c r="AD140">
        <v>1</v>
      </c>
      <c r="AE140">
        <v>1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0</v>
      </c>
      <c r="AM140">
        <v>0</v>
      </c>
      <c r="AN140">
        <v>0</v>
      </c>
      <c r="AO140">
        <v>0</v>
      </c>
      <c r="AP140">
        <v>0</v>
      </c>
      <c r="AQ140">
        <v>0</v>
      </c>
      <c r="AR140">
        <v>0</v>
      </c>
      <c r="AS140">
        <v>0</v>
      </c>
      <c r="AT140">
        <f t="shared" si="8"/>
        <v>17.600000000000001</v>
      </c>
      <c r="AU140">
        <f t="shared" si="6"/>
        <v>0</v>
      </c>
      <c r="AV140">
        <f t="shared" si="7"/>
        <v>748.9</v>
      </c>
      <c r="AY140">
        <v>833</v>
      </c>
      <c r="AZ140">
        <v>16.84</v>
      </c>
      <c r="BC140" t="s">
        <v>74</v>
      </c>
    </row>
    <row r="141" spans="3:55" x14ac:dyDescent="0.45">
      <c r="C141">
        <v>88</v>
      </c>
      <c r="D141">
        <v>0</v>
      </c>
      <c r="E141">
        <v>0</v>
      </c>
      <c r="F141">
        <v>12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1</v>
      </c>
      <c r="W141">
        <v>1000</v>
      </c>
      <c r="X141">
        <v>70</v>
      </c>
      <c r="Y141">
        <v>0</v>
      </c>
      <c r="Z141">
        <v>1</v>
      </c>
      <c r="AA141">
        <v>0</v>
      </c>
      <c r="AB141">
        <v>0</v>
      </c>
      <c r="AC141">
        <v>850</v>
      </c>
      <c r="AD141">
        <v>1</v>
      </c>
      <c r="AE141">
        <v>1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0</v>
      </c>
      <c r="AM141">
        <v>0</v>
      </c>
      <c r="AN141">
        <v>0</v>
      </c>
      <c r="AO141">
        <v>0</v>
      </c>
      <c r="AP141">
        <v>0</v>
      </c>
      <c r="AQ141">
        <v>0</v>
      </c>
      <c r="AR141">
        <v>0</v>
      </c>
      <c r="AS141">
        <v>0</v>
      </c>
      <c r="AT141">
        <f t="shared" si="8"/>
        <v>19.200000000000003</v>
      </c>
      <c r="AU141">
        <f t="shared" si="6"/>
        <v>0</v>
      </c>
      <c r="AV141">
        <f t="shared" si="7"/>
        <v>736.8</v>
      </c>
      <c r="AY141">
        <v>753</v>
      </c>
      <c r="AZ141">
        <v>13.29</v>
      </c>
      <c r="BC141" t="s">
        <v>75</v>
      </c>
    </row>
    <row r="142" spans="3:55" x14ac:dyDescent="0.45">
      <c r="C142">
        <v>87</v>
      </c>
      <c r="D142">
        <v>0</v>
      </c>
      <c r="E142">
        <v>0</v>
      </c>
      <c r="F142">
        <v>13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1</v>
      </c>
      <c r="W142">
        <v>1000</v>
      </c>
      <c r="X142">
        <v>70</v>
      </c>
      <c r="Y142">
        <v>0</v>
      </c>
      <c r="Z142">
        <v>1</v>
      </c>
      <c r="AA142">
        <v>0</v>
      </c>
      <c r="AB142">
        <v>0</v>
      </c>
      <c r="AC142">
        <v>850</v>
      </c>
      <c r="AD142">
        <v>1</v>
      </c>
      <c r="AE142">
        <v>1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0</v>
      </c>
      <c r="AN142">
        <v>0</v>
      </c>
      <c r="AO142">
        <v>0</v>
      </c>
      <c r="AP142">
        <v>0</v>
      </c>
      <c r="AQ142">
        <v>0</v>
      </c>
      <c r="AR142">
        <v>0</v>
      </c>
      <c r="AS142">
        <v>0</v>
      </c>
      <c r="AT142">
        <f t="shared" si="8"/>
        <v>20.8</v>
      </c>
      <c r="AU142">
        <f t="shared" si="6"/>
        <v>0</v>
      </c>
      <c r="AV142">
        <f t="shared" si="7"/>
        <v>724.7</v>
      </c>
      <c r="AY142">
        <v>785</v>
      </c>
      <c r="AZ142">
        <v>12.58</v>
      </c>
      <c r="BC142" t="s">
        <v>76</v>
      </c>
    </row>
    <row r="143" spans="3:55" x14ac:dyDescent="0.45">
      <c r="C143">
        <v>86</v>
      </c>
      <c r="D143">
        <v>0</v>
      </c>
      <c r="E143">
        <v>0</v>
      </c>
      <c r="F143">
        <v>14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1</v>
      </c>
      <c r="W143">
        <v>1000</v>
      </c>
      <c r="X143">
        <v>70</v>
      </c>
      <c r="Y143">
        <v>0</v>
      </c>
      <c r="Z143">
        <v>1</v>
      </c>
      <c r="AA143">
        <v>0</v>
      </c>
      <c r="AB143">
        <v>0</v>
      </c>
      <c r="AC143">
        <v>850</v>
      </c>
      <c r="AD143">
        <v>1</v>
      </c>
      <c r="AE143">
        <v>1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0</v>
      </c>
      <c r="AM143">
        <v>0</v>
      </c>
      <c r="AN143">
        <v>0</v>
      </c>
      <c r="AO143">
        <v>0</v>
      </c>
      <c r="AP143">
        <v>0</v>
      </c>
      <c r="AQ143">
        <v>0</v>
      </c>
      <c r="AR143">
        <v>0</v>
      </c>
      <c r="AS143">
        <v>0</v>
      </c>
      <c r="AT143">
        <f t="shared" si="8"/>
        <v>22.400000000000002</v>
      </c>
      <c r="AU143">
        <f t="shared" si="6"/>
        <v>0</v>
      </c>
      <c r="AV143">
        <f t="shared" si="7"/>
        <v>712.6</v>
      </c>
      <c r="AY143">
        <v>789</v>
      </c>
      <c r="AZ143">
        <v>13.49</v>
      </c>
      <c r="BC143" t="s">
        <v>77</v>
      </c>
    </row>
    <row r="144" spans="3:55" x14ac:dyDescent="0.45">
      <c r="C144">
        <v>94.129000000000005</v>
      </c>
      <c r="D144">
        <v>5.73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>
        <v>0</v>
      </c>
      <c r="AB144">
        <v>0</v>
      </c>
      <c r="AC144">
        <v>1000</v>
      </c>
      <c r="AD144">
        <v>1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0</v>
      </c>
      <c r="AR144">
        <v>0</v>
      </c>
      <c r="AS144">
        <v>0</v>
      </c>
      <c r="AT144">
        <f t="shared" si="8"/>
        <v>-5.73</v>
      </c>
      <c r="AU144">
        <f t="shared" si="6"/>
        <v>5.73</v>
      </c>
      <c r="AV144">
        <f t="shared" si="7"/>
        <v>894.03300000000002</v>
      </c>
      <c r="AY144">
        <v>932</v>
      </c>
      <c r="BC144" t="s">
        <v>49</v>
      </c>
    </row>
    <row r="145" spans="3:55" x14ac:dyDescent="0.45">
      <c r="C145">
        <v>94.207999999999998</v>
      </c>
      <c r="D145">
        <v>5.73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>
        <v>0</v>
      </c>
      <c r="AB145">
        <v>0</v>
      </c>
      <c r="AC145">
        <v>1000</v>
      </c>
      <c r="AD145">
        <v>1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  <c r="AP145">
        <v>0</v>
      </c>
      <c r="AQ145">
        <v>0</v>
      </c>
      <c r="AR145">
        <v>0</v>
      </c>
      <c r="AS145">
        <v>0</v>
      </c>
      <c r="AT145">
        <f t="shared" si="8"/>
        <v>-5.73</v>
      </c>
      <c r="AU145">
        <f t="shared" si="6"/>
        <v>5.73</v>
      </c>
      <c r="AV145">
        <f t="shared" si="7"/>
        <v>894.03300000000002</v>
      </c>
      <c r="AY145">
        <v>695</v>
      </c>
      <c r="BC145" t="s">
        <v>49</v>
      </c>
    </row>
    <row r="146" spans="3:55" x14ac:dyDescent="0.45">
      <c r="C146">
        <v>93.06</v>
      </c>
      <c r="D146">
        <v>0</v>
      </c>
      <c r="E146">
        <v>0</v>
      </c>
      <c r="F146">
        <v>0</v>
      </c>
      <c r="G146">
        <v>0</v>
      </c>
      <c r="H146">
        <v>6.94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0</v>
      </c>
      <c r="AN146">
        <v>0</v>
      </c>
      <c r="AO146">
        <v>0</v>
      </c>
      <c r="AP146">
        <v>0</v>
      </c>
      <c r="AQ146">
        <v>0</v>
      </c>
      <c r="AR146">
        <v>0</v>
      </c>
      <c r="AS146">
        <v>0</v>
      </c>
      <c r="AT146">
        <f t="shared" si="8"/>
        <v>20.126000000000001</v>
      </c>
      <c r="AU146">
        <f t="shared" si="6"/>
        <v>0</v>
      </c>
      <c r="AV146">
        <f t="shared" si="7"/>
        <v>775.12400000000002</v>
      </c>
      <c r="AW146">
        <v>129</v>
      </c>
      <c r="AX146">
        <v>1560</v>
      </c>
      <c r="BC146" t="s">
        <v>60</v>
      </c>
    </row>
    <row r="147" spans="3:55" x14ac:dyDescent="0.45">
      <c r="C147">
        <v>93.94</v>
      </c>
      <c r="D147">
        <v>0</v>
      </c>
      <c r="E147">
        <v>0</v>
      </c>
      <c r="F147">
        <v>0</v>
      </c>
      <c r="G147">
        <v>0</v>
      </c>
      <c r="H147">
        <v>6.0600000000000005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1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0</v>
      </c>
      <c r="AM147">
        <v>0</v>
      </c>
      <c r="AN147">
        <v>0</v>
      </c>
      <c r="AO147">
        <v>0</v>
      </c>
      <c r="AP147">
        <v>0</v>
      </c>
      <c r="AQ147">
        <v>0</v>
      </c>
      <c r="AR147">
        <v>0</v>
      </c>
      <c r="AS147">
        <v>0</v>
      </c>
      <c r="AT147">
        <f t="shared" si="8"/>
        <v>17.574000000000002</v>
      </c>
      <c r="AU147">
        <f t="shared" si="6"/>
        <v>0</v>
      </c>
      <c r="AV147">
        <f t="shared" si="7"/>
        <v>788.67599999999993</v>
      </c>
      <c r="AW147">
        <v>130</v>
      </c>
      <c r="AX147">
        <v>1847</v>
      </c>
      <c r="BC147" t="s">
        <v>60</v>
      </c>
    </row>
    <row r="148" spans="3:55" x14ac:dyDescent="0.45">
      <c r="C148">
        <v>30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70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0</v>
      </c>
      <c r="AN148">
        <v>0</v>
      </c>
      <c r="AO148">
        <v>0</v>
      </c>
      <c r="AP148">
        <v>0</v>
      </c>
      <c r="AQ148">
        <v>0</v>
      </c>
      <c r="AR148">
        <v>0</v>
      </c>
      <c r="AS148">
        <v>0</v>
      </c>
      <c r="AT148">
        <f t="shared" si="8"/>
        <v>0</v>
      </c>
      <c r="AU148">
        <f t="shared" si="6"/>
        <v>11.666666666666666</v>
      </c>
      <c r="AV148">
        <f t="shared" si="7"/>
        <v>399</v>
      </c>
      <c r="AW148">
        <v>74.7</v>
      </c>
    </row>
    <row r="149" spans="3:55" x14ac:dyDescent="0.45">
      <c r="C149">
        <v>91.53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8.4700000000000006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0</v>
      </c>
      <c r="AN149">
        <v>0</v>
      </c>
      <c r="AO149">
        <v>0</v>
      </c>
      <c r="AP149">
        <v>0</v>
      </c>
      <c r="AQ149">
        <v>0</v>
      </c>
      <c r="AR149">
        <v>0</v>
      </c>
      <c r="AS149">
        <v>0</v>
      </c>
      <c r="AT149">
        <f t="shared" si="8"/>
        <v>0</v>
      </c>
      <c r="AU149">
        <f t="shared" si="6"/>
        <v>1.4116666666666668</v>
      </c>
      <c r="AV149">
        <f t="shared" si="7"/>
        <v>823.55700000000002</v>
      </c>
      <c r="AW149">
        <v>110.5</v>
      </c>
    </row>
    <row r="150" spans="3:55" x14ac:dyDescent="0.45">
      <c r="C150">
        <v>72.5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27.5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0</v>
      </c>
      <c r="AR150">
        <v>0</v>
      </c>
      <c r="AS150">
        <v>0</v>
      </c>
      <c r="AT150">
        <f t="shared" si="8"/>
        <v>0</v>
      </c>
      <c r="AU150">
        <f t="shared" si="6"/>
        <v>4.583333333333333</v>
      </c>
      <c r="AV150">
        <f t="shared" si="7"/>
        <v>692.25</v>
      </c>
      <c r="AW150">
        <v>94.61</v>
      </c>
    </row>
    <row r="151" spans="3:55" x14ac:dyDescent="0.45">
      <c r="C151">
        <v>59.47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1.53</v>
      </c>
      <c r="K151">
        <v>39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>
        <v>0</v>
      </c>
      <c r="AB151">
        <v>0</v>
      </c>
      <c r="AC151">
        <v>850</v>
      </c>
      <c r="AD151">
        <v>1</v>
      </c>
      <c r="AE151">
        <v>1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0</v>
      </c>
      <c r="AR151">
        <v>0</v>
      </c>
      <c r="AS151">
        <v>0</v>
      </c>
      <c r="AT151">
        <f t="shared" si="8"/>
        <v>10.920000000000002</v>
      </c>
      <c r="AU151">
        <f t="shared" si="6"/>
        <v>0.255</v>
      </c>
      <c r="AV151">
        <f t="shared" si="7"/>
        <v>871.44299999999998</v>
      </c>
      <c r="AY151">
        <v>598.70000000000005</v>
      </c>
      <c r="AZ151">
        <v>21.88</v>
      </c>
      <c r="BC151" t="s">
        <v>51</v>
      </c>
    </row>
    <row r="152" spans="3:55" x14ac:dyDescent="0.45">
      <c r="C152">
        <v>58.24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3.04</v>
      </c>
      <c r="K152">
        <v>38.72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>
        <v>0</v>
      </c>
      <c r="AB152">
        <v>0</v>
      </c>
      <c r="AC152">
        <v>850</v>
      </c>
      <c r="AD152">
        <v>1</v>
      </c>
      <c r="AE152">
        <v>1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  <c r="AQ152">
        <v>0</v>
      </c>
      <c r="AR152">
        <v>0</v>
      </c>
      <c r="AS152">
        <v>0</v>
      </c>
      <c r="AT152">
        <f t="shared" si="8"/>
        <v>10.841600000000001</v>
      </c>
      <c r="AU152">
        <f t="shared" si="6"/>
        <v>0.50666666666666671</v>
      </c>
      <c r="AV152">
        <f t="shared" si="7"/>
        <v>861.024</v>
      </c>
      <c r="AY152">
        <v>667.1</v>
      </c>
      <c r="AZ152">
        <v>11.03</v>
      </c>
      <c r="BC152" t="s">
        <v>51</v>
      </c>
    </row>
    <row r="153" spans="3:55" x14ac:dyDescent="0.45">
      <c r="C153">
        <v>57.03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4.53</v>
      </c>
      <c r="K153">
        <v>38.44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>
        <v>0</v>
      </c>
      <c r="AB153">
        <v>0</v>
      </c>
      <c r="AC153">
        <v>850</v>
      </c>
      <c r="AD153">
        <v>1</v>
      </c>
      <c r="AE153">
        <v>1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  <c r="AP153">
        <v>0</v>
      </c>
      <c r="AQ153">
        <v>0</v>
      </c>
      <c r="AR153">
        <v>0</v>
      </c>
      <c r="AS153">
        <v>0</v>
      </c>
      <c r="AT153">
        <f t="shared" si="8"/>
        <v>10.763200000000001</v>
      </c>
      <c r="AU153">
        <f t="shared" si="6"/>
        <v>0.755</v>
      </c>
      <c r="AV153">
        <f t="shared" si="7"/>
        <v>850.74299999999994</v>
      </c>
      <c r="AY153">
        <v>768.2</v>
      </c>
      <c r="AZ153">
        <v>5.26</v>
      </c>
      <c r="BC153" t="s">
        <v>51</v>
      </c>
    </row>
    <row r="154" spans="3:55" x14ac:dyDescent="0.45">
      <c r="C154">
        <v>55.84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6</v>
      </c>
      <c r="K154">
        <v>38.159999999999997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>
        <v>0</v>
      </c>
      <c r="AB154">
        <v>0</v>
      </c>
      <c r="AC154">
        <v>850</v>
      </c>
      <c r="AD154">
        <v>1</v>
      </c>
      <c r="AE154">
        <v>1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0</v>
      </c>
      <c r="AR154">
        <v>0</v>
      </c>
      <c r="AS154">
        <v>0</v>
      </c>
      <c r="AT154">
        <f t="shared" si="8"/>
        <v>10.684799999999999</v>
      </c>
      <c r="AU154">
        <f t="shared" si="6"/>
        <v>1</v>
      </c>
      <c r="AV154">
        <f t="shared" si="7"/>
        <v>840.6</v>
      </c>
      <c r="AY154">
        <v>746.6</v>
      </c>
      <c r="AZ154">
        <v>3.88</v>
      </c>
      <c r="BC154" t="s">
        <v>51</v>
      </c>
    </row>
    <row r="155" spans="3:55" x14ac:dyDescent="0.45">
      <c r="C155">
        <v>53.5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8.8699999999999992</v>
      </c>
      <c r="K155">
        <v>37.630000000000003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1</v>
      </c>
      <c r="Z155">
        <v>0</v>
      </c>
      <c r="AA155">
        <v>0</v>
      </c>
      <c r="AB155">
        <v>0</v>
      </c>
      <c r="AC155">
        <v>850</v>
      </c>
      <c r="AD155">
        <v>1</v>
      </c>
      <c r="AE155">
        <v>1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0</v>
      </c>
      <c r="AN155">
        <v>0</v>
      </c>
      <c r="AO155">
        <v>0</v>
      </c>
      <c r="AP155">
        <v>0</v>
      </c>
      <c r="AQ155">
        <v>0</v>
      </c>
      <c r="AR155">
        <v>0</v>
      </c>
      <c r="AS155">
        <v>0</v>
      </c>
      <c r="AT155">
        <f t="shared" si="8"/>
        <v>10.536400000000002</v>
      </c>
      <c r="AU155">
        <f t="shared" si="6"/>
        <v>1.4783333333333333</v>
      </c>
      <c r="AV155">
        <f t="shared" si="7"/>
        <v>820.79700000000003</v>
      </c>
      <c r="AY155">
        <v>655.29999999999995</v>
      </c>
      <c r="AZ155">
        <v>8.0500000000000007</v>
      </c>
      <c r="BB155" t="s">
        <v>237</v>
      </c>
      <c r="BC155" t="s">
        <v>51</v>
      </c>
    </row>
    <row r="156" spans="3:55" x14ac:dyDescent="0.45">
      <c r="C156">
        <v>62.04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3.11</v>
      </c>
      <c r="K156">
        <v>34.85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1</v>
      </c>
      <c r="W156">
        <v>20</v>
      </c>
      <c r="X156">
        <v>95</v>
      </c>
      <c r="Y156">
        <v>0</v>
      </c>
      <c r="Z156">
        <v>1</v>
      </c>
      <c r="AA156">
        <v>0</v>
      </c>
      <c r="AB156">
        <v>0</v>
      </c>
      <c r="AC156">
        <v>900</v>
      </c>
      <c r="AD156">
        <v>0.5</v>
      </c>
      <c r="AE156">
        <v>1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0</v>
      </c>
      <c r="AM156">
        <v>0</v>
      </c>
      <c r="AN156">
        <v>0</v>
      </c>
      <c r="AO156">
        <v>0</v>
      </c>
      <c r="AP156">
        <v>0</v>
      </c>
      <c r="AQ156">
        <v>0</v>
      </c>
      <c r="AR156">
        <v>0</v>
      </c>
      <c r="AS156">
        <v>0</v>
      </c>
      <c r="AT156">
        <f t="shared" si="8"/>
        <v>9.7580000000000009</v>
      </c>
      <c r="AU156">
        <f t="shared" si="6"/>
        <v>0.51833333333333331</v>
      </c>
      <c r="AV156">
        <f t="shared" si="7"/>
        <v>860.54100000000005</v>
      </c>
      <c r="AY156">
        <v>459</v>
      </c>
      <c r="AZ156">
        <v>38.22</v>
      </c>
      <c r="BB156" t="s">
        <v>237</v>
      </c>
      <c r="BC156" t="s">
        <v>111</v>
      </c>
    </row>
    <row r="157" spans="3:55" x14ac:dyDescent="0.45">
      <c r="C157">
        <v>59.52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6.13</v>
      </c>
      <c r="K157">
        <v>34.35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1</v>
      </c>
      <c r="W157">
        <v>20</v>
      </c>
      <c r="X157">
        <v>95</v>
      </c>
      <c r="Y157">
        <v>0</v>
      </c>
      <c r="Z157">
        <v>1</v>
      </c>
      <c r="AA157">
        <v>0</v>
      </c>
      <c r="AB157">
        <v>0</v>
      </c>
      <c r="AC157">
        <v>900</v>
      </c>
      <c r="AD157">
        <v>0.5</v>
      </c>
      <c r="AE157">
        <v>1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0</v>
      </c>
      <c r="AR157">
        <v>0</v>
      </c>
      <c r="AS157">
        <v>0</v>
      </c>
      <c r="AT157">
        <f t="shared" si="8"/>
        <v>9.6180000000000021</v>
      </c>
      <c r="AU157">
        <f t="shared" si="6"/>
        <v>1.0216666666666667</v>
      </c>
      <c r="AV157">
        <f t="shared" si="7"/>
        <v>839.70299999999997</v>
      </c>
      <c r="AY157">
        <v>468</v>
      </c>
      <c r="AZ157">
        <v>40.65</v>
      </c>
      <c r="BB157" t="s">
        <v>237</v>
      </c>
      <c r="BC157" t="s">
        <v>79</v>
      </c>
    </row>
    <row r="158" spans="3:55" x14ac:dyDescent="0.45">
      <c r="C158">
        <v>57.08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9.07</v>
      </c>
      <c r="K158">
        <v>33.85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1</v>
      </c>
      <c r="W158">
        <v>20</v>
      </c>
      <c r="X158">
        <v>95</v>
      </c>
      <c r="Y158">
        <v>0</v>
      </c>
      <c r="Z158">
        <v>1</v>
      </c>
      <c r="AA158">
        <v>0</v>
      </c>
      <c r="AB158">
        <v>0</v>
      </c>
      <c r="AC158">
        <v>900</v>
      </c>
      <c r="AD158">
        <v>0.5</v>
      </c>
      <c r="AE158">
        <v>1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>
        <v>0</v>
      </c>
      <c r="AS158">
        <v>0</v>
      </c>
      <c r="AT158">
        <f t="shared" si="8"/>
        <v>9.4780000000000015</v>
      </c>
      <c r="AU158">
        <f t="shared" si="6"/>
        <v>1.5116666666666667</v>
      </c>
      <c r="AV158">
        <f t="shared" si="7"/>
        <v>819.41700000000003</v>
      </c>
      <c r="AY158">
        <v>456</v>
      </c>
      <c r="AZ158">
        <v>28.57</v>
      </c>
      <c r="BB158" t="s">
        <v>237</v>
      </c>
      <c r="BC158" t="s">
        <v>80</v>
      </c>
    </row>
    <row r="159" spans="3:55" x14ac:dyDescent="0.45">
      <c r="C159">
        <v>54.71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11.92</v>
      </c>
      <c r="K159">
        <v>33.369999999999997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1</v>
      </c>
      <c r="W159">
        <v>20</v>
      </c>
      <c r="X159">
        <v>95</v>
      </c>
      <c r="Y159">
        <v>0</v>
      </c>
      <c r="Z159">
        <v>1</v>
      </c>
      <c r="AA159">
        <v>0</v>
      </c>
      <c r="AB159">
        <v>0</v>
      </c>
      <c r="AC159">
        <v>900</v>
      </c>
      <c r="AD159">
        <v>0.5</v>
      </c>
      <c r="AE159">
        <v>1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  <c r="AQ159">
        <v>0</v>
      </c>
      <c r="AR159">
        <v>0</v>
      </c>
      <c r="AS159">
        <v>0</v>
      </c>
      <c r="AT159">
        <f t="shared" si="8"/>
        <v>9.3436000000000003</v>
      </c>
      <c r="AU159">
        <f t="shared" si="6"/>
        <v>1.9866666666666666</v>
      </c>
      <c r="AV159">
        <f t="shared" si="7"/>
        <v>799.75199999999995</v>
      </c>
      <c r="AY159">
        <v>480</v>
      </c>
      <c r="AZ159">
        <v>27.6</v>
      </c>
      <c r="BB159" t="s">
        <v>237</v>
      </c>
      <c r="BC159" t="s">
        <v>81</v>
      </c>
    </row>
    <row r="160" spans="3:55" x14ac:dyDescent="0.45">
      <c r="C160">
        <v>74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13</v>
      </c>
      <c r="K160">
        <v>13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1</v>
      </c>
      <c r="W160">
        <v>800</v>
      </c>
      <c r="X160">
        <v>35</v>
      </c>
      <c r="Y160">
        <v>0</v>
      </c>
      <c r="Z160">
        <v>1</v>
      </c>
      <c r="AA160">
        <v>0</v>
      </c>
      <c r="AB160">
        <v>0</v>
      </c>
      <c r="AC160">
        <v>800</v>
      </c>
      <c r="AD160">
        <v>1</v>
      </c>
      <c r="AE160">
        <v>0</v>
      </c>
      <c r="AF160">
        <v>0</v>
      </c>
      <c r="AG160">
        <v>1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  <c r="AP160">
        <v>0</v>
      </c>
      <c r="AQ160">
        <v>0</v>
      </c>
      <c r="AR160">
        <v>0</v>
      </c>
      <c r="AS160">
        <v>0</v>
      </c>
      <c r="AT160">
        <f t="shared" si="8"/>
        <v>3.6400000000000006</v>
      </c>
      <c r="AU160">
        <f t="shared" si="6"/>
        <v>2.1666666666666665</v>
      </c>
      <c r="AV160">
        <f t="shared" si="7"/>
        <v>792.3</v>
      </c>
      <c r="AY160">
        <v>732</v>
      </c>
      <c r="AZ160">
        <v>16.25</v>
      </c>
      <c r="BB160" t="s">
        <v>236</v>
      </c>
      <c r="BC160" t="s">
        <v>82</v>
      </c>
    </row>
    <row r="161" spans="3:55" x14ac:dyDescent="0.45">
      <c r="C161">
        <v>74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13</v>
      </c>
      <c r="K161">
        <v>13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1</v>
      </c>
      <c r="W161">
        <v>800</v>
      </c>
      <c r="X161">
        <v>35</v>
      </c>
      <c r="Y161">
        <v>0</v>
      </c>
      <c r="Z161">
        <v>1</v>
      </c>
      <c r="AA161">
        <v>0</v>
      </c>
      <c r="AB161">
        <v>0</v>
      </c>
      <c r="AC161">
        <v>800</v>
      </c>
      <c r="AD161">
        <v>1</v>
      </c>
      <c r="AE161">
        <v>0</v>
      </c>
      <c r="AF161">
        <v>1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0</v>
      </c>
      <c r="AN161">
        <v>0</v>
      </c>
      <c r="AO161">
        <v>0</v>
      </c>
      <c r="AP161">
        <v>0</v>
      </c>
      <c r="AQ161">
        <v>0</v>
      </c>
      <c r="AR161">
        <v>0</v>
      </c>
      <c r="AS161">
        <v>0</v>
      </c>
      <c r="AT161">
        <f t="shared" si="8"/>
        <v>3.6400000000000006</v>
      </c>
      <c r="AU161">
        <f t="shared" si="6"/>
        <v>2.1666666666666665</v>
      </c>
      <c r="AV161">
        <f t="shared" si="7"/>
        <v>792.3</v>
      </c>
      <c r="AY161">
        <v>773</v>
      </c>
      <c r="AZ161">
        <v>12.24</v>
      </c>
      <c r="BB161" t="s">
        <v>237</v>
      </c>
      <c r="BC161" t="s">
        <v>82</v>
      </c>
    </row>
    <row r="162" spans="3:55" x14ac:dyDescent="0.45">
      <c r="C162">
        <v>74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13</v>
      </c>
      <c r="K162">
        <v>13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1</v>
      </c>
      <c r="W162">
        <v>800</v>
      </c>
      <c r="X162">
        <v>35</v>
      </c>
      <c r="Y162">
        <v>0</v>
      </c>
      <c r="Z162">
        <v>1</v>
      </c>
      <c r="AA162">
        <v>0</v>
      </c>
      <c r="AB162">
        <v>0</v>
      </c>
      <c r="AC162">
        <v>800</v>
      </c>
      <c r="AD162">
        <v>1</v>
      </c>
      <c r="AE162">
        <v>1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0</v>
      </c>
      <c r="AR162">
        <v>0</v>
      </c>
      <c r="AS162">
        <v>0</v>
      </c>
      <c r="AT162">
        <f t="shared" si="8"/>
        <v>3.6400000000000006</v>
      </c>
      <c r="AU162">
        <f t="shared" si="6"/>
        <v>2.1666666666666665</v>
      </c>
      <c r="AV162">
        <f t="shared" si="7"/>
        <v>792.3</v>
      </c>
      <c r="AY162">
        <v>743</v>
      </c>
      <c r="AZ162">
        <v>20.23</v>
      </c>
      <c r="BB162" t="s">
        <v>238</v>
      </c>
      <c r="BC162" t="s">
        <v>82</v>
      </c>
    </row>
    <row r="163" spans="3:55" x14ac:dyDescent="0.45">
      <c r="C163">
        <v>74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13</v>
      </c>
      <c r="K163">
        <v>13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1</v>
      </c>
      <c r="W163">
        <v>800</v>
      </c>
      <c r="X163">
        <v>35</v>
      </c>
      <c r="Y163">
        <v>0</v>
      </c>
      <c r="Z163">
        <v>1</v>
      </c>
      <c r="AA163">
        <v>0</v>
      </c>
      <c r="AB163">
        <v>0</v>
      </c>
      <c r="AC163">
        <v>800</v>
      </c>
      <c r="AD163">
        <v>1</v>
      </c>
      <c r="AE163">
        <v>1</v>
      </c>
      <c r="AF163">
        <v>0</v>
      </c>
      <c r="AG163">
        <v>0</v>
      </c>
      <c r="AH163">
        <v>500</v>
      </c>
      <c r="AI163">
        <v>5</v>
      </c>
      <c r="AJ163">
        <v>1</v>
      </c>
      <c r="AK163">
        <v>0</v>
      </c>
      <c r="AL163">
        <v>0</v>
      </c>
      <c r="AM163">
        <v>0</v>
      </c>
      <c r="AN163">
        <v>0</v>
      </c>
      <c r="AO163">
        <v>0</v>
      </c>
      <c r="AP163">
        <v>0</v>
      </c>
      <c r="AQ163">
        <v>0</v>
      </c>
      <c r="AR163">
        <v>0</v>
      </c>
      <c r="AS163">
        <v>0</v>
      </c>
      <c r="AT163">
        <f t="shared" si="8"/>
        <v>3.6400000000000006</v>
      </c>
      <c r="AU163">
        <f t="shared" si="6"/>
        <v>2.1666666666666665</v>
      </c>
      <c r="AV163">
        <f t="shared" si="7"/>
        <v>792.3</v>
      </c>
      <c r="AY163">
        <v>1047</v>
      </c>
      <c r="AZ163">
        <v>4.26</v>
      </c>
      <c r="BB163" t="s">
        <v>239</v>
      </c>
      <c r="BC163" t="s">
        <v>82</v>
      </c>
    </row>
    <row r="164" spans="3:55" x14ac:dyDescent="0.45">
      <c r="C164">
        <v>74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13</v>
      </c>
      <c r="K164">
        <v>13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1</v>
      </c>
      <c r="W164">
        <v>800</v>
      </c>
      <c r="X164">
        <v>35</v>
      </c>
      <c r="Y164">
        <v>0</v>
      </c>
      <c r="Z164">
        <v>1</v>
      </c>
      <c r="AA164">
        <v>0</v>
      </c>
      <c r="AB164">
        <v>0</v>
      </c>
      <c r="AC164">
        <v>650</v>
      </c>
      <c r="AD164">
        <v>1</v>
      </c>
      <c r="AE164">
        <v>0</v>
      </c>
      <c r="AF164">
        <v>0</v>
      </c>
      <c r="AG164">
        <v>1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  <c r="AP164">
        <v>0</v>
      </c>
      <c r="AQ164">
        <v>0</v>
      </c>
      <c r="AR164">
        <v>0</v>
      </c>
      <c r="AS164">
        <v>0</v>
      </c>
      <c r="AT164">
        <f t="shared" si="8"/>
        <v>3.6400000000000006</v>
      </c>
      <c r="AU164">
        <f t="shared" si="6"/>
        <v>2.1666666666666665</v>
      </c>
      <c r="AV164">
        <f t="shared" si="7"/>
        <v>792.3</v>
      </c>
      <c r="AY164">
        <v>791</v>
      </c>
      <c r="AZ164">
        <v>11.11</v>
      </c>
      <c r="BB164" t="s">
        <v>240</v>
      </c>
      <c r="BC164" t="s">
        <v>82</v>
      </c>
    </row>
    <row r="165" spans="3:55" x14ac:dyDescent="0.45">
      <c r="C165">
        <v>74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13</v>
      </c>
      <c r="K165">
        <v>13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1</v>
      </c>
      <c r="W165">
        <v>800</v>
      </c>
      <c r="X165">
        <v>35</v>
      </c>
      <c r="Y165">
        <v>0</v>
      </c>
      <c r="Z165">
        <v>1</v>
      </c>
      <c r="AA165">
        <v>0</v>
      </c>
      <c r="AB165">
        <v>0</v>
      </c>
      <c r="AC165">
        <v>650</v>
      </c>
      <c r="AD165">
        <v>1</v>
      </c>
      <c r="AE165">
        <v>0</v>
      </c>
      <c r="AF165">
        <v>1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  <c r="AP165">
        <v>0</v>
      </c>
      <c r="AQ165">
        <v>0</v>
      </c>
      <c r="AR165">
        <v>0</v>
      </c>
      <c r="AS165">
        <v>0</v>
      </c>
      <c r="AT165">
        <f t="shared" si="8"/>
        <v>3.6400000000000006</v>
      </c>
      <c r="AU165">
        <f t="shared" si="6"/>
        <v>2.1666666666666665</v>
      </c>
      <c r="AV165">
        <f t="shared" si="7"/>
        <v>792.3</v>
      </c>
      <c r="AY165">
        <v>871</v>
      </c>
      <c r="AZ165">
        <v>11.15</v>
      </c>
      <c r="BB165" t="s">
        <v>241</v>
      </c>
      <c r="BC165" t="s">
        <v>82</v>
      </c>
    </row>
    <row r="166" spans="3:55" x14ac:dyDescent="0.45">
      <c r="C166">
        <v>74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13</v>
      </c>
      <c r="K166">
        <v>13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1</v>
      </c>
      <c r="W166">
        <v>800</v>
      </c>
      <c r="X166">
        <v>35</v>
      </c>
      <c r="Y166">
        <v>0</v>
      </c>
      <c r="Z166">
        <v>1</v>
      </c>
      <c r="AA166">
        <v>0</v>
      </c>
      <c r="AB166">
        <v>0</v>
      </c>
      <c r="AC166">
        <v>650</v>
      </c>
      <c r="AD166">
        <v>1</v>
      </c>
      <c r="AE166">
        <v>1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0</v>
      </c>
      <c r="AM166">
        <v>0</v>
      </c>
      <c r="AN166">
        <v>0</v>
      </c>
      <c r="AO166">
        <v>0</v>
      </c>
      <c r="AP166">
        <v>0</v>
      </c>
      <c r="AQ166">
        <v>0</v>
      </c>
      <c r="AR166">
        <v>0</v>
      </c>
      <c r="AS166">
        <v>0</v>
      </c>
      <c r="AT166">
        <f t="shared" si="8"/>
        <v>3.6400000000000006</v>
      </c>
      <c r="AU166">
        <f t="shared" si="6"/>
        <v>2.1666666666666665</v>
      </c>
      <c r="AV166">
        <f t="shared" si="7"/>
        <v>792.3</v>
      </c>
      <c r="AY166">
        <v>807</v>
      </c>
      <c r="AZ166">
        <v>16.989999999999998</v>
      </c>
      <c r="BC166" t="s">
        <v>82</v>
      </c>
    </row>
    <row r="167" spans="3:55" x14ac:dyDescent="0.45">
      <c r="C167">
        <v>74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13</v>
      </c>
      <c r="K167">
        <v>13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1</v>
      </c>
      <c r="W167">
        <v>800</v>
      </c>
      <c r="X167">
        <v>35</v>
      </c>
      <c r="Y167">
        <v>0</v>
      </c>
      <c r="Z167">
        <v>1</v>
      </c>
      <c r="AA167">
        <v>0</v>
      </c>
      <c r="AB167">
        <v>0</v>
      </c>
      <c r="AC167">
        <v>650</v>
      </c>
      <c r="AD167">
        <v>1</v>
      </c>
      <c r="AE167">
        <v>1</v>
      </c>
      <c r="AF167">
        <v>0</v>
      </c>
      <c r="AG167">
        <v>0</v>
      </c>
      <c r="AH167">
        <v>500</v>
      </c>
      <c r="AI167">
        <v>5</v>
      </c>
      <c r="AJ167">
        <v>1</v>
      </c>
      <c r="AK167">
        <v>0</v>
      </c>
      <c r="AL167">
        <v>0</v>
      </c>
      <c r="AM167">
        <v>0</v>
      </c>
      <c r="AN167">
        <v>0</v>
      </c>
      <c r="AO167">
        <v>0</v>
      </c>
      <c r="AP167">
        <v>0</v>
      </c>
      <c r="AQ167">
        <v>0</v>
      </c>
      <c r="AR167">
        <v>0</v>
      </c>
      <c r="AS167">
        <v>0</v>
      </c>
      <c r="AT167">
        <f t="shared" si="8"/>
        <v>3.6400000000000006</v>
      </c>
      <c r="AU167">
        <f t="shared" si="6"/>
        <v>2.1666666666666665</v>
      </c>
      <c r="AV167">
        <f t="shared" si="7"/>
        <v>792.3</v>
      </c>
      <c r="AY167">
        <v>881</v>
      </c>
      <c r="AZ167">
        <v>8.34</v>
      </c>
      <c r="BC167" t="s">
        <v>82</v>
      </c>
    </row>
    <row r="168" spans="3:55" x14ac:dyDescent="0.45">
      <c r="C168">
        <v>74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13</v>
      </c>
      <c r="K168">
        <v>13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1</v>
      </c>
      <c r="W168">
        <v>650</v>
      </c>
      <c r="X168">
        <v>35</v>
      </c>
      <c r="Y168">
        <v>0</v>
      </c>
      <c r="Z168">
        <v>1</v>
      </c>
      <c r="AA168">
        <v>0</v>
      </c>
      <c r="AB168">
        <v>0</v>
      </c>
      <c r="AC168">
        <v>700</v>
      </c>
      <c r="AD168">
        <v>1</v>
      </c>
      <c r="AE168">
        <v>0</v>
      </c>
      <c r="AF168">
        <v>0</v>
      </c>
      <c r="AG168">
        <v>1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0</v>
      </c>
      <c r="AN168">
        <v>0</v>
      </c>
      <c r="AO168">
        <v>0</v>
      </c>
      <c r="AP168">
        <v>0</v>
      </c>
      <c r="AQ168">
        <v>0</v>
      </c>
      <c r="AR168">
        <v>0</v>
      </c>
      <c r="AS168">
        <v>0</v>
      </c>
      <c r="AT168">
        <f t="shared" si="8"/>
        <v>3.6400000000000006</v>
      </c>
      <c r="AU168">
        <f t="shared" si="6"/>
        <v>2.1666666666666665</v>
      </c>
      <c r="AV168">
        <f t="shared" si="7"/>
        <v>792.3</v>
      </c>
      <c r="AY168">
        <v>814</v>
      </c>
      <c r="AZ168">
        <v>19.489999999999998</v>
      </c>
      <c r="BC168" t="s">
        <v>82</v>
      </c>
    </row>
    <row r="169" spans="3:55" x14ac:dyDescent="0.45">
      <c r="C169">
        <v>74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13</v>
      </c>
      <c r="K169">
        <v>13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1</v>
      </c>
      <c r="W169">
        <v>650</v>
      </c>
      <c r="X169">
        <v>35</v>
      </c>
      <c r="Y169">
        <v>0</v>
      </c>
      <c r="Z169">
        <v>1</v>
      </c>
      <c r="AA169">
        <v>0</v>
      </c>
      <c r="AB169">
        <v>0</v>
      </c>
      <c r="AC169">
        <v>700</v>
      </c>
      <c r="AD169">
        <v>1</v>
      </c>
      <c r="AE169">
        <v>0</v>
      </c>
      <c r="AF169">
        <v>1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  <c r="AP169">
        <v>0</v>
      </c>
      <c r="AQ169">
        <v>0</v>
      </c>
      <c r="AR169">
        <v>0</v>
      </c>
      <c r="AS169">
        <v>0</v>
      </c>
      <c r="AT169">
        <f t="shared" si="8"/>
        <v>3.6400000000000006</v>
      </c>
      <c r="AU169">
        <f t="shared" si="6"/>
        <v>2.1666666666666665</v>
      </c>
      <c r="AV169">
        <f t="shared" si="7"/>
        <v>792.3</v>
      </c>
      <c r="AY169">
        <v>876</v>
      </c>
      <c r="AZ169">
        <v>15.45</v>
      </c>
      <c r="BC169" t="s">
        <v>82</v>
      </c>
    </row>
    <row r="170" spans="3:55" x14ac:dyDescent="0.45">
      <c r="C170">
        <v>74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13</v>
      </c>
      <c r="K170">
        <v>13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1</v>
      </c>
      <c r="W170">
        <v>650</v>
      </c>
      <c r="X170">
        <v>35</v>
      </c>
      <c r="Y170">
        <v>0</v>
      </c>
      <c r="Z170">
        <v>1</v>
      </c>
      <c r="AA170">
        <v>0</v>
      </c>
      <c r="AB170">
        <v>0</v>
      </c>
      <c r="AC170">
        <v>700</v>
      </c>
      <c r="AD170">
        <v>1</v>
      </c>
      <c r="AE170">
        <v>1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  <c r="AP170">
        <v>0</v>
      </c>
      <c r="AQ170">
        <v>0</v>
      </c>
      <c r="AR170">
        <v>0</v>
      </c>
      <c r="AS170">
        <v>0</v>
      </c>
      <c r="AT170">
        <f t="shared" si="8"/>
        <v>3.6400000000000006</v>
      </c>
      <c r="AU170">
        <f t="shared" si="6"/>
        <v>2.1666666666666665</v>
      </c>
      <c r="AV170">
        <f t="shared" si="7"/>
        <v>792.3</v>
      </c>
      <c r="AY170">
        <v>804</v>
      </c>
      <c r="AZ170">
        <v>20.2</v>
      </c>
      <c r="BC170" t="s">
        <v>82</v>
      </c>
    </row>
    <row r="171" spans="3:55" x14ac:dyDescent="0.45">
      <c r="C171">
        <v>74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13</v>
      </c>
      <c r="K171">
        <v>13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1</v>
      </c>
      <c r="W171">
        <v>650</v>
      </c>
      <c r="X171">
        <v>35</v>
      </c>
      <c r="Y171">
        <v>0</v>
      </c>
      <c r="Z171">
        <v>1</v>
      </c>
      <c r="AA171">
        <v>0</v>
      </c>
      <c r="AB171">
        <v>0</v>
      </c>
      <c r="AC171">
        <v>700</v>
      </c>
      <c r="AD171">
        <v>1</v>
      </c>
      <c r="AE171">
        <v>1</v>
      </c>
      <c r="AF171">
        <v>0</v>
      </c>
      <c r="AG171">
        <v>0</v>
      </c>
      <c r="AH171">
        <v>500</v>
      </c>
      <c r="AI171">
        <v>5</v>
      </c>
      <c r="AJ171">
        <v>1</v>
      </c>
      <c r="AK171">
        <v>0</v>
      </c>
      <c r="AL171">
        <v>0</v>
      </c>
      <c r="AM171">
        <v>0</v>
      </c>
      <c r="AN171">
        <v>0</v>
      </c>
      <c r="AO171">
        <v>0</v>
      </c>
      <c r="AP171">
        <v>0</v>
      </c>
      <c r="AQ171">
        <v>0</v>
      </c>
      <c r="AR171">
        <v>0</v>
      </c>
      <c r="AS171">
        <v>0</v>
      </c>
      <c r="AT171">
        <f t="shared" si="8"/>
        <v>3.6400000000000006</v>
      </c>
      <c r="AU171">
        <f t="shared" si="6"/>
        <v>2.1666666666666665</v>
      </c>
      <c r="AV171">
        <f t="shared" si="7"/>
        <v>792.3</v>
      </c>
      <c r="AY171">
        <v>1000</v>
      </c>
      <c r="AZ171">
        <v>11.83</v>
      </c>
      <c r="BC171" t="s">
        <v>82</v>
      </c>
    </row>
    <row r="172" spans="3:55" x14ac:dyDescent="0.45">
      <c r="C172">
        <v>74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13</v>
      </c>
      <c r="K172">
        <v>13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1</v>
      </c>
      <c r="W172">
        <v>650</v>
      </c>
      <c r="X172">
        <v>35</v>
      </c>
      <c r="Y172">
        <v>0</v>
      </c>
      <c r="Z172">
        <v>1</v>
      </c>
      <c r="AA172">
        <v>0</v>
      </c>
      <c r="AB172">
        <v>0</v>
      </c>
      <c r="AC172">
        <v>700</v>
      </c>
      <c r="AD172">
        <v>1</v>
      </c>
      <c r="AE172">
        <v>0</v>
      </c>
      <c r="AF172">
        <v>0</v>
      </c>
      <c r="AG172">
        <v>1</v>
      </c>
      <c r="AH172">
        <v>0</v>
      </c>
      <c r="AI172">
        <v>0</v>
      </c>
      <c r="AJ172">
        <v>0</v>
      </c>
      <c r="AK172">
        <v>0</v>
      </c>
      <c r="AL172">
        <v>0</v>
      </c>
      <c r="AM172">
        <v>0</v>
      </c>
      <c r="AN172">
        <v>0</v>
      </c>
      <c r="AO172">
        <v>0</v>
      </c>
      <c r="AP172">
        <v>0</v>
      </c>
      <c r="AQ172">
        <v>0</v>
      </c>
      <c r="AR172">
        <v>0</v>
      </c>
      <c r="AS172">
        <v>0</v>
      </c>
      <c r="AT172">
        <f t="shared" si="8"/>
        <v>3.6400000000000006</v>
      </c>
      <c r="AU172">
        <f t="shared" si="6"/>
        <v>2.1666666666666665</v>
      </c>
      <c r="AV172">
        <f t="shared" si="7"/>
        <v>792.3</v>
      </c>
      <c r="AY172">
        <v>687</v>
      </c>
      <c r="AZ172">
        <v>16.059999999999999</v>
      </c>
      <c r="BC172" t="s">
        <v>82</v>
      </c>
    </row>
    <row r="173" spans="3:55" x14ac:dyDescent="0.45">
      <c r="C173">
        <v>74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13</v>
      </c>
      <c r="K173">
        <v>13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1</v>
      </c>
      <c r="W173">
        <v>650</v>
      </c>
      <c r="X173">
        <v>35</v>
      </c>
      <c r="Y173">
        <v>0</v>
      </c>
      <c r="Z173">
        <v>1</v>
      </c>
      <c r="AA173">
        <v>0</v>
      </c>
      <c r="AB173">
        <v>0</v>
      </c>
      <c r="AC173">
        <v>700</v>
      </c>
      <c r="AD173">
        <v>1</v>
      </c>
      <c r="AE173">
        <v>0</v>
      </c>
      <c r="AF173">
        <v>1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0</v>
      </c>
      <c r="AM173">
        <v>0</v>
      </c>
      <c r="AN173">
        <v>0</v>
      </c>
      <c r="AO173">
        <v>0</v>
      </c>
      <c r="AP173">
        <v>0</v>
      </c>
      <c r="AQ173">
        <v>0</v>
      </c>
      <c r="AR173">
        <v>0</v>
      </c>
      <c r="AS173">
        <v>0</v>
      </c>
      <c r="AT173">
        <f t="shared" si="8"/>
        <v>3.6400000000000006</v>
      </c>
      <c r="AU173">
        <f t="shared" si="6"/>
        <v>2.1666666666666665</v>
      </c>
      <c r="AV173">
        <f t="shared" si="7"/>
        <v>792.3</v>
      </c>
      <c r="AY173">
        <v>850</v>
      </c>
      <c r="AZ173">
        <v>19.93</v>
      </c>
      <c r="BC173" t="s">
        <v>82</v>
      </c>
    </row>
    <row r="174" spans="3:55" x14ac:dyDescent="0.45">
      <c r="C174">
        <v>74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13</v>
      </c>
      <c r="K174">
        <v>13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1</v>
      </c>
      <c r="W174">
        <v>650</v>
      </c>
      <c r="X174">
        <v>35</v>
      </c>
      <c r="Y174">
        <v>0</v>
      </c>
      <c r="Z174">
        <v>1</v>
      </c>
      <c r="AA174">
        <v>0</v>
      </c>
      <c r="AB174">
        <v>0</v>
      </c>
      <c r="AC174">
        <v>650</v>
      </c>
      <c r="AD174">
        <v>1</v>
      </c>
      <c r="AE174">
        <v>1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0</v>
      </c>
      <c r="AO174">
        <v>0</v>
      </c>
      <c r="AP174">
        <v>0</v>
      </c>
      <c r="AQ174">
        <v>0</v>
      </c>
      <c r="AR174">
        <v>0</v>
      </c>
      <c r="AS174">
        <v>0</v>
      </c>
      <c r="AT174">
        <f t="shared" si="8"/>
        <v>3.6400000000000006</v>
      </c>
      <c r="AU174">
        <f t="shared" si="6"/>
        <v>2.1666666666666665</v>
      </c>
      <c r="AV174">
        <f t="shared" si="7"/>
        <v>792.3</v>
      </c>
      <c r="AY174">
        <v>761</v>
      </c>
      <c r="AZ174">
        <v>13.08</v>
      </c>
      <c r="BC174" t="s">
        <v>82</v>
      </c>
    </row>
    <row r="175" spans="3:55" x14ac:dyDescent="0.45">
      <c r="C175">
        <v>74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13</v>
      </c>
      <c r="K175">
        <v>13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1</v>
      </c>
      <c r="W175">
        <v>650</v>
      </c>
      <c r="X175">
        <v>35</v>
      </c>
      <c r="Y175">
        <v>0</v>
      </c>
      <c r="Z175">
        <v>1</v>
      </c>
      <c r="AA175">
        <v>0</v>
      </c>
      <c r="AB175">
        <v>0</v>
      </c>
      <c r="AC175">
        <v>650</v>
      </c>
      <c r="AD175">
        <v>1</v>
      </c>
      <c r="AE175">
        <v>1</v>
      </c>
      <c r="AF175">
        <v>0</v>
      </c>
      <c r="AG175">
        <v>0</v>
      </c>
      <c r="AH175">
        <v>500</v>
      </c>
      <c r="AI175">
        <v>5</v>
      </c>
      <c r="AJ175">
        <v>1</v>
      </c>
      <c r="AK175">
        <v>0</v>
      </c>
      <c r="AL175">
        <v>0</v>
      </c>
      <c r="AM175">
        <v>0</v>
      </c>
      <c r="AN175">
        <v>0</v>
      </c>
      <c r="AO175">
        <v>0</v>
      </c>
      <c r="AP175">
        <v>0</v>
      </c>
      <c r="AQ175">
        <v>0</v>
      </c>
      <c r="AR175">
        <v>0</v>
      </c>
      <c r="AS175">
        <v>0</v>
      </c>
      <c r="AT175">
        <f t="shared" si="8"/>
        <v>3.6400000000000006</v>
      </c>
      <c r="AU175">
        <f t="shared" si="6"/>
        <v>2.1666666666666665</v>
      </c>
      <c r="AV175">
        <f t="shared" si="7"/>
        <v>792.3</v>
      </c>
      <c r="AY175">
        <v>853</v>
      </c>
      <c r="AZ175">
        <v>14.65</v>
      </c>
      <c r="BB175" t="s">
        <v>335</v>
      </c>
      <c r="BC175" t="s">
        <v>82</v>
      </c>
    </row>
    <row r="176" spans="3:55" x14ac:dyDescent="0.45">
      <c r="C176">
        <v>74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13</v>
      </c>
      <c r="K176">
        <v>13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1</v>
      </c>
      <c r="W176">
        <v>20</v>
      </c>
      <c r="X176">
        <v>75</v>
      </c>
      <c r="Y176">
        <v>0</v>
      </c>
      <c r="Z176">
        <v>1</v>
      </c>
      <c r="AA176">
        <v>0</v>
      </c>
      <c r="AB176">
        <v>0</v>
      </c>
      <c r="AC176">
        <v>844</v>
      </c>
      <c r="AD176">
        <v>0.5</v>
      </c>
      <c r="AE176">
        <v>0</v>
      </c>
      <c r="AF176">
        <v>0</v>
      </c>
      <c r="AG176">
        <v>1</v>
      </c>
      <c r="AH176">
        <v>0</v>
      </c>
      <c r="AI176">
        <v>0</v>
      </c>
      <c r="AJ176">
        <v>0</v>
      </c>
      <c r="AK176">
        <v>0</v>
      </c>
      <c r="AL176">
        <v>0</v>
      </c>
      <c r="AM176">
        <v>0</v>
      </c>
      <c r="AN176">
        <v>0</v>
      </c>
      <c r="AO176">
        <v>0</v>
      </c>
      <c r="AP176">
        <v>0</v>
      </c>
      <c r="AQ176">
        <v>0</v>
      </c>
      <c r="AR176">
        <v>0</v>
      </c>
      <c r="AS176">
        <v>0</v>
      </c>
      <c r="AT176">
        <f t="shared" si="8"/>
        <v>3.6400000000000006</v>
      </c>
      <c r="AU176">
        <f t="shared" si="6"/>
        <v>2.1666666666666665</v>
      </c>
      <c r="AV176">
        <f t="shared" si="7"/>
        <v>792.3</v>
      </c>
      <c r="AY176">
        <v>847</v>
      </c>
      <c r="AZ176">
        <v>19.600000000000001</v>
      </c>
      <c r="BB176" t="s">
        <v>335</v>
      </c>
      <c r="BC176" t="s">
        <v>83</v>
      </c>
    </row>
    <row r="177" spans="3:55" x14ac:dyDescent="0.45">
      <c r="C177">
        <v>74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13</v>
      </c>
      <c r="K177">
        <v>13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1</v>
      </c>
      <c r="W177">
        <v>20</v>
      </c>
      <c r="X177">
        <v>75</v>
      </c>
      <c r="Y177">
        <v>0</v>
      </c>
      <c r="Z177">
        <v>1</v>
      </c>
      <c r="AA177">
        <v>0</v>
      </c>
      <c r="AB177">
        <v>0</v>
      </c>
      <c r="AC177">
        <v>844</v>
      </c>
      <c r="AD177">
        <v>0.5</v>
      </c>
      <c r="AE177">
        <v>0</v>
      </c>
      <c r="AF177">
        <v>0</v>
      </c>
      <c r="AG177">
        <v>1</v>
      </c>
      <c r="AH177">
        <v>400</v>
      </c>
      <c r="AI177">
        <v>3</v>
      </c>
      <c r="AJ177">
        <v>0</v>
      </c>
      <c r="AK177">
        <v>0</v>
      </c>
      <c r="AL177">
        <v>1</v>
      </c>
      <c r="AM177">
        <v>0</v>
      </c>
      <c r="AN177">
        <v>0</v>
      </c>
      <c r="AO177">
        <v>0</v>
      </c>
      <c r="AP177">
        <v>0</v>
      </c>
      <c r="AQ177">
        <v>0</v>
      </c>
      <c r="AR177">
        <v>0</v>
      </c>
      <c r="AS177">
        <v>0</v>
      </c>
      <c r="AT177">
        <f t="shared" si="8"/>
        <v>3.6400000000000006</v>
      </c>
      <c r="AU177">
        <f t="shared" si="6"/>
        <v>2.1666666666666665</v>
      </c>
      <c r="AV177">
        <f t="shared" si="7"/>
        <v>792.3</v>
      </c>
      <c r="AY177">
        <v>1003</v>
      </c>
      <c r="AZ177">
        <v>14.69</v>
      </c>
      <c r="BB177" t="s">
        <v>335</v>
      </c>
      <c r="BC177" t="s">
        <v>83</v>
      </c>
    </row>
    <row r="178" spans="3:55" x14ac:dyDescent="0.45">
      <c r="C178">
        <v>41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25</v>
      </c>
      <c r="K178">
        <v>34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1</v>
      </c>
      <c r="W178">
        <v>20</v>
      </c>
      <c r="X178">
        <v>0</v>
      </c>
      <c r="Y178">
        <v>0</v>
      </c>
      <c r="Z178">
        <v>1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0</v>
      </c>
      <c r="AM178">
        <v>0</v>
      </c>
      <c r="AN178">
        <v>0</v>
      </c>
      <c r="AO178">
        <v>0</v>
      </c>
      <c r="AP178">
        <v>0</v>
      </c>
      <c r="AQ178">
        <v>0</v>
      </c>
      <c r="AR178">
        <v>0</v>
      </c>
      <c r="AS178">
        <v>0</v>
      </c>
      <c r="AT178">
        <f t="shared" si="8"/>
        <v>9.5200000000000014</v>
      </c>
      <c r="AU178">
        <f t="shared" si="6"/>
        <v>4.166666666666667</v>
      </c>
      <c r="AV178">
        <f t="shared" si="7"/>
        <v>709.5</v>
      </c>
      <c r="AY178">
        <v>839</v>
      </c>
      <c r="AZ178">
        <v>15</v>
      </c>
      <c r="BB178" t="s">
        <v>335</v>
      </c>
      <c r="BC178" t="s">
        <v>85</v>
      </c>
    </row>
    <row r="179" spans="3:55" x14ac:dyDescent="0.45">
      <c r="C179">
        <v>41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25</v>
      </c>
      <c r="K179">
        <v>34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1</v>
      </c>
      <c r="W179">
        <v>20</v>
      </c>
      <c r="X179">
        <v>0</v>
      </c>
      <c r="Y179">
        <v>0</v>
      </c>
      <c r="Z179">
        <v>1</v>
      </c>
      <c r="AA179">
        <v>0</v>
      </c>
      <c r="AB179">
        <v>0</v>
      </c>
      <c r="AC179">
        <v>890</v>
      </c>
      <c r="AD179">
        <v>1</v>
      </c>
      <c r="AE179">
        <v>1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0</v>
      </c>
      <c r="AN179">
        <v>0</v>
      </c>
      <c r="AO179">
        <v>0</v>
      </c>
      <c r="AP179">
        <v>0</v>
      </c>
      <c r="AQ179">
        <v>0</v>
      </c>
      <c r="AR179">
        <v>0</v>
      </c>
      <c r="AS179">
        <v>0</v>
      </c>
      <c r="AT179">
        <f t="shared" si="8"/>
        <v>9.5200000000000014</v>
      </c>
      <c r="AU179">
        <f t="shared" si="6"/>
        <v>4.166666666666667</v>
      </c>
      <c r="AV179">
        <f t="shared" si="7"/>
        <v>709.5</v>
      </c>
      <c r="AY179">
        <v>747</v>
      </c>
      <c r="AZ179">
        <v>12</v>
      </c>
      <c r="BB179" t="s">
        <v>341</v>
      </c>
      <c r="BC179" t="s">
        <v>86</v>
      </c>
    </row>
    <row r="180" spans="3:55" x14ac:dyDescent="0.45">
      <c r="C180">
        <v>41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25</v>
      </c>
      <c r="K180">
        <v>34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1</v>
      </c>
      <c r="W180">
        <v>20</v>
      </c>
      <c r="X180">
        <v>20</v>
      </c>
      <c r="Y180">
        <v>0</v>
      </c>
      <c r="Z180">
        <v>1</v>
      </c>
      <c r="AA180">
        <v>0</v>
      </c>
      <c r="AB180">
        <v>0</v>
      </c>
      <c r="AC180">
        <v>890</v>
      </c>
      <c r="AD180">
        <v>1</v>
      </c>
      <c r="AE180">
        <v>1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0</v>
      </c>
      <c r="AM180">
        <v>0</v>
      </c>
      <c r="AN180">
        <v>0</v>
      </c>
      <c r="AO180">
        <v>0</v>
      </c>
      <c r="AP180">
        <v>0</v>
      </c>
      <c r="AQ180">
        <v>0</v>
      </c>
      <c r="AR180">
        <v>0</v>
      </c>
      <c r="AS180">
        <v>0</v>
      </c>
      <c r="AT180">
        <f t="shared" si="8"/>
        <v>9.5200000000000014</v>
      </c>
      <c r="AU180">
        <f t="shared" si="6"/>
        <v>4.166666666666667</v>
      </c>
      <c r="AV180">
        <f t="shared" si="7"/>
        <v>709.5</v>
      </c>
      <c r="AY180">
        <v>788</v>
      </c>
      <c r="AZ180">
        <v>8</v>
      </c>
      <c r="BB180" t="s">
        <v>341</v>
      </c>
      <c r="BC180" t="s">
        <v>87</v>
      </c>
    </row>
    <row r="181" spans="3:55" x14ac:dyDescent="0.45">
      <c r="C181">
        <v>41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25</v>
      </c>
      <c r="K181">
        <v>34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1</v>
      </c>
      <c r="W181">
        <v>20</v>
      </c>
      <c r="X181">
        <v>56</v>
      </c>
      <c r="Y181">
        <v>0</v>
      </c>
      <c r="Z181">
        <v>1</v>
      </c>
      <c r="AA181">
        <v>0</v>
      </c>
      <c r="AB181">
        <v>0</v>
      </c>
      <c r="AC181">
        <v>890</v>
      </c>
      <c r="AD181">
        <v>1</v>
      </c>
      <c r="AE181">
        <v>1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  <c r="AL181">
        <v>0</v>
      </c>
      <c r="AM181">
        <v>0</v>
      </c>
      <c r="AN181">
        <v>0</v>
      </c>
      <c r="AO181">
        <v>0</v>
      </c>
      <c r="AP181">
        <v>0</v>
      </c>
      <c r="AQ181">
        <v>0</v>
      </c>
      <c r="AR181">
        <v>0</v>
      </c>
      <c r="AS181">
        <v>0</v>
      </c>
      <c r="AT181">
        <f t="shared" si="8"/>
        <v>9.5200000000000014</v>
      </c>
      <c r="AU181">
        <f t="shared" si="6"/>
        <v>4.166666666666667</v>
      </c>
      <c r="AV181">
        <f t="shared" si="7"/>
        <v>709.5</v>
      </c>
      <c r="AY181">
        <v>895</v>
      </c>
      <c r="AZ181">
        <v>7</v>
      </c>
      <c r="BB181" t="s">
        <v>341</v>
      </c>
      <c r="BC181" t="s">
        <v>88</v>
      </c>
    </row>
    <row r="182" spans="3:55" x14ac:dyDescent="0.45">
      <c r="C182">
        <v>41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25</v>
      </c>
      <c r="K182">
        <v>34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1</v>
      </c>
      <c r="W182">
        <v>20</v>
      </c>
      <c r="X182">
        <v>76</v>
      </c>
      <c r="Y182">
        <v>0</v>
      </c>
      <c r="Z182">
        <v>1</v>
      </c>
      <c r="AA182">
        <v>0</v>
      </c>
      <c r="AB182">
        <v>0</v>
      </c>
      <c r="AC182">
        <v>890</v>
      </c>
      <c r="AD182">
        <v>1</v>
      </c>
      <c r="AE182">
        <v>1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>
        <v>0</v>
      </c>
      <c r="AQ182">
        <v>0</v>
      </c>
      <c r="AR182">
        <v>0</v>
      </c>
      <c r="AS182">
        <v>0</v>
      </c>
      <c r="AT182">
        <f t="shared" si="8"/>
        <v>9.5200000000000014</v>
      </c>
      <c r="AU182">
        <f t="shared" si="6"/>
        <v>4.166666666666667</v>
      </c>
      <c r="AV182">
        <f t="shared" si="7"/>
        <v>709.5</v>
      </c>
      <c r="AY182">
        <v>1015</v>
      </c>
      <c r="AZ182">
        <v>10</v>
      </c>
      <c r="BB182" t="s">
        <v>341</v>
      </c>
      <c r="BC182" t="s">
        <v>89</v>
      </c>
    </row>
    <row r="183" spans="3:55" x14ac:dyDescent="0.45">
      <c r="C183">
        <v>41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25</v>
      </c>
      <c r="K183">
        <v>34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1</v>
      </c>
      <c r="W183">
        <v>20</v>
      </c>
      <c r="X183">
        <v>86</v>
      </c>
      <c r="Y183">
        <v>0</v>
      </c>
      <c r="Z183">
        <v>1</v>
      </c>
      <c r="AA183">
        <v>0</v>
      </c>
      <c r="AB183">
        <v>0</v>
      </c>
      <c r="AC183">
        <v>890</v>
      </c>
      <c r="AD183">
        <v>1</v>
      </c>
      <c r="AE183">
        <v>1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0</v>
      </c>
      <c r="AM183">
        <v>0</v>
      </c>
      <c r="AN183">
        <v>0</v>
      </c>
      <c r="AO183">
        <v>0</v>
      </c>
      <c r="AP183">
        <v>0</v>
      </c>
      <c r="AQ183">
        <v>0</v>
      </c>
      <c r="AR183">
        <v>0</v>
      </c>
      <c r="AS183">
        <v>0</v>
      </c>
      <c r="AT183">
        <f t="shared" si="8"/>
        <v>9.5200000000000014</v>
      </c>
      <c r="AU183">
        <f t="shared" si="6"/>
        <v>4.166666666666667</v>
      </c>
      <c r="AV183">
        <f t="shared" si="7"/>
        <v>709.5</v>
      </c>
      <c r="AY183">
        <v>1071</v>
      </c>
      <c r="AZ183">
        <v>8</v>
      </c>
      <c r="BB183" t="s">
        <v>342</v>
      </c>
      <c r="BC183" t="s">
        <v>90</v>
      </c>
    </row>
    <row r="184" spans="3:55" x14ac:dyDescent="0.45">
      <c r="C184">
        <v>57.230000000000004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18.310000000000002</v>
      </c>
      <c r="K184">
        <v>24.45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1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  <c r="AL184">
        <v>0</v>
      </c>
      <c r="AM184">
        <v>0</v>
      </c>
      <c r="AN184">
        <v>0</v>
      </c>
      <c r="AO184">
        <v>0</v>
      </c>
      <c r="AP184">
        <v>0</v>
      </c>
      <c r="AQ184">
        <v>0</v>
      </c>
      <c r="AR184">
        <v>0</v>
      </c>
      <c r="AS184">
        <v>0</v>
      </c>
      <c r="AT184">
        <f t="shared" si="8"/>
        <v>6.8460000000000001</v>
      </c>
      <c r="AU184">
        <f t="shared" si="6"/>
        <v>3.0516666666666672</v>
      </c>
      <c r="AV184">
        <f t="shared" si="7"/>
        <v>755.66099999999994</v>
      </c>
      <c r="AW184">
        <v>62</v>
      </c>
      <c r="AX184">
        <v>810</v>
      </c>
      <c r="BB184" t="s">
        <v>342</v>
      </c>
      <c r="BC184" t="s">
        <v>60</v>
      </c>
    </row>
    <row r="185" spans="3:55" x14ac:dyDescent="0.45">
      <c r="C185">
        <v>54.09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23.9</v>
      </c>
      <c r="K185">
        <v>22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1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0</v>
      </c>
      <c r="AN185">
        <v>0</v>
      </c>
      <c r="AO185">
        <v>0</v>
      </c>
      <c r="AP185">
        <v>0</v>
      </c>
      <c r="AQ185">
        <v>0</v>
      </c>
      <c r="AR185">
        <v>0</v>
      </c>
      <c r="AS185">
        <v>0</v>
      </c>
      <c r="AT185">
        <f t="shared" si="8"/>
        <v>6.16</v>
      </c>
      <c r="AU185">
        <f t="shared" si="6"/>
        <v>3.9833333333333329</v>
      </c>
      <c r="AV185">
        <f t="shared" si="7"/>
        <v>717.09</v>
      </c>
      <c r="AW185">
        <v>65</v>
      </c>
      <c r="AX185">
        <v>782</v>
      </c>
      <c r="BB185" t="s">
        <v>342</v>
      </c>
      <c r="BC185" t="s">
        <v>60</v>
      </c>
    </row>
    <row r="186" spans="3:55" x14ac:dyDescent="0.45">
      <c r="C186">
        <v>52.59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26.69</v>
      </c>
      <c r="K186">
        <v>20.73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1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0</v>
      </c>
      <c r="AN186">
        <v>0</v>
      </c>
      <c r="AO186">
        <v>0</v>
      </c>
      <c r="AP186">
        <v>0</v>
      </c>
      <c r="AQ186">
        <v>0</v>
      </c>
      <c r="AR186">
        <v>0</v>
      </c>
      <c r="AS186">
        <v>0</v>
      </c>
      <c r="AT186">
        <f t="shared" si="8"/>
        <v>5.8044000000000011</v>
      </c>
      <c r="AU186">
        <f t="shared" si="6"/>
        <v>4.4483333333333333</v>
      </c>
      <c r="AV186">
        <f t="shared" si="7"/>
        <v>697.83899999999994</v>
      </c>
      <c r="AW186">
        <v>64</v>
      </c>
      <c r="AX186">
        <v>729</v>
      </c>
      <c r="BB186" t="s">
        <v>342</v>
      </c>
      <c r="BC186" t="s">
        <v>60</v>
      </c>
    </row>
    <row r="187" spans="3:55" x14ac:dyDescent="0.45">
      <c r="C187">
        <v>50.27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31.119999999999997</v>
      </c>
      <c r="K187">
        <v>18.62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1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0</v>
      </c>
      <c r="AM187">
        <v>0</v>
      </c>
      <c r="AN187">
        <v>0</v>
      </c>
      <c r="AO187">
        <v>0</v>
      </c>
      <c r="AP187">
        <v>0</v>
      </c>
      <c r="AQ187">
        <v>0</v>
      </c>
      <c r="AR187">
        <v>0</v>
      </c>
      <c r="AS187">
        <v>0</v>
      </c>
      <c r="AT187">
        <f t="shared" si="8"/>
        <v>5.2136000000000005</v>
      </c>
      <c r="AU187">
        <f t="shared" si="6"/>
        <v>5.1866666666666665</v>
      </c>
      <c r="AV187">
        <f t="shared" si="7"/>
        <v>667.27200000000005</v>
      </c>
      <c r="AW187">
        <v>63</v>
      </c>
      <c r="AX187">
        <v>682</v>
      </c>
      <c r="BB187" t="s">
        <v>342</v>
      </c>
      <c r="BC187" t="s">
        <v>60</v>
      </c>
    </row>
    <row r="188" spans="3:55" x14ac:dyDescent="0.45">
      <c r="C188">
        <v>84.16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7.9200000000000008</v>
      </c>
      <c r="K188">
        <v>7.9200000000000008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1</v>
      </c>
      <c r="W188">
        <v>0</v>
      </c>
      <c r="X188">
        <v>0</v>
      </c>
      <c r="Y188">
        <v>0</v>
      </c>
      <c r="Z188">
        <v>1</v>
      </c>
      <c r="AA188">
        <v>0</v>
      </c>
      <c r="AB188">
        <v>0</v>
      </c>
      <c r="AC188">
        <v>0</v>
      </c>
      <c r="AD188">
        <v>0</v>
      </c>
      <c r="AE188">
        <v>1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0</v>
      </c>
      <c r="AN188">
        <v>0</v>
      </c>
      <c r="AO188">
        <v>0</v>
      </c>
      <c r="AP188">
        <v>0</v>
      </c>
      <c r="AQ188">
        <v>0</v>
      </c>
      <c r="AR188">
        <v>0</v>
      </c>
      <c r="AS188">
        <v>0</v>
      </c>
      <c r="AT188">
        <f t="shared" si="8"/>
        <v>2.2176000000000005</v>
      </c>
      <c r="AU188">
        <f t="shared" si="6"/>
        <v>1.32</v>
      </c>
      <c r="AV188">
        <f t="shared" si="7"/>
        <v>827.35199999999998</v>
      </c>
      <c r="AW188">
        <v>66</v>
      </c>
      <c r="AX188">
        <v>501</v>
      </c>
      <c r="BB188" t="s">
        <v>342</v>
      </c>
      <c r="BC188" t="s">
        <v>60</v>
      </c>
    </row>
    <row r="189" spans="3:55" x14ac:dyDescent="0.45">
      <c r="C189">
        <v>77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1</v>
      </c>
      <c r="K189">
        <v>22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1</v>
      </c>
      <c r="W189">
        <v>0</v>
      </c>
      <c r="X189">
        <v>0</v>
      </c>
      <c r="Y189">
        <v>0</v>
      </c>
      <c r="Z189">
        <v>1</v>
      </c>
      <c r="AA189">
        <v>0</v>
      </c>
      <c r="AB189">
        <v>0</v>
      </c>
      <c r="AC189">
        <v>0</v>
      </c>
      <c r="AD189">
        <v>0</v>
      </c>
      <c r="AE189">
        <v>1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0</v>
      </c>
      <c r="AM189">
        <v>0</v>
      </c>
      <c r="AN189">
        <v>0</v>
      </c>
      <c r="AO189">
        <v>0</v>
      </c>
      <c r="AP189">
        <v>0</v>
      </c>
      <c r="AQ189">
        <v>0</v>
      </c>
      <c r="AR189">
        <v>0</v>
      </c>
      <c r="AS189">
        <v>0</v>
      </c>
      <c r="AT189">
        <f t="shared" si="8"/>
        <v>6.16</v>
      </c>
      <c r="AU189">
        <f t="shared" si="6"/>
        <v>0.16666666666666666</v>
      </c>
      <c r="AV189">
        <f t="shared" si="7"/>
        <v>875.1</v>
      </c>
      <c r="AW189">
        <v>68</v>
      </c>
      <c r="AX189">
        <v>370</v>
      </c>
      <c r="BB189" t="s">
        <v>342</v>
      </c>
      <c r="BC189" t="s">
        <v>60</v>
      </c>
    </row>
    <row r="190" spans="3:55" x14ac:dyDescent="0.45">
      <c r="C190">
        <v>74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2</v>
      </c>
      <c r="K190">
        <v>24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1</v>
      </c>
      <c r="W190">
        <v>0</v>
      </c>
      <c r="X190">
        <v>0</v>
      </c>
      <c r="Y190">
        <v>0</v>
      </c>
      <c r="Z190">
        <v>1</v>
      </c>
      <c r="AA190">
        <v>0</v>
      </c>
      <c r="AB190">
        <v>0</v>
      </c>
      <c r="AC190">
        <v>0</v>
      </c>
      <c r="AD190">
        <v>0</v>
      </c>
      <c r="AE190">
        <v>1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0</v>
      </c>
      <c r="AN190">
        <v>0</v>
      </c>
      <c r="AO190">
        <v>0</v>
      </c>
      <c r="AP190">
        <v>0</v>
      </c>
      <c r="AQ190">
        <v>0</v>
      </c>
      <c r="AR190">
        <v>0</v>
      </c>
      <c r="AS190">
        <v>0</v>
      </c>
      <c r="AT190">
        <f t="shared" si="8"/>
        <v>6.7200000000000006</v>
      </c>
      <c r="AU190">
        <f t="shared" si="6"/>
        <v>0.33333333333333331</v>
      </c>
      <c r="AV190">
        <f t="shared" si="7"/>
        <v>868.2</v>
      </c>
      <c r="AW190">
        <v>59</v>
      </c>
      <c r="AX190">
        <v>249</v>
      </c>
      <c r="BB190" t="s">
        <v>342</v>
      </c>
      <c r="BC190" t="s">
        <v>60</v>
      </c>
    </row>
    <row r="191" spans="3:55" x14ac:dyDescent="0.45">
      <c r="C191">
        <v>72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4</v>
      </c>
      <c r="K191">
        <v>24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1</v>
      </c>
      <c r="AA191">
        <v>0</v>
      </c>
      <c r="AB191">
        <v>0</v>
      </c>
      <c r="AC191">
        <v>0</v>
      </c>
      <c r="AD191">
        <v>0</v>
      </c>
      <c r="AE191">
        <v>1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0</v>
      </c>
      <c r="AM191">
        <v>0</v>
      </c>
      <c r="AN191">
        <v>0</v>
      </c>
      <c r="AO191">
        <v>0</v>
      </c>
      <c r="AP191">
        <v>0</v>
      </c>
      <c r="AQ191">
        <v>0</v>
      </c>
      <c r="AR191">
        <v>0</v>
      </c>
      <c r="AS191">
        <v>0</v>
      </c>
      <c r="AT191">
        <f t="shared" si="8"/>
        <v>6.7200000000000006</v>
      </c>
      <c r="AU191">
        <f t="shared" si="6"/>
        <v>0.66666666666666663</v>
      </c>
      <c r="AV191">
        <f t="shared" si="7"/>
        <v>854.4</v>
      </c>
      <c r="AW191">
        <v>60</v>
      </c>
      <c r="AX191">
        <v>417</v>
      </c>
      <c r="BB191" t="s">
        <v>342</v>
      </c>
      <c r="BC191" t="s">
        <v>60</v>
      </c>
    </row>
    <row r="192" spans="3:55" x14ac:dyDescent="0.45">
      <c r="C192">
        <v>76.319999999999993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4.8099999999999996</v>
      </c>
      <c r="K192">
        <v>18.87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1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0</v>
      </c>
      <c r="AM192">
        <v>0</v>
      </c>
      <c r="AN192">
        <v>0</v>
      </c>
      <c r="AO192">
        <v>0</v>
      </c>
      <c r="AP192">
        <v>0</v>
      </c>
      <c r="AQ192">
        <v>0</v>
      </c>
      <c r="AR192">
        <v>0</v>
      </c>
      <c r="AS192">
        <v>0</v>
      </c>
      <c r="AT192">
        <f t="shared" si="8"/>
        <v>5.2836000000000007</v>
      </c>
      <c r="AU192">
        <f t="shared" si="6"/>
        <v>0.80166666666666664</v>
      </c>
      <c r="AV192">
        <f t="shared" si="7"/>
        <v>848.81100000000004</v>
      </c>
      <c r="AW192">
        <v>65</v>
      </c>
      <c r="BB192" t="s">
        <v>342</v>
      </c>
    </row>
    <row r="193" spans="3:54" x14ac:dyDescent="0.45">
      <c r="C193">
        <v>68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12</v>
      </c>
      <c r="K193">
        <v>20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1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0</v>
      </c>
      <c r="AM193">
        <v>0</v>
      </c>
      <c r="AN193">
        <v>0</v>
      </c>
      <c r="AO193">
        <v>0</v>
      </c>
      <c r="AP193">
        <v>0</v>
      </c>
      <c r="AQ193">
        <v>0</v>
      </c>
      <c r="AR193">
        <v>0</v>
      </c>
      <c r="AS193">
        <v>0</v>
      </c>
      <c r="AT193">
        <f t="shared" si="8"/>
        <v>5.6000000000000005</v>
      </c>
      <c r="AU193">
        <f t="shared" si="6"/>
        <v>2</v>
      </c>
      <c r="AV193">
        <f t="shared" si="7"/>
        <v>799.2</v>
      </c>
      <c r="AW193">
        <v>54.8</v>
      </c>
      <c r="BB193" t="s">
        <v>342</v>
      </c>
    </row>
    <row r="194" spans="3:54" x14ac:dyDescent="0.45">
      <c r="C194">
        <v>62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21</v>
      </c>
      <c r="K194">
        <v>17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1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0</v>
      </c>
      <c r="AP194">
        <v>0</v>
      </c>
      <c r="AQ194">
        <v>0</v>
      </c>
      <c r="AR194">
        <v>0</v>
      </c>
      <c r="AS194">
        <v>0</v>
      </c>
      <c r="AT194">
        <f t="shared" si="8"/>
        <v>4.7600000000000007</v>
      </c>
      <c r="AU194">
        <f t="shared" ref="AU194:AU257" si="9">D194+J194/6+M194/3+(T194+S194)/10</f>
        <v>3.5</v>
      </c>
      <c r="AV194">
        <f t="shared" ref="AV194:AV257" si="10">882+2.1*D194-9.5*L194+4.2*M194-6.9*J194-11.8*E194-12.1*F194-15.4*H194+23.3*Q194+123*T194</f>
        <v>737.1</v>
      </c>
      <c r="AW194">
        <v>52.4</v>
      </c>
      <c r="BB194" t="s">
        <v>342</v>
      </c>
    </row>
    <row r="195" spans="3:54" x14ac:dyDescent="0.45">
      <c r="C195">
        <v>51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38</v>
      </c>
      <c r="K195">
        <v>11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1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  <c r="AQ195">
        <v>0</v>
      </c>
      <c r="AR195">
        <v>0</v>
      </c>
      <c r="AS195">
        <v>0</v>
      </c>
      <c r="AT195">
        <f t="shared" ref="AT195:AT258" si="11">L195+0.67*E195+0.44*P195+0.28*K195+0.22*O195+2.9*H195+1.6*F195+1.7*G195-D195</f>
        <v>3.08</v>
      </c>
      <c r="AU195">
        <f t="shared" si="9"/>
        <v>6.333333333333333</v>
      </c>
      <c r="AV195">
        <f t="shared" si="10"/>
        <v>619.79999999999995</v>
      </c>
      <c r="AW195">
        <v>48.8</v>
      </c>
      <c r="BB195" t="s">
        <v>342</v>
      </c>
    </row>
    <row r="196" spans="3:54" x14ac:dyDescent="0.45">
      <c r="C196">
        <v>41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53</v>
      </c>
      <c r="K196">
        <v>6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1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  <c r="AQ196">
        <v>0</v>
      </c>
      <c r="AR196">
        <v>0</v>
      </c>
      <c r="AS196">
        <v>0</v>
      </c>
      <c r="AT196">
        <f t="shared" si="11"/>
        <v>1.6800000000000002</v>
      </c>
      <c r="AU196">
        <f t="shared" si="9"/>
        <v>8.8333333333333339</v>
      </c>
      <c r="AV196">
        <f t="shared" si="10"/>
        <v>516.29999999999995</v>
      </c>
      <c r="AW196">
        <v>48</v>
      </c>
      <c r="BB196" t="s">
        <v>342</v>
      </c>
    </row>
    <row r="197" spans="3:54" x14ac:dyDescent="0.45">
      <c r="C197">
        <v>84.55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7.79</v>
      </c>
      <c r="K197">
        <v>7.66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1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0</v>
      </c>
      <c r="AM197">
        <v>0</v>
      </c>
      <c r="AN197">
        <v>0</v>
      </c>
      <c r="AO197">
        <v>0</v>
      </c>
      <c r="AP197">
        <v>0</v>
      </c>
      <c r="AQ197">
        <v>0</v>
      </c>
      <c r="AR197">
        <v>0</v>
      </c>
      <c r="AS197">
        <v>0</v>
      </c>
      <c r="AT197">
        <f t="shared" si="11"/>
        <v>2.1448</v>
      </c>
      <c r="AU197">
        <f t="shared" si="9"/>
        <v>1.2983333333333333</v>
      </c>
      <c r="AV197">
        <f t="shared" si="10"/>
        <v>828.24900000000002</v>
      </c>
      <c r="AW197">
        <v>91.2</v>
      </c>
      <c r="BB197" t="s">
        <v>342</v>
      </c>
    </row>
    <row r="198" spans="3:54" x14ac:dyDescent="0.45">
      <c r="C198">
        <v>52.8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29.5</v>
      </c>
      <c r="K198">
        <v>17.7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  <c r="AQ198">
        <v>0</v>
      </c>
      <c r="AR198">
        <v>0</v>
      </c>
      <c r="AS198">
        <v>0</v>
      </c>
      <c r="AT198">
        <f t="shared" si="11"/>
        <v>4.9560000000000004</v>
      </c>
      <c r="AU198">
        <f t="shared" si="9"/>
        <v>4.916666666666667</v>
      </c>
      <c r="AV198">
        <f t="shared" si="10"/>
        <v>678.45</v>
      </c>
      <c r="AW198">
        <v>68.2</v>
      </c>
      <c r="BB198" t="s">
        <v>342</v>
      </c>
    </row>
    <row r="199" spans="3:54" x14ac:dyDescent="0.45">
      <c r="C199">
        <v>54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20</v>
      </c>
      <c r="K199">
        <v>26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0</v>
      </c>
      <c r="AN199">
        <v>0</v>
      </c>
      <c r="AO199">
        <v>0</v>
      </c>
      <c r="AP199">
        <v>0</v>
      </c>
      <c r="AQ199">
        <v>0</v>
      </c>
      <c r="AR199">
        <v>0</v>
      </c>
      <c r="AS199">
        <v>0</v>
      </c>
      <c r="AT199">
        <f t="shared" si="11"/>
        <v>7.2800000000000011</v>
      </c>
      <c r="AU199">
        <f t="shared" si="9"/>
        <v>3.3333333333333335</v>
      </c>
      <c r="AV199">
        <f t="shared" si="10"/>
        <v>744</v>
      </c>
      <c r="AW199">
        <v>59.07</v>
      </c>
      <c r="BB199" t="s">
        <v>242</v>
      </c>
    </row>
    <row r="200" spans="3:54" x14ac:dyDescent="0.45">
      <c r="C200">
        <v>53.1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10.4</v>
      </c>
      <c r="K200">
        <v>36.5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0</v>
      </c>
      <c r="AM200">
        <v>0</v>
      </c>
      <c r="AN200">
        <v>0</v>
      </c>
      <c r="AO200">
        <v>0</v>
      </c>
      <c r="AP200">
        <v>0</v>
      </c>
      <c r="AQ200">
        <v>0</v>
      </c>
      <c r="AR200">
        <v>0</v>
      </c>
      <c r="AS200">
        <v>0</v>
      </c>
      <c r="AT200">
        <f t="shared" si="11"/>
        <v>10.220000000000001</v>
      </c>
      <c r="AU200">
        <f t="shared" si="9"/>
        <v>1.7333333333333334</v>
      </c>
      <c r="AV200">
        <f t="shared" si="10"/>
        <v>810.24</v>
      </c>
      <c r="AW200">
        <v>92.18</v>
      </c>
      <c r="BB200" t="s">
        <v>242</v>
      </c>
    </row>
    <row r="201" spans="3:54" x14ac:dyDescent="0.45">
      <c r="C201">
        <v>84.09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8.1199999999999992</v>
      </c>
      <c r="K201">
        <v>7.79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>
        <v>0</v>
      </c>
      <c r="AM201">
        <v>0</v>
      </c>
      <c r="AN201">
        <v>0</v>
      </c>
      <c r="AO201">
        <v>0</v>
      </c>
      <c r="AP201">
        <v>0</v>
      </c>
      <c r="AQ201">
        <v>0</v>
      </c>
      <c r="AR201">
        <v>0</v>
      </c>
      <c r="AS201">
        <v>0</v>
      </c>
      <c r="AT201">
        <f t="shared" si="11"/>
        <v>2.1812</v>
      </c>
      <c r="AU201">
        <f t="shared" si="9"/>
        <v>1.3533333333333333</v>
      </c>
      <c r="AV201">
        <f t="shared" si="10"/>
        <v>825.97199999999998</v>
      </c>
      <c r="AW201">
        <v>80</v>
      </c>
      <c r="BB201" t="s">
        <v>243</v>
      </c>
    </row>
    <row r="202" spans="3:54" x14ac:dyDescent="0.45">
      <c r="C202">
        <v>67.53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4.8600000000000003</v>
      </c>
      <c r="K202">
        <v>27.61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>
        <v>0</v>
      </c>
      <c r="AM202">
        <v>0</v>
      </c>
      <c r="AN202">
        <v>0</v>
      </c>
      <c r="AO202">
        <v>0</v>
      </c>
      <c r="AP202">
        <v>0</v>
      </c>
      <c r="AQ202">
        <v>0</v>
      </c>
      <c r="AR202">
        <v>0</v>
      </c>
      <c r="AS202">
        <v>0</v>
      </c>
      <c r="AT202">
        <f t="shared" si="11"/>
        <v>7.7308000000000003</v>
      </c>
      <c r="AU202">
        <f t="shared" si="9"/>
        <v>0.81</v>
      </c>
      <c r="AV202">
        <f t="shared" si="10"/>
        <v>848.46600000000001</v>
      </c>
      <c r="AW202">
        <v>65</v>
      </c>
      <c r="BB202" t="s">
        <v>244</v>
      </c>
    </row>
    <row r="203" spans="3:54" x14ac:dyDescent="0.45">
      <c r="C203">
        <v>72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3</v>
      </c>
      <c r="K203">
        <v>25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0</v>
      </c>
      <c r="AM203">
        <v>0</v>
      </c>
      <c r="AN203">
        <v>0</v>
      </c>
      <c r="AO203">
        <v>0</v>
      </c>
      <c r="AP203">
        <v>0</v>
      </c>
      <c r="AQ203">
        <v>0</v>
      </c>
      <c r="AR203">
        <v>0</v>
      </c>
      <c r="AS203">
        <v>0</v>
      </c>
      <c r="AT203">
        <f t="shared" si="11"/>
        <v>7.0000000000000009</v>
      </c>
      <c r="AU203">
        <f t="shared" si="9"/>
        <v>0.5</v>
      </c>
      <c r="AV203">
        <f t="shared" si="10"/>
        <v>861.3</v>
      </c>
      <c r="AW203">
        <v>66</v>
      </c>
      <c r="BB203" t="s">
        <v>245</v>
      </c>
    </row>
    <row r="204" spans="3:54" x14ac:dyDescent="0.45">
      <c r="C204">
        <v>71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4</v>
      </c>
      <c r="K204">
        <v>25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0</v>
      </c>
      <c r="AN204">
        <v>0</v>
      </c>
      <c r="AO204">
        <v>0</v>
      </c>
      <c r="AP204">
        <v>0</v>
      </c>
      <c r="AQ204">
        <v>0</v>
      </c>
      <c r="AR204">
        <v>0</v>
      </c>
      <c r="AS204">
        <v>0</v>
      </c>
      <c r="AT204">
        <f t="shared" si="11"/>
        <v>7.0000000000000009</v>
      </c>
      <c r="AU204">
        <f t="shared" si="9"/>
        <v>0.66666666666666663</v>
      </c>
      <c r="AV204">
        <f t="shared" si="10"/>
        <v>854.4</v>
      </c>
      <c r="AW204">
        <v>69</v>
      </c>
      <c r="BB204" t="s">
        <v>246</v>
      </c>
    </row>
    <row r="205" spans="3:54" x14ac:dyDescent="0.45">
      <c r="C205">
        <v>69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6</v>
      </c>
      <c r="K205">
        <v>25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1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  <c r="AQ205">
        <v>0</v>
      </c>
      <c r="AR205">
        <v>0</v>
      </c>
      <c r="AS205">
        <v>0</v>
      </c>
      <c r="AT205">
        <f t="shared" si="11"/>
        <v>7.0000000000000009</v>
      </c>
      <c r="AU205">
        <f t="shared" si="9"/>
        <v>1</v>
      </c>
      <c r="AV205">
        <f t="shared" si="10"/>
        <v>840.6</v>
      </c>
      <c r="AW205">
        <v>68</v>
      </c>
      <c r="BB205" t="s">
        <v>247</v>
      </c>
    </row>
    <row r="206" spans="3:54" x14ac:dyDescent="0.45">
      <c r="C206">
        <v>57.23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18.32</v>
      </c>
      <c r="K206">
        <v>24.45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1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  <c r="AL206">
        <v>0</v>
      </c>
      <c r="AM206">
        <v>0</v>
      </c>
      <c r="AN206">
        <v>0</v>
      </c>
      <c r="AO206">
        <v>0</v>
      </c>
      <c r="AP206">
        <v>0</v>
      </c>
      <c r="AQ206">
        <v>0</v>
      </c>
      <c r="AR206">
        <v>0</v>
      </c>
      <c r="AS206">
        <v>0</v>
      </c>
      <c r="AT206">
        <f t="shared" si="11"/>
        <v>6.8460000000000001</v>
      </c>
      <c r="AU206">
        <f t="shared" si="9"/>
        <v>3.0533333333333332</v>
      </c>
      <c r="AV206">
        <f t="shared" si="10"/>
        <v>755.59199999999998</v>
      </c>
      <c r="AW206">
        <v>62</v>
      </c>
      <c r="BB206" t="s">
        <v>248</v>
      </c>
    </row>
    <row r="207" spans="3:54" x14ac:dyDescent="0.45">
      <c r="C207">
        <v>75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5</v>
      </c>
      <c r="K207">
        <v>20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1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  <c r="AL207">
        <v>0</v>
      </c>
      <c r="AM207">
        <v>0</v>
      </c>
      <c r="AN207">
        <v>0</v>
      </c>
      <c r="AO207">
        <v>0</v>
      </c>
      <c r="AP207">
        <v>0</v>
      </c>
      <c r="AQ207">
        <v>0</v>
      </c>
      <c r="AR207">
        <v>0</v>
      </c>
      <c r="AS207">
        <v>0</v>
      </c>
      <c r="AT207">
        <f t="shared" si="11"/>
        <v>5.6000000000000005</v>
      </c>
      <c r="AU207">
        <f t="shared" si="9"/>
        <v>0.83333333333333337</v>
      </c>
      <c r="AV207">
        <f t="shared" si="10"/>
        <v>847.5</v>
      </c>
      <c r="AW207">
        <v>51.3</v>
      </c>
      <c r="BB207" t="s">
        <v>249</v>
      </c>
    </row>
    <row r="208" spans="3:54" x14ac:dyDescent="0.45">
      <c r="C208">
        <v>60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20</v>
      </c>
      <c r="K208">
        <v>20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1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  <c r="AL208">
        <v>0</v>
      </c>
      <c r="AM208">
        <v>0</v>
      </c>
      <c r="AN208">
        <v>0</v>
      </c>
      <c r="AO208">
        <v>0</v>
      </c>
      <c r="AP208">
        <v>0</v>
      </c>
      <c r="AQ208">
        <v>0</v>
      </c>
      <c r="AR208">
        <v>0</v>
      </c>
      <c r="AS208">
        <v>0</v>
      </c>
      <c r="AT208">
        <f t="shared" si="11"/>
        <v>5.6000000000000005</v>
      </c>
      <c r="AU208">
        <f t="shared" si="9"/>
        <v>3.3333333333333335</v>
      </c>
      <c r="AV208">
        <f t="shared" si="10"/>
        <v>744</v>
      </c>
      <c r="AW208">
        <v>47.3</v>
      </c>
    </row>
    <row r="209" spans="3:49" x14ac:dyDescent="0.45">
      <c r="C209">
        <v>50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30</v>
      </c>
      <c r="K209">
        <v>20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1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  <c r="AL209">
        <v>0</v>
      </c>
      <c r="AM209">
        <v>0</v>
      </c>
      <c r="AN209">
        <v>0</v>
      </c>
      <c r="AO209">
        <v>0</v>
      </c>
      <c r="AP209">
        <v>0</v>
      </c>
      <c r="AQ209">
        <v>0</v>
      </c>
      <c r="AR209">
        <v>0</v>
      </c>
      <c r="AS209">
        <v>0</v>
      </c>
      <c r="AT209">
        <f t="shared" si="11"/>
        <v>5.6000000000000005</v>
      </c>
      <c r="AU209">
        <f t="shared" si="9"/>
        <v>5</v>
      </c>
      <c r="AV209">
        <f t="shared" si="10"/>
        <v>675</v>
      </c>
      <c r="AW209">
        <v>52.7</v>
      </c>
    </row>
    <row r="210" spans="3:49" x14ac:dyDescent="0.45">
      <c r="C210">
        <v>40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40</v>
      </c>
      <c r="K210">
        <v>20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1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>
        <v>0</v>
      </c>
      <c r="AM210">
        <v>0</v>
      </c>
      <c r="AN210">
        <v>0</v>
      </c>
      <c r="AO210">
        <v>0</v>
      </c>
      <c r="AP210">
        <v>0</v>
      </c>
      <c r="AQ210">
        <v>0</v>
      </c>
      <c r="AR210">
        <v>0</v>
      </c>
      <c r="AS210">
        <v>0</v>
      </c>
      <c r="AT210">
        <f t="shared" si="11"/>
        <v>5.6000000000000005</v>
      </c>
      <c r="AU210">
        <f t="shared" si="9"/>
        <v>6.666666666666667</v>
      </c>
      <c r="AV210">
        <f t="shared" si="10"/>
        <v>606</v>
      </c>
      <c r="AW210">
        <v>50.5</v>
      </c>
    </row>
    <row r="211" spans="3:49" x14ac:dyDescent="0.45">
      <c r="C211">
        <v>21.12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39.08</v>
      </c>
      <c r="K211">
        <v>39.799999999999997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1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>
        <v>0</v>
      </c>
      <c r="AM211">
        <v>0</v>
      </c>
      <c r="AN211">
        <v>0</v>
      </c>
      <c r="AO211">
        <v>0</v>
      </c>
      <c r="AP211">
        <v>0</v>
      </c>
      <c r="AQ211">
        <v>0</v>
      </c>
      <c r="AR211">
        <v>0</v>
      </c>
      <c r="AS211">
        <v>0</v>
      </c>
      <c r="AT211">
        <f t="shared" si="11"/>
        <v>11.144</v>
      </c>
      <c r="AU211">
        <f t="shared" si="9"/>
        <v>6.5133333333333328</v>
      </c>
      <c r="AV211">
        <f t="shared" si="10"/>
        <v>612.34799999999996</v>
      </c>
      <c r="AW211">
        <v>78</v>
      </c>
    </row>
    <row r="212" spans="3:49" x14ac:dyDescent="0.45">
      <c r="C212">
        <v>11.5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43.85</v>
      </c>
      <c r="K212">
        <v>44.65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1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>
        <v>0</v>
      </c>
      <c r="AM212">
        <v>0</v>
      </c>
      <c r="AN212">
        <v>0</v>
      </c>
      <c r="AO212">
        <v>0</v>
      </c>
      <c r="AP212">
        <v>0</v>
      </c>
      <c r="AQ212">
        <v>0</v>
      </c>
      <c r="AR212">
        <v>0</v>
      </c>
      <c r="AS212">
        <v>0</v>
      </c>
      <c r="AT212">
        <f t="shared" si="11"/>
        <v>12.502000000000001</v>
      </c>
      <c r="AU212">
        <f t="shared" si="9"/>
        <v>7.3083333333333336</v>
      </c>
      <c r="AV212">
        <f t="shared" si="10"/>
        <v>579.43499999999995</v>
      </c>
      <c r="AW212">
        <v>75</v>
      </c>
    </row>
    <row r="213" spans="3:49" x14ac:dyDescent="0.45">
      <c r="C213">
        <v>57.24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18.309999999999999</v>
      </c>
      <c r="K213">
        <v>24.45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1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>
        <v>0</v>
      </c>
      <c r="AM213">
        <v>0</v>
      </c>
      <c r="AN213">
        <v>0</v>
      </c>
      <c r="AO213">
        <v>0</v>
      </c>
      <c r="AP213">
        <v>0</v>
      </c>
      <c r="AQ213">
        <v>0</v>
      </c>
      <c r="AR213">
        <v>0</v>
      </c>
      <c r="AS213">
        <v>0</v>
      </c>
      <c r="AT213">
        <f t="shared" si="11"/>
        <v>6.8460000000000001</v>
      </c>
      <c r="AU213">
        <f t="shared" si="9"/>
        <v>3.0516666666666663</v>
      </c>
      <c r="AV213">
        <f t="shared" si="10"/>
        <v>755.66100000000006</v>
      </c>
      <c r="AW213">
        <v>62</v>
      </c>
    </row>
    <row r="214" spans="3:49" x14ac:dyDescent="0.45">
      <c r="C214">
        <v>54.1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23.9</v>
      </c>
      <c r="K214">
        <v>22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1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>
        <v>0</v>
      </c>
      <c r="AM214">
        <v>0</v>
      </c>
      <c r="AN214">
        <v>0</v>
      </c>
      <c r="AO214">
        <v>0</v>
      </c>
      <c r="AP214">
        <v>0</v>
      </c>
      <c r="AQ214">
        <v>0</v>
      </c>
      <c r="AR214">
        <v>0</v>
      </c>
      <c r="AS214">
        <v>0</v>
      </c>
      <c r="AT214">
        <f t="shared" si="11"/>
        <v>6.16</v>
      </c>
      <c r="AU214">
        <f t="shared" si="9"/>
        <v>3.9833333333333329</v>
      </c>
      <c r="AV214">
        <f t="shared" si="10"/>
        <v>717.09</v>
      </c>
      <c r="AW214">
        <v>65</v>
      </c>
    </row>
    <row r="215" spans="3:49" x14ac:dyDescent="0.45">
      <c r="C215">
        <v>52.58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26.69</v>
      </c>
      <c r="K215">
        <v>20.73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1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  <c r="AL215">
        <v>0</v>
      </c>
      <c r="AM215">
        <v>0</v>
      </c>
      <c r="AN215">
        <v>0</v>
      </c>
      <c r="AO215">
        <v>0</v>
      </c>
      <c r="AP215">
        <v>0</v>
      </c>
      <c r="AQ215">
        <v>0</v>
      </c>
      <c r="AR215">
        <v>0</v>
      </c>
      <c r="AS215">
        <v>0</v>
      </c>
      <c r="AT215">
        <f t="shared" si="11"/>
        <v>5.8044000000000011</v>
      </c>
      <c r="AU215">
        <f t="shared" si="9"/>
        <v>4.4483333333333333</v>
      </c>
      <c r="AV215">
        <f t="shared" si="10"/>
        <v>697.83899999999994</v>
      </c>
      <c r="AW215">
        <v>64</v>
      </c>
    </row>
    <row r="216" spans="3:49" x14ac:dyDescent="0.45">
      <c r="C216">
        <v>50.26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31.12</v>
      </c>
      <c r="K216">
        <v>18.62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1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0</v>
      </c>
      <c r="AM216">
        <v>0</v>
      </c>
      <c r="AN216">
        <v>0</v>
      </c>
      <c r="AO216">
        <v>0</v>
      </c>
      <c r="AP216">
        <v>0</v>
      </c>
      <c r="AQ216">
        <v>0</v>
      </c>
      <c r="AR216">
        <v>0</v>
      </c>
      <c r="AS216">
        <v>0</v>
      </c>
      <c r="AT216">
        <f t="shared" si="11"/>
        <v>5.2136000000000005</v>
      </c>
      <c r="AU216">
        <f t="shared" si="9"/>
        <v>5.1866666666666665</v>
      </c>
      <c r="AV216">
        <f t="shared" si="10"/>
        <v>667.27199999999993</v>
      </c>
      <c r="AW216">
        <v>63</v>
      </c>
    </row>
    <row r="217" spans="3:49" x14ac:dyDescent="0.45">
      <c r="C217">
        <v>38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32</v>
      </c>
      <c r="K217">
        <v>30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1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  <c r="AL217">
        <v>0</v>
      </c>
      <c r="AM217">
        <v>0</v>
      </c>
      <c r="AN217">
        <v>0</v>
      </c>
      <c r="AO217">
        <v>0</v>
      </c>
      <c r="AP217">
        <v>0</v>
      </c>
      <c r="AQ217">
        <v>0</v>
      </c>
      <c r="AR217">
        <v>0</v>
      </c>
      <c r="AS217">
        <v>0</v>
      </c>
      <c r="AT217">
        <f t="shared" si="11"/>
        <v>8.4</v>
      </c>
      <c r="AU217">
        <f t="shared" si="9"/>
        <v>5.333333333333333</v>
      </c>
      <c r="AV217">
        <f t="shared" si="10"/>
        <v>661.2</v>
      </c>
      <c r="AW217">
        <v>65</v>
      </c>
    </row>
    <row r="218" spans="3:49" x14ac:dyDescent="0.45">
      <c r="C218">
        <v>41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25</v>
      </c>
      <c r="K218">
        <v>34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1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  <c r="AL218">
        <v>0</v>
      </c>
      <c r="AM218">
        <v>0</v>
      </c>
      <c r="AN218">
        <v>0</v>
      </c>
      <c r="AO218">
        <v>0</v>
      </c>
      <c r="AP218">
        <v>0</v>
      </c>
      <c r="AQ218">
        <v>0</v>
      </c>
      <c r="AR218">
        <v>0</v>
      </c>
      <c r="AS218">
        <v>0</v>
      </c>
      <c r="AT218">
        <f t="shared" si="11"/>
        <v>9.5200000000000014</v>
      </c>
      <c r="AU218">
        <f t="shared" si="9"/>
        <v>4.166666666666667</v>
      </c>
      <c r="AV218">
        <f t="shared" si="10"/>
        <v>709.5</v>
      </c>
      <c r="AW218">
        <v>62</v>
      </c>
    </row>
    <row r="219" spans="3:49" x14ac:dyDescent="0.45">
      <c r="C219">
        <v>55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10</v>
      </c>
      <c r="K219">
        <v>35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1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0</v>
      </c>
      <c r="AM219">
        <v>0</v>
      </c>
      <c r="AN219">
        <v>0</v>
      </c>
      <c r="AO219">
        <v>0</v>
      </c>
      <c r="AP219">
        <v>0</v>
      </c>
      <c r="AQ219">
        <v>0</v>
      </c>
      <c r="AR219">
        <v>0</v>
      </c>
      <c r="AS219">
        <v>0</v>
      </c>
      <c r="AT219">
        <f t="shared" si="11"/>
        <v>9.8000000000000007</v>
      </c>
      <c r="AU219">
        <f t="shared" si="9"/>
        <v>1.6666666666666667</v>
      </c>
      <c r="AV219">
        <f t="shared" si="10"/>
        <v>813</v>
      </c>
      <c r="AW219">
        <v>58.8</v>
      </c>
    </row>
    <row r="220" spans="3:49" x14ac:dyDescent="0.45">
      <c r="C220">
        <v>60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5</v>
      </c>
      <c r="K220">
        <v>35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  <c r="AL220">
        <v>0</v>
      </c>
      <c r="AM220">
        <v>0</v>
      </c>
      <c r="AN220">
        <v>0</v>
      </c>
      <c r="AO220">
        <v>0</v>
      </c>
      <c r="AP220">
        <v>0</v>
      </c>
      <c r="AQ220">
        <v>0</v>
      </c>
      <c r="AR220">
        <v>0</v>
      </c>
      <c r="AS220">
        <v>0</v>
      </c>
      <c r="AT220">
        <f t="shared" si="11"/>
        <v>9.8000000000000007</v>
      </c>
      <c r="AU220">
        <f t="shared" si="9"/>
        <v>0.83333333333333337</v>
      </c>
      <c r="AV220">
        <f t="shared" si="10"/>
        <v>847.5</v>
      </c>
      <c r="AW220">
        <v>59.8</v>
      </c>
    </row>
    <row r="221" spans="3:49" x14ac:dyDescent="0.45">
      <c r="C221">
        <v>57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6</v>
      </c>
      <c r="K221">
        <v>37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  <c r="AL221">
        <v>0</v>
      </c>
      <c r="AM221">
        <v>0</v>
      </c>
      <c r="AN221">
        <v>0</v>
      </c>
      <c r="AO221">
        <v>0</v>
      </c>
      <c r="AP221">
        <v>0</v>
      </c>
      <c r="AQ221">
        <v>0</v>
      </c>
      <c r="AR221">
        <v>0</v>
      </c>
      <c r="AS221">
        <v>0</v>
      </c>
      <c r="AT221">
        <f t="shared" si="11"/>
        <v>10.360000000000001</v>
      </c>
      <c r="AU221">
        <f t="shared" si="9"/>
        <v>1</v>
      </c>
      <c r="AV221">
        <f t="shared" si="10"/>
        <v>840.6</v>
      </c>
      <c r="AW221">
        <v>60</v>
      </c>
    </row>
    <row r="222" spans="3:49" x14ac:dyDescent="0.45">
      <c r="C222">
        <v>60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3</v>
      </c>
      <c r="K222">
        <v>37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1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0</v>
      </c>
      <c r="AO222">
        <v>0</v>
      </c>
      <c r="AP222">
        <v>0</v>
      </c>
      <c r="AQ222">
        <v>0</v>
      </c>
      <c r="AR222">
        <v>0</v>
      </c>
      <c r="AS222">
        <v>0</v>
      </c>
      <c r="AT222">
        <f t="shared" si="11"/>
        <v>10.360000000000001</v>
      </c>
      <c r="AU222">
        <f t="shared" si="9"/>
        <v>0.5</v>
      </c>
      <c r="AV222">
        <f t="shared" si="10"/>
        <v>861.3</v>
      </c>
      <c r="AW222">
        <v>58</v>
      </c>
    </row>
    <row r="223" spans="3:49" x14ac:dyDescent="0.45">
      <c r="C223">
        <v>67.53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4.8600000000000003</v>
      </c>
      <c r="K223">
        <v>27.61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0</v>
      </c>
      <c r="AL223">
        <v>0</v>
      </c>
      <c r="AM223">
        <v>0</v>
      </c>
      <c r="AN223">
        <v>0</v>
      </c>
      <c r="AO223">
        <v>0</v>
      </c>
      <c r="AP223">
        <v>0</v>
      </c>
      <c r="AQ223">
        <v>0</v>
      </c>
      <c r="AR223">
        <v>0</v>
      </c>
      <c r="AS223">
        <v>0</v>
      </c>
      <c r="AT223">
        <f t="shared" si="11"/>
        <v>7.7308000000000003</v>
      </c>
      <c r="AU223">
        <f t="shared" si="9"/>
        <v>0.81</v>
      </c>
      <c r="AV223">
        <f t="shared" si="10"/>
        <v>848.46600000000001</v>
      </c>
      <c r="AW223">
        <v>64.900000000000006</v>
      </c>
    </row>
    <row r="224" spans="3:49" x14ac:dyDescent="0.45">
      <c r="C224">
        <v>80.38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7.44</v>
      </c>
      <c r="K224">
        <v>12.18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</v>
      </c>
      <c r="AL224">
        <v>0</v>
      </c>
      <c r="AM224">
        <v>0</v>
      </c>
      <c r="AN224">
        <v>0</v>
      </c>
      <c r="AO224">
        <v>0</v>
      </c>
      <c r="AP224">
        <v>0</v>
      </c>
      <c r="AQ224">
        <v>0</v>
      </c>
      <c r="AR224">
        <v>0</v>
      </c>
      <c r="AS224">
        <v>0</v>
      </c>
      <c r="AT224">
        <f t="shared" si="11"/>
        <v>3.4104000000000001</v>
      </c>
      <c r="AU224">
        <f t="shared" si="9"/>
        <v>1.24</v>
      </c>
      <c r="AV224">
        <f t="shared" si="10"/>
        <v>830.66399999999999</v>
      </c>
      <c r="AW224">
        <v>55</v>
      </c>
    </row>
    <row r="225" spans="3:55" x14ac:dyDescent="0.45">
      <c r="C225">
        <v>73.59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3.27</v>
      </c>
      <c r="K225">
        <v>23.14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0</v>
      </c>
      <c r="AL225">
        <v>0</v>
      </c>
      <c r="AM225">
        <v>0</v>
      </c>
      <c r="AN225">
        <v>0</v>
      </c>
      <c r="AO225">
        <v>0</v>
      </c>
      <c r="AP225">
        <v>0</v>
      </c>
      <c r="AQ225">
        <v>0</v>
      </c>
      <c r="AR225">
        <v>0</v>
      </c>
      <c r="AS225">
        <v>0</v>
      </c>
      <c r="AT225">
        <f t="shared" si="11"/>
        <v>6.4792000000000005</v>
      </c>
      <c r="AU225">
        <f t="shared" si="9"/>
        <v>0.54500000000000004</v>
      </c>
      <c r="AV225">
        <f t="shared" si="10"/>
        <v>859.43700000000001</v>
      </c>
      <c r="AW225">
        <v>76</v>
      </c>
    </row>
    <row r="226" spans="3:55" x14ac:dyDescent="0.45">
      <c r="C226">
        <v>74.3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9.75</v>
      </c>
      <c r="K226">
        <v>15.95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</v>
      </c>
      <c r="AL226">
        <v>0</v>
      </c>
      <c r="AM226">
        <v>0</v>
      </c>
      <c r="AN226">
        <v>0</v>
      </c>
      <c r="AO226">
        <v>0</v>
      </c>
      <c r="AP226">
        <v>0</v>
      </c>
      <c r="AQ226">
        <v>0</v>
      </c>
      <c r="AR226">
        <v>0</v>
      </c>
      <c r="AS226">
        <v>0</v>
      </c>
      <c r="AT226">
        <f t="shared" si="11"/>
        <v>4.4660000000000002</v>
      </c>
      <c r="AU226">
        <f t="shared" si="9"/>
        <v>1.625</v>
      </c>
      <c r="AV226">
        <f t="shared" si="10"/>
        <v>814.72500000000002</v>
      </c>
      <c r="AW226">
        <v>75</v>
      </c>
    </row>
    <row r="227" spans="3:55" x14ac:dyDescent="0.45">
      <c r="C227">
        <v>90</v>
      </c>
      <c r="D227">
        <v>0</v>
      </c>
      <c r="E227">
        <v>0</v>
      </c>
      <c r="F227">
        <v>8.5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1.5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1</v>
      </c>
      <c r="W227">
        <v>20</v>
      </c>
      <c r="X227">
        <v>95</v>
      </c>
      <c r="Y227">
        <v>0</v>
      </c>
      <c r="Z227">
        <v>1</v>
      </c>
      <c r="AA227">
        <v>0</v>
      </c>
      <c r="AB227">
        <v>0</v>
      </c>
      <c r="AC227">
        <v>900</v>
      </c>
      <c r="AD227">
        <v>0.5</v>
      </c>
      <c r="AE227">
        <v>1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  <c r="AL227">
        <v>0</v>
      </c>
      <c r="AM227">
        <v>0</v>
      </c>
      <c r="AN227">
        <v>0</v>
      </c>
      <c r="AO227">
        <v>0</v>
      </c>
      <c r="AP227">
        <v>0</v>
      </c>
      <c r="AQ227">
        <v>0</v>
      </c>
      <c r="AR227">
        <v>0</v>
      </c>
      <c r="AS227">
        <v>0</v>
      </c>
      <c r="AT227">
        <f t="shared" si="11"/>
        <v>13.600000000000001</v>
      </c>
      <c r="AU227">
        <f t="shared" si="9"/>
        <v>0.5</v>
      </c>
      <c r="AV227">
        <f t="shared" si="10"/>
        <v>785.44999999999993</v>
      </c>
      <c r="AY227">
        <v>1264</v>
      </c>
      <c r="AZ227">
        <v>36.049999999999997</v>
      </c>
      <c r="BC227" t="s">
        <v>112</v>
      </c>
    </row>
    <row r="228" spans="3:55" x14ac:dyDescent="0.45">
      <c r="C228">
        <v>90</v>
      </c>
      <c r="D228">
        <v>0</v>
      </c>
      <c r="E228">
        <v>0</v>
      </c>
      <c r="F228">
        <v>8.52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1.48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1</v>
      </c>
      <c r="W228">
        <v>0</v>
      </c>
      <c r="X228">
        <v>0</v>
      </c>
      <c r="Y228">
        <v>0</v>
      </c>
      <c r="Z228">
        <v>1</v>
      </c>
      <c r="AA228">
        <v>0</v>
      </c>
      <c r="AB228">
        <v>0</v>
      </c>
      <c r="AC228">
        <v>890</v>
      </c>
      <c r="AD228">
        <v>0.5</v>
      </c>
      <c r="AE228">
        <v>1</v>
      </c>
      <c r="AF228">
        <v>0</v>
      </c>
      <c r="AG228">
        <v>0</v>
      </c>
      <c r="AH228">
        <v>760</v>
      </c>
      <c r="AI228">
        <v>0.5</v>
      </c>
      <c r="AJ228">
        <v>1</v>
      </c>
      <c r="AK228">
        <v>0</v>
      </c>
      <c r="AL228">
        <v>0</v>
      </c>
      <c r="AM228">
        <v>0</v>
      </c>
      <c r="AN228">
        <v>0</v>
      </c>
      <c r="AO228">
        <v>0</v>
      </c>
      <c r="AP228">
        <v>0</v>
      </c>
      <c r="AQ228">
        <v>0</v>
      </c>
      <c r="AR228">
        <v>0</v>
      </c>
      <c r="AS228">
        <v>0</v>
      </c>
      <c r="AT228">
        <f t="shared" si="11"/>
        <v>13.632</v>
      </c>
      <c r="AU228">
        <f t="shared" si="9"/>
        <v>0.49333333333333335</v>
      </c>
      <c r="AV228">
        <f t="shared" si="10"/>
        <v>785.12400000000002</v>
      </c>
      <c r="AX228">
        <v>428.2</v>
      </c>
      <c r="AY228">
        <v>806.3</v>
      </c>
      <c r="AZ228">
        <v>44.8</v>
      </c>
      <c r="BC228" t="s">
        <v>91</v>
      </c>
    </row>
    <row r="229" spans="3:55" x14ac:dyDescent="0.45">
      <c r="C229">
        <v>90</v>
      </c>
      <c r="D229">
        <v>0</v>
      </c>
      <c r="E229">
        <v>0</v>
      </c>
      <c r="F229">
        <v>8.5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1.5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1</v>
      </c>
      <c r="W229">
        <v>0</v>
      </c>
      <c r="X229">
        <v>0</v>
      </c>
      <c r="Y229">
        <v>0</v>
      </c>
      <c r="Z229">
        <v>1</v>
      </c>
      <c r="AA229">
        <v>0</v>
      </c>
      <c r="AB229">
        <v>0</v>
      </c>
      <c r="AC229">
        <v>780</v>
      </c>
      <c r="AD229">
        <v>0.16666666666666699</v>
      </c>
      <c r="AE229">
        <v>1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  <c r="AL229">
        <v>0</v>
      </c>
      <c r="AM229">
        <v>0</v>
      </c>
      <c r="AN229">
        <v>0</v>
      </c>
      <c r="AO229">
        <v>0</v>
      </c>
      <c r="AP229">
        <v>0</v>
      </c>
      <c r="AQ229">
        <v>0</v>
      </c>
      <c r="AR229">
        <v>0</v>
      </c>
      <c r="AS229">
        <v>0</v>
      </c>
      <c r="AT229">
        <f t="shared" si="11"/>
        <v>13.600000000000001</v>
      </c>
      <c r="AU229">
        <f t="shared" si="9"/>
        <v>0.5</v>
      </c>
      <c r="AV229">
        <f t="shared" si="10"/>
        <v>785.44999999999993</v>
      </c>
      <c r="AX229">
        <v>356.5</v>
      </c>
      <c r="AY229">
        <v>835.9</v>
      </c>
      <c r="AZ229">
        <v>56</v>
      </c>
      <c r="BC229" t="s">
        <v>92</v>
      </c>
    </row>
    <row r="230" spans="3:55" x14ac:dyDescent="0.45">
      <c r="C230">
        <v>90</v>
      </c>
      <c r="D230">
        <v>0</v>
      </c>
      <c r="E230">
        <v>0</v>
      </c>
      <c r="F230">
        <v>8.5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1.5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780</v>
      </c>
      <c r="AD230">
        <v>0.16666666666666699</v>
      </c>
      <c r="AE230">
        <v>1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  <c r="AL230">
        <v>0</v>
      </c>
      <c r="AM230">
        <v>0</v>
      </c>
      <c r="AN230">
        <v>0</v>
      </c>
      <c r="AO230">
        <v>0</v>
      </c>
      <c r="AP230">
        <v>0</v>
      </c>
      <c r="AQ230">
        <v>0</v>
      </c>
      <c r="AR230">
        <v>0</v>
      </c>
      <c r="AS230">
        <v>0</v>
      </c>
      <c r="AT230">
        <f t="shared" si="11"/>
        <v>13.600000000000001</v>
      </c>
      <c r="AU230">
        <f t="shared" si="9"/>
        <v>0.5</v>
      </c>
      <c r="AV230">
        <f t="shared" si="10"/>
        <v>785.44999999999993</v>
      </c>
      <c r="AX230">
        <v>1019.2</v>
      </c>
      <c r="AY230">
        <v>1577.8</v>
      </c>
      <c r="AZ230">
        <v>38.6</v>
      </c>
      <c r="BC230" t="s">
        <v>92</v>
      </c>
    </row>
    <row r="231" spans="3:55" x14ac:dyDescent="0.45">
      <c r="C231">
        <v>91.44</v>
      </c>
      <c r="D231">
        <v>0</v>
      </c>
      <c r="E231">
        <v>0</v>
      </c>
      <c r="F231">
        <v>7.95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0.61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1</v>
      </c>
      <c r="W231">
        <v>0</v>
      </c>
      <c r="X231">
        <v>0</v>
      </c>
      <c r="Y231">
        <v>0</v>
      </c>
      <c r="Z231">
        <v>1</v>
      </c>
      <c r="AA231">
        <v>0</v>
      </c>
      <c r="AB231">
        <v>0</v>
      </c>
      <c r="AC231">
        <v>0</v>
      </c>
      <c r="AD231">
        <v>0</v>
      </c>
      <c r="AE231">
        <v>1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>
        <v>0</v>
      </c>
      <c r="AM231">
        <v>0</v>
      </c>
      <c r="AN231">
        <v>0</v>
      </c>
      <c r="AO231">
        <v>0</v>
      </c>
      <c r="AP231">
        <v>0</v>
      </c>
      <c r="AQ231">
        <v>0</v>
      </c>
      <c r="AR231">
        <v>0</v>
      </c>
      <c r="AS231">
        <v>0</v>
      </c>
      <c r="AT231">
        <f t="shared" si="11"/>
        <v>12.72</v>
      </c>
      <c r="AU231">
        <f t="shared" si="9"/>
        <v>0.20333333333333334</v>
      </c>
      <c r="AV231">
        <f t="shared" si="10"/>
        <v>788.36699999999996</v>
      </c>
      <c r="AW231">
        <v>83</v>
      </c>
      <c r="AX231">
        <v>554</v>
      </c>
      <c r="BC231" t="s">
        <v>60</v>
      </c>
    </row>
    <row r="232" spans="3:55" x14ac:dyDescent="0.45">
      <c r="C232">
        <v>90</v>
      </c>
      <c r="D232">
        <v>0</v>
      </c>
      <c r="E232">
        <v>0</v>
      </c>
      <c r="F232">
        <v>3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7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1</v>
      </c>
      <c r="W232">
        <v>20</v>
      </c>
      <c r="X232">
        <v>60</v>
      </c>
      <c r="Y232">
        <v>0</v>
      </c>
      <c r="Z232">
        <v>1</v>
      </c>
      <c r="AA232">
        <v>0</v>
      </c>
      <c r="AB232">
        <v>0</v>
      </c>
      <c r="AC232">
        <v>850</v>
      </c>
      <c r="AD232">
        <v>0.33</v>
      </c>
      <c r="AE232">
        <v>0</v>
      </c>
      <c r="AF232">
        <v>1</v>
      </c>
      <c r="AG232">
        <v>0</v>
      </c>
      <c r="AH232">
        <v>0</v>
      </c>
      <c r="AI232">
        <v>0</v>
      </c>
      <c r="AJ232">
        <v>0</v>
      </c>
      <c r="AK232">
        <v>0</v>
      </c>
      <c r="AL232">
        <v>0</v>
      </c>
      <c r="AM232">
        <v>0</v>
      </c>
      <c r="AN232">
        <v>0</v>
      </c>
      <c r="AO232">
        <v>0</v>
      </c>
      <c r="AP232">
        <v>0</v>
      </c>
      <c r="AQ232">
        <v>0</v>
      </c>
      <c r="AR232">
        <v>0</v>
      </c>
      <c r="AS232">
        <v>0</v>
      </c>
      <c r="AT232">
        <f t="shared" si="11"/>
        <v>11.8</v>
      </c>
      <c r="AU232">
        <f t="shared" si="9"/>
        <v>0</v>
      </c>
      <c r="AV232">
        <f t="shared" si="10"/>
        <v>779.2</v>
      </c>
      <c r="AY232">
        <v>958.4</v>
      </c>
      <c r="AZ232">
        <v>1.1000000000000001</v>
      </c>
      <c r="BC232" t="s">
        <v>93</v>
      </c>
    </row>
    <row r="233" spans="3:55" x14ac:dyDescent="0.45">
      <c r="C233">
        <v>90</v>
      </c>
      <c r="D233">
        <v>0</v>
      </c>
      <c r="E233">
        <v>0</v>
      </c>
      <c r="F233">
        <v>3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7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1</v>
      </c>
      <c r="W233">
        <v>20</v>
      </c>
      <c r="X233">
        <v>60</v>
      </c>
      <c r="Y233">
        <v>0</v>
      </c>
      <c r="Z233">
        <v>1</v>
      </c>
      <c r="AA233">
        <v>0</v>
      </c>
      <c r="AB233">
        <v>0</v>
      </c>
      <c r="AC233">
        <v>850</v>
      </c>
      <c r="AD233">
        <v>0.33</v>
      </c>
      <c r="AE233">
        <v>1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  <c r="AL233">
        <v>0</v>
      </c>
      <c r="AM233">
        <v>0</v>
      </c>
      <c r="AN233">
        <v>0</v>
      </c>
      <c r="AO233">
        <v>0</v>
      </c>
      <c r="AP233">
        <v>0</v>
      </c>
      <c r="AQ233">
        <v>0</v>
      </c>
      <c r="AR233">
        <v>0</v>
      </c>
      <c r="AS233">
        <v>0</v>
      </c>
      <c r="AT233">
        <f t="shared" si="11"/>
        <v>11.8</v>
      </c>
      <c r="AU233">
        <f t="shared" si="9"/>
        <v>0</v>
      </c>
      <c r="AV233">
        <f t="shared" si="10"/>
        <v>779.2</v>
      </c>
      <c r="AY233">
        <v>886.4</v>
      </c>
      <c r="AZ233">
        <v>46.37</v>
      </c>
      <c r="BC233" t="s">
        <v>93</v>
      </c>
    </row>
    <row r="234" spans="3:55" x14ac:dyDescent="0.45">
      <c r="C234">
        <v>77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22</v>
      </c>
      <c r="L234">
        <v>1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1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1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>
        <v>0</v>
      </c>
      <c r="AM234">
        <v>0</v>
      </c>
      <c r="AN234">
        <v>0</v>
      </c>
      <c r="AO234">
        <v>0</v>
      </c>
      <c r="AP234">
        <v>0</v>
      </c>
      <c r="AQ234">
        <v>0</v>
      </c>
      <c r="AR234">
        <v>0</v>
      </c>
      <c r="AS234">
        <v>0</v>
      </c>
      <c r="AT234">
        <f t="shared" si="11"/>
        <v>7.16</v>
      </c>
      <c r="AU234">
        <f t="shared" si="9"/>
        <v>0</v>
      </c>
      <c r="AV234">
        <f t="shared" si="10"/>
        <v>872.5</v>
      </c>
      <c r="AW234">
        <v>87</v>
      </c>
      <c r="AX234">
        <v>452</v>
      </c>
      <c r="BC234" t="s">
        <v>60</v>
      </c>
    </row>
    <row r="235" spans="3:55" x14ac:dyDescent="0.45">
      <c r="C235">
        <v>91.86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1.67</v>
      </c>
      <c r="L235">
        <v>6.47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1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1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  <c r="AL235">
        <v>0</v>
      </c>
      <c r="AM235">
        <v>0</v>
      </c>
      <c r="AN235">
        <v>0</v>
      </c>
      <c r="AO235">
        <v>0</v>
      </c>
      <c r="AP235">
        <v>0</v>
      </c>
      <c r="AQ235">
        <v>0</v>
      </c>
      <c r="AR235">
        <v>0</v>
      </c>
      <c r="AS235">
        <v>0</v>
      </c>
      <c r="AT235">
        <f t="shared" si="11"/>
        <v>6.9375999999999998</v>
      </c>
      <c r="AU235">
        <f t="shared" si="9"/>
        <v>0</v>
      </c>
      <c r="AV235">
        <f t="shared" si="10"/>
        <v>820.53499999999997</v>
      </c>
      <c r="AW235">
        <v>105</v>
      </c>
      <c r="AX235">
        <v>449</v>
      </c>
      <c r="BC235" t="s">
        <v>60</v>
      </c>
    </row>
    <row r="236" spans="3:55" x14ac:dyDescent="0.45">
      <c r="C236">
        <v>72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26</v>
      </c>
      <c r="L236">
        <v>2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1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  <c r="AL236">
        <v>0</v>
      </c>
      <c r="AM236">
        <v>0</v>
      </c>
      <c r="AN236">
        <v>0</v>
      </c>
      <c r="AO236">
        <v>0</v>
      </c>
      <c r="AP236">
        <v>0</v>
      </c>
      <c r="AQ236">
        <v>0</v>
      </c>
      <c r="AR236">
        <v>0</v>
      </c>
      <c r="AS236">
        <v>0</v>
      </c>
      <c r="AT236">
        <f t="shared" si="11"/>
        <v>9.2800000000000011</v>
      </c>
      <c r="AU236">
        <f t="shared" si="9"/>
        <v>0</v>
      </c>
      <c r="AV236">
        <f t="shared" si="10"/>
        <v>863</v>
      </c>
      <c r="AW236">
        <v>67</v>
      </c>
      <c r="AX236">
        <v>535</v>
      </c>
      <c r="BC236" t="s">
        <v>60</v>
      </c>
    </row>
    <row r="237" spans="3:55" x14ac:dyDescent="0.45">
      <c r="C237">
        <v>70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26</v>
      </c>
      <c r="L237">
        <v>4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1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  <c r="AK237">
        <v>0</v>
      </c>
      <c r="AL237">
        <v>0</v>
      </c>
      <c r="AM237">
        <v>0</v>
      </c>
      <c r="AN237">
        <v>0</v>
      </c>
      <c r="AO237">
        <v>0</v>
      </c>
      <c r="AP237">
        <v>0</v>
      </c>
      <c r="AQ237">
        <v>0</v>
      </c>
      <c r="AR237">
        <v>0</v>
      </c>
      <c r="AS237">
        <v>0</v>
      </c>
      <c r="AT237">
        <f t="shared" si="11"/>
        <v>11.280000000000001</v>
      </c>
      <c r="AU237">
        <f t="shared" si="9"/>
        <v>0</v>
      </c>
      <c r="AV237">
        <f t="shared" si="10"/>
        <v>844</v>
      </c>
      <c r="AW237">
        <v>64</v>
      </c>
      <c r="AX237">
        <v>621</v>
      </c>
      <c r="BC237" t="s">
        <v>60</v>
      </c>
    </row>
    <row r="238" spans="3:55" x14ac:dyDescent="0.45">
      <c r="C238">
        <v>68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26</v>
      </c>
      <c r="L238">
        <v>6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1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0</v>
      </c>
      <c r="AK238">
        <v>0</v>
      </c>
      <c r="AL238">
        <v>0</v>
      </c>
      <c r="AM238">
        <v>0</v>
      </c>
      <c r="AN238">
        <v>0</v>
      </c>
      <c r="AO238">
        <v>0</v>
      </c>
      <c r="AP238">
        <v>0</v>
      </c>
      <c r="AQ238">
        <v>0</v>
      </c>
      <c r="AR238">
        <v>0</v>
      </c>
      <c r="AS238">
        <v>0</v>
      </c>
      <c r="AT238">
        <f t="shared" si="11"/>
        <v>13.280000000000001</v>
      </c>
      <c r="AU238">
        <f t="shared" si="9"/>
        <v>0</v>
      </c>
      <c r="AV238">
        <f t="shared" si="10"/>
        <v>825</v>
      </c>
      <c r="AW238">
        <v>56</v>
      </c>
      <c r="AX238">
        <v>634</v>
      </c>
      <c r="BC238" t="s">
        <v>60</v>
      </c>
    </row>
    <row r="239" spans="3:55" x14ac:dyDescent="0.45">
      <c r="C239">
        <v>66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26</v>
      </c>
      <c r="L239">
        <v>8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1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0</v>
      </c>
      <c r="AK239">
        <v>0</v>
      </c>
      <c r="AL239">
        <v>0</v>
      </c>
      <c r="AM239">
        <v>0</v>
      </c>
      <c r="AN239">
        <v>0</v>
      </c>
      <c r="AO239">
        <v>0</v>
      </c>
      <c r="AP239">
        <v>0</v>
      </c>
      <c r="AQ239">
        <v>0</v>
      </c>
      <c r="AR239">
        <v>0</v>
      </c>
      <c r="AS239">
        <v>0</v>
      </c>
      <c r="AT239">
        <f t="shared" si="11"/>
        <v>15.280000000000001</v>
      </c>
      <c r="AU239">
        <f t="shared" si="9"/>
        <v>0</v>
      </c>
      <c r="AV239">
        <f t="shared" si="10"/>
        <v>806</v>
      </c>
      <c r="AW239">
        <v>55</v>
      </c>
      <c r="AX239">
        <v>663</v>
      </c>
      <c r="BC239" t="s">
        <v>60</v>
      </c>
    </row>
    <row r="240" spans="3:55" x14ac:dyDescent="0.45">
      <c r="C240">
        <v>87.5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6.25</v>
      </c>
      <c r="L240">
        <v>6.25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1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</v>
      </c>
      <c r="AL240">
        <v>0</v>
      </c>
      <c r="AM240">
        <v>0</v>
      </c>
      <c r="AN240">
        <v>0</v>
      </c>
      <c r="AO240">
        <v>0</v>
      </c>
      <c r="AP240">
        <v>0</v>
      </c>
      <c r="AQ240">
        <v>0</v>
      </c>
      <c r="AR240">
        <v>0</v>
      </c>
      <c r="AS240">
        <v>0</v>
      </c>
      <c r="AT240">
        <f t="shared" si="11"/>
        <v>8</v>
      </c>
      <c r="AU240">
        <f t="shared" si="9"/>
        <v>0</v>
      </c>
      <c r="AV240">
        <f t="shared" si="10"/>
        <v>822.625</v>
      </c>
      <c r="AW240">
        <v>92</v>
      </c>
    </row>
    <row r="241" spans="3:55" x14ac:dyDescent="0.45">
      <c r="C241">
        <v>90.1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1.7</v>
      </c>
      <c r="L241">
        <v>8.1999999999999993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  <c r="AL241">
        <v>0</v>
      </c>
      <c r="AM241">
        <v>0</v>
      </c>
      <c r="AN241">
        <v>0</v>
      </c>
      <c r="AO241">
        <v>0</v>
      </c>
      <c r="AP241">
        <v>0</v>
      </c>
      <c r="AQ241">
        <v>0</v>
      </c>
      <c r="AR241">
        <v>0</v>
      </c>
      <c r="AS241">
        <v>0</v>
      </c>
      <c r="AT241">
        <f t="shared" si="11"/>
        <v>8.6760000000000002</v>
      </c>
      <c r="AU241">
        <f t="shared" si="9"/>
        <v>0</v>
      </c>
      <c r="AV241">
        <f t="shared" si="10"/>
        <v>804.1</v>
      </c>
      <c r="AW241">
        <v>82</v>
      </c>
    </row>
    <row r="242" spans="3:55" x14ac:dyDescent="0.45">
      <c r="C242">
        <v>78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10.8</v>
      </c>
      <c r="L242">
        <v>11.2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  <c r="AL242">
        <v>0</v>
      </c>
      <c r="AM242">
        <v>0</v>
      </c>
      <c r="AN242">
        <v>0</v>
      </c>
      <c r="AO242">
        <v>0</v>
      </c>
      <c r="AP242">
        <v>0</v>
      </c>
      <c r="AQ242">
        <v>0</v>
      </c>
      <c r="AR242">
        <v>0</v>
      </c>
      <c r="AS242">
        <v>0</v>
      </c>
      <c r="AT242">
        <f t="shared" si="11"/>
        <v>14.224</v>
      </c>
      <c r="AU242">
        <f t="shared" si="9"/>
        <v>0</v>
      </c>
      <c r="AV242">
        <f t="shared" si="10"/>
        <v>775.6</v>
      </c>
      <c r="AW242">
        <v>92</v>
      </c>
    </row>
    <row r="243" spans="3:55" x14ac:dyDescent="0.45">
      <c r="C243">
        <v>70.400000000000006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19.5</v>
      </c>
      <c r="L243">
        <v>10.1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  <c r="AL243">
        <v>0</v>
      </c>
      <c r="AM243">
        <v>0</v>
      </c>
      <c r="AN243">
        <v>0</v>
      </c>
      <c r="AO243">
        <v>0</v>
      </c>
      <c r="AP243">
        <v>0</v>
      </c>
      <c r="AQ243">
        <v>0</v>
      </c>
      <c r="AR243">
        <v>0</v>
      </c>
      <c r="AS243">
        <v>0</v>
      </c>
      <c r="AT243">
        <f t="shared" si="11"/>
        <v>15.56</v>
      </c>
      <c r="AU243">
        <f t="shared" si="9"/>
        <v>0</v>
      </c>
      <c r="AV243">
        <f t="shared" si="10"/>
        <v>786.05</v>
      </c>
      <c r="AW243">
        <v>83</v>
      </c>
    </row>
    <row r="244" spans="3:55" x14ac:dyDescent="0.45">
      <c r="C244">
        <v>64.099999999999994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26.7</v>
      </c>
      <c r="L244">
        <v>9.1999999999999993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>
        <v>0</v>
      </c>
      <c r="AM244">
        <v>0</v>
      </c>
      <c r="AN244">
        <v>0</v>
      </c>
      <c r="AO244">
        <v>0</v>
      </c>
      <c r="AP244">
        <v>0</v>
      </c>
      <c r="AQ244">
        <v>0</v>
      </c>
      <c r="AR244">
        <v>0</v>
      </c>
      <c r="AS244">
        <v>0</v>
      </c>
      <c r="AT244">
        <f t="shared" si="11"/>
        <v>16.676000000000002</v>
      </c>
      <c r="AU244">
        <f t="shared" si="9"/>
        <v>0</v>
      </c>
      <c r="AV244">
        <f t="shared" si="10"/>
        <v>794.6</v>
      </c>
      <c r="AW244">
        <v>73</v>
      </c>
    </row>
    <row r="245" spans="3:55" x14ac:dyDescent="0.45">
      <c r="C245">
        <v>82.35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11.77</v>
      </c>
      <c r="L245">
        <v>5.88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  <c r="AL245">
        <v>0</v>
      </c>
      <c r="AM245">
        <v>0</v>
      </c>
      <c r="AN245">
        <v>0</v>
      </c>
      <c r="AO245">
        <v>0</v>
      </c>
      <c r="AP245">
        <v>0</v>
      </c>
      <c r="AQ245">
        <v>0</v>
      </c>
      <c r="AR245">
        <v>0</v>
      </c>
      <c r="AS245">
        <v>0</v>
      </c>
      <c r="AT245">
        <f t="shared" si="11"/>
        <v>9.1755999999999993</v>
      </c>
      <c r="AU245">
        <f t="shared" si="9"/>
        <v>0</v>
      </c>
      <c r="AV245">
        <f t="shared" si="10"/>
        <v>826.14</v>
      </c>
      <c r="AW245">
        <v>83</v>
      </c>
    </row>
    <row r="246" spans="3:55" x14ac:dyDescent="0.45">
      <c r="C246">
        <v>88.83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2.86</v>
      </c>
      <c r="L246">
        <v>8.31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  <c r="AL246">
        <v>0</v>
      </c>
      <c r="AM246">
        <v>0</v>
      </c>
      <c r="AN246">
        <v>0</v>
      </c>
      <c r="AO246">
        <v>0</v>
      </c>
      <c r="AP246">
        <v>0</v>
      </c>
      <c r="AQ246">
        <v>0</v>
      </c>
      <c r="AR246">
        <v>0</v>
      </c>
      <c r="AS246">
        <v>0</v>
      </c>
      <c r="AT246">
        <f t="shared" si="11"/>
        <v>9.1108000000000011</v>
      </c>
      <c r="AU246">
        <f t="shared" si="9"/>
        <v>0</v>
      </c>
      <c r="AV246">
        <f t="shared" si="10"/>
        <v>803.05499999999995</v>
      </c>
      <c r="AW246">
        <v>78</v>
      </c>
    </row>
    <row r="247" spans="3:55" x14ac:dyDescent="0.45">
      <c r="C247">
        <v>90.35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2.82</v>
      </c>
      <c r="L247">
        <v>6.83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  <c r="AL247">
        <v>0</v>
      </c>
      <c r="AM247">
        <v>0</v>
      </c>
      <c r="AN247">
        <v>0</v>
      </c>
      <c r="AO247">
        <v>0</v>
      </c>
      <c r="AP247">
        <v>0</v>
      </c>
      <c r="AQ247">
        <v>0</v>
      </c>
      <c r="AR247">
        <v>0</v>
      </c>
      <c r="AS247">
        <v>0</v>
      </c>
      <c r="AT247">
        <f t="shared" si="11"/>
        <v>7.6196000000000002</v>
      </c>
      <c r="AU247">
        <f t="shared" si="9"/>
        <v>0</v>
      </c>
      <c r="AV247">
        <f t="shared" si="10"/>
        <v>817.11500000000001</v>
      </c>
      <c r="AW247">
        <v>89</v>
      </c>
    </row>
    <row r="248" spans="3:55" x14ac:dyDescent="0.45">
      <c r="C248">
        <v>63.75</v>
      </c>
      <c r="D248">
        <v>0</v>
      </c>
      <c r="E248">
        <v>0</v>
      </c>
      <c r="F248">
        <v>0.9</v>
      </c>
      <c r="G248">
        <v>0</v>
      </c>
      <c r="H248">
        <v>0</v>
      </c>
      <c r="I248">
        <v>0</v>
      </c>
      <c r="J248">
        <v>0</v>
      </c>
      <c r="K248">
        <v>35.35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1</v>
      </c>
      <c r="W248">
        <v>20</v>
      </c>
      <c r="X248">
        <v>85</v>
      </c>
      <c r="Y248">
        <v>0</v>
      </c>
      <c r="Z248">
        <v>1</v>
      </c>
      <c r="AA248">
        <v>0</v>
      </c>
      <c r="AB248">
        <v>0</v>
      </c>
      <c r="AC248">
        <v>800</v>
      </c>
      <c r="AD248">
        <v>1</v>
      </c>
      <c r="AE248">
        <v>1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  <c r="AL248">
        <v>0</v>
      </c>
      <c r="AM248">
        <v>0</v>
      </c>
      <c r="AN248">
        <v>0</v>
      </c>
      <c r="AO248">
        <v>0</v>
      </c>
      <c r="AP248">
        <v>0</v>
      </c>
      <c r="AQ248">
        <v>0</v>
      </c>
      <c r="AR248">
        <v>0</v>
      </c>
      <c r="AS248">
        <v>0</v>
      </c>
      <c r="AT248">
        <f t="shared" si="11"/>
        <v>11.338000000000001</v>
      </c>
      <c r="AU248">
        <f t="shared" si="9"/>
        <v>0</v>
      </c>
      <c r="AV248">
        <f t="shared" si="10"/>
        <v>871.11</v>
      </c>
      <c r="AY248">
        <v>503</v>
      </c>
      <c r="AZ248">
        <v>35.799999999999997</v>
      </c>
      <c r="BC248" t="s">
        <v>53</v>
      </c>
    </row>
    <row r="249" spans="3:55" x14ac:dyDescent="0.45">
      <c r="C249">
        <v>65.55</v>
      </c>
      <c r="D249">
        <v>0</v>
      </c>
      <c r="E249">
        <v>0</v>
      </c>
      <c r="F249">
        <v>1.83</v>
      </c>
      <c r="G249">
        <v>0</v>
      </c>
      <c r="H249">
        <v>0</v>
      </c>
      <c r="I249">
        <v>0</v>
      </c>
      <c r="J249">
        <v>0</v>
      </c>
      <c r="K249">
        <v>32.619999999999997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1</v>
      </c>
      <c r="W249">
        <v>20</v>
      </c>
      <c r="X249">
        <v>85</v>
      </c>
      <c r="Y249">
        <v>0</v>
      </c>
      <c r="Z249">
        <v>1</v>
      </c>
      <c r="AA249">
        <v>0</v>
      </c>
      <c r="AB249">
        <v>0</v>
      </c>
      <c r="AC249">
        <v>800</v>
      </c>
      <c r="AD249">
        <v>1</v>
      </c>
      <c r="AE249">
        <v>1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  <c r="AL249">
        <v>0</v>
      </c>
      <c r="AM249">
        <v>0</v>
      </c>
      <c r="AN249">
        <v>0</v>
      </c>
      <c r="AO249">
        <v>0</v>
      </c>
      <c r="AP249">
        <v>0</v>
      </c>
      <c r="AQ249">
        <v>0</v>
      </c>
      <c r="AR249">
        <v>0</v>
      </c>
      <c r="AS249">
        <v>0</v>
      </c>
      <c r="AT249">
        <f t="shared" si="11"/>
        <v>12.0616</v>
      </c>
      <c r="AU249">
        <f t="shared" si="9"/>
        <v>0</v>
      </c>
      <c r="AV249">
        <f t="shared" si="10"/>
        <v>859.85699999999997</v>
      </c>
      <c r="AY249">
        <v>474</v>
      </c>
      <c r="AZ249">
        <v>28.5</v>
      </c>
      <c r="BB249" t="s">
        <v>343</v>
      </c>
      <c r="BC249" t="s">
        <v>53</v>
      </c>
    </row>
    <row r="250" spans="3:55" x14ac:dyDescent="0.45">
      <c r="C250">
        <v>67.41</v>
      </c>
      <c r="D250">
        <v>0</v>
      </c>
      <c r="E250">
        <v>0</v>
      </c>
      <c r="F250">
        <v>2.78</v>
      </c>
      <c r="G250">
        <v>0</v>
      </c>
      <c r="H250">
        <v>0</v>
      </c>
      <c r="I250">
        <v>0</v>
      </c>
      <c r="J250">
        <v>0</v>
      </c>
      <c r="K250">
        <v>29.81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1</v>
      </c>
      <c r="W250">
        <v>20</v>
      </c>
      <c r="X250">
        <v>85</v>
      </c>
      <c r="Y250">
        <v>0</v>
      </c>
      <c r="Z250">
        <v>1</v>
      </c>
      <c r="AA250">
        <v>0</v>
      </c>
      <c r="AB250">
        <v>0</v>
      </c>
      <c r="AC250">
        <v>800</v>
      </c>
      <c r="AD250">
        <v>1</v>
      </c>
      <c r="AE250">
        <v>1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  <c r="AL250">
        <v>0</v>
      </c>
      <c r="AM250">
        <v>0</v>
      </c>
      <c r="AN250">
        <v>0</v>
      </c>
      <c r="AO250">
        <v>0</v>
      </c>
      <c r="AP250">
        <v>0</v>
      </c>
      <c r="AQ250">
        <v>0</v>
      </c>
      <c r="AR250">
        <v>0</v>
      </c>
      <c r="AS250">
        <v>0</v>
      </c>
      <c r="AT250">
        <f t="shared" si="11"/>
        <v>12.794799999999999</v>
      </c>
      <c r="AU250">
        <f t="shared" si="9"/>
        <v>0</v>
      </c>
      <c r="AV250">
        <f t="shared" si="10"/>
        <v>848.36199999999997</v>
      </c>
      <c r="AY250">
        <v>523</v>
      </c>
      <c r="AZ250">
        <v>18.899999999999999</v>
      </c>
      <c r="BC250" t="s">
        <v>53</v>
      </c>
    </row>
    <row r="251" spans="3:55" x14ac:dyDescent="0.45">
      <c r="C251">
        <v>69.319999999999993</v>
      </c>
      <c r="D251">
        <v>0</v>
      </c>
      <c r="E251">
        <v>0</v>
      </c>
      <c r="F251">
        <v>3.77</v>
      </c>
      <c r="G251">
        <v>0</v>
      </c>
      <c r="H251">
        <v>0</v>
      </c>
      <c r="I251">
        <v>0</v>
      </c>
      <c r="J251">
        <v>0</v>
      </c>
      <c r="K251">
        <v>26.91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1</v>
      </c>
      <c r="W251">
        <v>20</v>
      </c>
      <c r="X251">
        <v>85</v>
      </c>
      <c r="Y251">
        <v>0</v>
      </c>
      <c r="Z251">
        <v>1</v>
      </c>
      <c r="AA251">
        <v>0</v>
      </c>
      <c r="AB251">
        <v>0</v>
      </c>
      <c r="AC251">
        <v>800</v>
      </c>
      <c r="AD251">
        <v>1</v>
      </c>
      <c r="AE251">
        <v>1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  <c r="AL251">
        <v>0</v>
      </c>
      <c r="AM251">
        <v>0</v>
      </c>
      <c r="AN251">
        <v>0</v>
      </c>
      <c r="AO251">
        <v>0</v>
      </c>
      <c r="AP251">
        <v>0</v>
      </c>
      <c r="AQ251">
        <v>0</v>
      </c>
      <c r="AR251">
        <v>0</v>
      </c>
      <c r="AS251">
        <v>0</v>
      </c>
      <c r="AT251">
        <f t="shared" si="11"/>
        <v>13.566800000000001</v>
      </c>
      <c r="AU251">
        <f t="shared" si="9"/>
        <v>0</v>
      </c>
      <c r="AV251">
        <f t="shared" si="10"/>
        <v>836.38300000000004</v>
      </c>
      <c r="AY251">
        <v>557</v>
      </c>
      <c r="AZ251">
        <v>22.5</v>
      </c>
      <c r="BC251" t="s">
        <v>53</v>
      </c>
    </row>
    <row r="252" spans="3:55" x14ac:dyDescent="0.45">
      <c r="C252">
        <v>71.3</v>
      </c>
      <c r="D252">
        <v>0</v>
      </c>
      <c r="E252">
        <v>0</v>
      </c>
      <c r="F252">
        <v>4.78</v>
      </c>
      <c r="G252">
        <v>0</v>
      </c>
      <c r="H252">
        <v>0</v>
      </c>
      <c r="I252">
        <v>0</v>
      </c>
      <c r="J252">
        <v>0</v>
      </c>
      <c r="K252">
        <v>23.92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1</v>
      </c>
      <c r="W252">
        <v>20</v>
      </c>
      <c r="X252">
        <v>85</v>
      </c>
      <c r="Y252">
        <v>0</v>
      </c>
      <c r="Z252">
        <v>1</v>
      </c>
      <c r="AA252">
        <v>0</v>
      </c>
      <c r="AB252">
        <v>0</v>
      </c>
      <c r="AC252">
        <v>800</v>
      </c>
      <c r="AD252">
        <v>1</v>
      </c>
      <c r="AE252">
        <v>1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  <c r="AL252">
        <v>0</v>
      </c>
      <c r="AM252">
        <v>0</v>
      </c>
      <c r="AN252">
        <v>0</v>
      </c>
      <c r="AO252">
        <v>0</v>
      </c>
      <c r="AP252">
        <v>0</v>
      </c>
      <c r="AQ252">
        <v>0</v>
      </c>
      <c r="AR252">
        <v>0</v>
      </c>
      <c r="AS252">
        <v>0</v>
      </c>
      <c r="AT252">
        <f t="shared" si="11"/>
        <v>14.345600000000001</v>
      </c>
      <c r="AU252">
        <f t="shared" si="9"/>
        <v>0</v>
      </c>
      <c r="AV252">
        <f t="shared" si="10"/>
        <v>824.16200000000003</v>
      </c>
      <c r="AY252">
        <v>603</v>
      </c>
      <c r="AZ252">
        <v>22.7</v>
      </c>
      <c r="BC252" t="s">
        <v>53</v>
      </c>
    </row>
    <row r="253" spans="3:55" x14ac:dyDescent="0.45">
      <c r="C253">
        <v>65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30</v>
      </c>
      <c r="K253">
        <v>0</v>
      </c>
      <c r="L253">
        <v>5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1</v>
      </c>
      <c r="W253">
        <v>1000</v>
      </c>
      <c r="X253">
        <v>70</v>
      </c>
      <c r="Y253">
        <v>0</v>
      </c>
      <c r="Z253">
        <v>1</v>
      </c>
      <c r="AA253">
        <v>0</v>
      </c>
      <c r="AB253">
        <v>0</v>
      </c>
      <c r="AC253">
        <v>850</v>
      </c>
      <c r="AD253">
        <v>1</v>
      </c>
      <c r="AE253">
        <v>1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  <c r="AL253">
        <v>0</v>
      </c>
      <c r="AM253">
        <v>0</v>
      </c>
      <c r="AN253">
        <v>0</v>
      </c>
      <c r="AO253">
        <v>0</v>
      </c>
      <c r="AP253">
        <v>0</v>
      </c>
      <c r="AQ253">
        <v>0</v>
      </c>
      <c r="AR253">
        <v>0</v>
      </c>
      <c r="AS253">
        <v>0</v>
      </c>
      <c r="AT253">
        <f t="shared" si="11"/>
        <v>5</v>
      </c>
      <c r="AU253">
        <f t="shared" si="9"/>
        <v>5</v>
      </c>
      <c r="AV253">
        <f t="shared" si="10"/>
        <v>627.5</v>
      </c>
      <c r="AY253">
        <v>762</v>
      </c>
      <c r="AZ253">
        <v>18.52</v>
      </c>
      <c r="BC253" t="s">
        <v>95</v>
      </c>
    </row>
    <row r="254" spans="3:55" x14ac:dyDescent="0.45">
      <c r="C254">
        <v>64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30</v>
      </c>
      <c r="K254">
        <v>0</v>
      </c>
      <c r="L254">
        <v>6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1</v>
      </c>
      <c r="W254">
        <v>1000</v>
      </c>
      <c r="X254">
        <v>70</v>
      </c>
      <c r="Y254">
        <v>0</v>
      </c>
      <c r="Z254">
        <v>1</v>
      </c>
      <c r="AA254">
        <v>0</v>
      </c>
      <c r="AB254">
        <v>0</v>
      </c>
      <c r="AC254">
        <v>850</v>
      </c>
      <c r="AD254">
        <v>1</v>
      </c>
      <c r="AE254">
        <v>1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  <c r="AL254">
        <v>0</v>
      </c>
      <c r="AM254">
        <v>0</v>
      </c>
      <c r="AN254">
        <v>0</v>
      </c>
      <c r="AO254">
        <v>0</v>
      </c>
      <c r="AP254">
        <v>0</v>
      </c>
      <c r="AQ254">
        <v>0</v>
      </c>
      <c r="AR254">
        <v>0</v>
      </c>
      <c r="AS254">
        <v>0</v>
      </c>
      <c r="AT254">
        <f t="shared" si="11"/>
        <v>6</v>
      </c>
      <c r="AU254">
        <f t="shared" si="9"/>
        <v>5</v>
      </c>
      <c r="AV254">
        <f t="shared" si="10"/>
        <v>618</v>
      </c>
      <c r="AY254">
        <v>723</v>
      </c>
      <c r="AZ254">
        <v>33.4</v>
      </c>
      <c r="BB254" t="s">
        <v>250</v>
      </c>
      <c r="BC254" t="s">
        <v>95</v>
      </c>
    </row>
    <row r="255" spans="3:55" x14ac:dyDescent="0.45">
      <c r="C255">
        <v>63</v>
      </c>
      <c r="D255">
        <v>0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30</v>
      </c>
      <c r="K255">
        <v>0</v>
      </c>
      <c r="L255">
        <v>7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1</v>
      </c>
      <c r="W255">
        <v>1000</v>
      </c>
      <c r="X255">
        <v>70</v>
      </c>
      <c r="Y255">
        <v>0</v>
      </c>
      <c r="Z255">
        <v>1</v>
      </c>
      <c r="AA255">
        <v>0</v>
      </c>
      <c r="AB255">
        <v>0</v>
      </c>
      <c r="AC255">
        <v>850</v>
      </c>
      <c r="AD255">
        <v>1</v>
      </c>
      <c r="AE255">
        <v>1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  <c r="AL255">
        <v>0</v>
      </c>
      <c r="AM255">
        <v>0</v>
      </c>
      <c r="AN255">
        <v>0</v>
      </c>
      <c r="AO255">
        <v>0</v>
      </c>
      <c r="AP255">
        <v>0</v>
      </c>
      <c r="AQ255">
        <v>0</v>
      </c>
      <c r="AR255">
        <v>0</v>
      </c>
      <c r="AS255">
        <v>0</v>
      </c>
      <c r="AT255">
        <f t="shared" si="11"/>
        <v>7</v>
      </c>
      <c r="AU255">
        <f t="shared" si="9"/>
        <v>5</v>
      </c>
      <c r="AV255">
        <f t="shared" si="10"/>
        <v>608.5</v>
      </c>
      <c r="AY255">
        <v>782</v>
      </c>
      <c r="AZ255">
        <v>18.920000000000002</v>
      </c>
      <c r="BB255" t="s">
        <v>250</v>
      </c>
      <c r="BC255" t="s">
        <v>95</v>
      </c>
    </row>
    <row r="256" spans="3:55" x14ac:dyDescent="0.45">
      <c r="C256">
        <v>90.600000000000009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2.86</v>
      </c>
      <c r="K256">
        <v>0</v>
      </c>
      <c r="L256">
        <v>6.54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1</v>
      </c>
      <c r="W256">
        <v>0</v>
      </c>
      <c r="X256">
        <v>0</v>
      </c>
      <c r="Y256">
        <v>0</v>
      </c>
      <c r="Z256">
        <v>1</v>
      </c>
      <c r="AA256">
        <v>0</v>
      </c>
      <c r="AB256">
        <v>0</v>
      </c>
      <c r="AC256">
        <v>0</v>
      </c>
      <c r="AD256">
        <v>0</v>
      </c>
      <c r="AE256">
        <v>1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  <c r="AL256">
        <v>0</v>
      </c>
      <c r="AM256">
        <v>0</v>
      </c>
      <c r="AN256">
        <v>0</v>
      </c>
      <c r="AO256">
        <v>0</v>
      </c>
      <c r="AP256">
        <v>0</v>
      </c>
      <c r="AQ256">
        <v>0</v>
      </c>
      <c r="AR256">
        <v>0</v>
      </c>
      <c r="AS256">
        <v>0</v>
      </c>
      <c r="AT256">
        <f t="shared" si="11"/>
        <v>6.54</v>
      </c>
      <c r="AU256">
        <f t="shared" si="9"/>
        <v>0.47666666666666663</v>
      </c>
      <c r="AV256">
        <f t="shared" si="10"/>
        <v>800.13599999999997</v>
      </c>
      <c r="AW256">
        <v>64.5</v>
      </c>
      <c r="AX256">
        <v>509</v>
      </c>
      <c r="BB256" t="s">
        <v>344</v>
      </c>
      <c r="BC256" t="s">
        <v>60</v>
      </c>
    </row>
    <row r="257" spans="3:55" x14ac:dyDescent="0.45">
      <c r="C257">
        <v>77.86999999999999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18.98</v>
      </c>
      <c r="K257">
        <v>0</v>
      </c>
      <c r="L257">
        <v>3.2300000000000004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1</v>
      </c>
      <c r="W257">
        <v>0</v>
      </c>
      <c r="X257">
        <v>0</v>
      </c>
      <c r="Y257">
        <v>0</v>
      </c>
      <c r="Z257">
        <v>1</v>
      </c>
      <c r="AA257">
        <v>0</v>
      </c>
      <c r="AB257">
        <v>0</v>
      </c>
      <c r="AC257">
        <v>0</v>
      </c>
      <c r="AD257">
        <v>0</v>
      </c>
      <c r="AE257">
        <v>1</v>
      </c>
      <c r="AF257">
        <v>0</v>
      </c>
      <c r="AG257">
        <v>0</v>
      </c>
      <c r="AH257">
        <v>0</v>
      </c>
      <c r="AI257">
        <v>0</v>
      </c>
      <c r="AJ257">
        <v>0</v>
      </c>
      <c r="AK257">
        <v>0</v>
      </c>
      <c r="AL257">
        <v>0</v>
      </c>
      <c r="AM257">
        <v>0</v>
      </c>
      <c r="AN257">
        <v>0</v>
      </c>
      <c r="AO257">
        <v>0</v>
      </c>
      <c r="AP257">
        <v>0</v>
      </c>
      <c r="AQ257">
        <v>0</v>
      </c>
      <c r="AR257">
        <v>0</v>
      </c>
      <c r="AS257">
        <v>0</v>
      </c>
      <c r="AT257">
        <f t="shared" si="11"/>
        <v>3.2300000000000004</v>
      </c>
      <c r="AU257">
        <f t="shared" si="9"/>
        <v>3.1633333333333336</v>
      </c>
      <c r="AV257">
        <f t="shared" si="10"/>
        <v>720.35300000000007</v>
      </c>
      <c r="AW257">
        <v>75</v>
      </c>
      <c r="AX257">
        <v>383</v>
      </c>
      <c r="BB257" t="s">
        <v>345</v>
      </c>
      <c r="BC257" t="s">
        <v>60</v>
      </c>
    </row>
    <row r="258" spans="3:55" x14ac:dyDescent="0.45">
      <c r="C258">
        <v>77.149999999999991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18.98</v>
      </c>
      <c r="K258">
        <v>0</v>
      </c>
      <c r="L258">
        <v>3.8699999999999997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0</v>
      </c>
      <c r="X258">
        <v>0</v>
      </c>
      <c r="Y258">
        <v>0</v>
      </c>
      <c r="Z258">
        <v>1</v>
      </c>
      <c r="AA258">
        <v>0</v>
      </c>
      <c r="AB258">
        <v>0</v>
      </c>
      <c r="AC258">
        <v>0</v>
      </c>
      <c r="AD258">
        <v>0</v>
      </c>
      <c r="AE258">
        <v>1</v>
      </c>
      <c r="AF258">
        <v>0</v>
      </c>
      <c r="AG258">
        <v>0</v>
      </c>
      <c r="AH258">
        <v>0</v>
      </c>
      <c r="AI258">
        <v>0</v>
      </c>
      <c r="AJ258">
        <v>0</v>
      </c>
      <c r="AK258">
        <v>0</v>
      </c>
      <c r="AL258">
        <v>0</v>
      </c>
      <c r="AM258">
        <v>0</v>
      </c>
      <c r="AN258">
        <v>0</v>
      </c>
      <c r="AO258">
        <v>0</v>
      </c>
      <c r="AP258">
        <v>0</v>
      </c>
      <c r="AQ258">
        <v>0</v>
      </c>
      <c r="AR258">
        <v>0</v>
      </c>
      <c r="AS258">
        <v>0</v>
      </c>
      <c r="AT258">
        <f t="shared" si="11"/>
        <v>3.8699999999999997</v>
      </c>
      <c r="AU258">
        <f t="shared" ref="AU258:AU321" si="12">D258+J258/6+M258/3+(T258+S258)/10</f>
        <v>3.1633333333333336</v>
      </c>
      <c r="AV258">
        <f t="shared" ref="AV258:AV321" si="13">882+2.1*D258-9.5*L258+4.2*M258-6.9*J258-11.8*E258-12.1*F258-15.4*H258+23.3*Q258+123*T258</f>
        <v>714.27300000000002</v>
      </c>
      <c r="AW258">
        <v>63</v>
      </c>
      <c r="AX258">
        <v>459</v>
      </c>
      <c r="BC258" t="s">
        <v>60</v>
      </c>
    </row>
    <row r="259" spans="3:55" x14ac:dyDescent="0.45">
      <c r="C259">
        <v>76.429999999999993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19.29</v>
      </c>
      <c r="K259">
        <v>0</v>
      </c>
      <c r="L259">
        <v>4.2799999999999994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0</v>
      </c>
      <c r="X259">
        <v>0</v>
      </c>
      <c r="Y259">
        <v>0</v>
      </c>
      <c r="Z259">
        <v>1</v>
      </c>
      <c r="AA259">
        <v>0</v>
      </c>
      <c r="AB259">
        <v>0</v>
      </c>
      <c r="AC259">
        <v>0</v>
      </c>
      <c r="AD259">
        <v>0</v>
      </c>
      <c r="AE259">
        <v>1</v>
      </c>
      <c r="AF259">
        <v>0</v>
      </c>
      <c r="AG259">
        <v>0</v>
      </c>
      <c r="AH259">
        <v>0</v>
      </c>
      <c r="AI259">
        <v>0</v>
      </c>
      <c r="AJ259">
        <v>0</v>
      </c>
      <c r="AK259">
        <v>0</v>
      </c>
      <c r="AL259">
        <v>0</v>
      </c>
      <c r="AM259">
        <v>0</v>
      </c>
      <c r="AN259">
        <v>0</v>
      </c>
      <c r="AO259">
        <v>0</v>
      </c>
      <c r="AP259">
        <v>0</v>
      </c>
      <c r="AQ259">
        <v>0</v>
      </c>
      <c r="AR259">
        <v>0</v>
      </c>
      <c r="AS259">
        <v>0</v>
      </c>
      <c r="AT259">
        <f t="shared" ref="AT259:AT322" si="14">L259+0.67*E259+0.44*P259+0.28*K259+0.22*O259+2.9*H259+1.6*F259+1.7*G259-D259</f>
        <v>4.2799999999999994</v>
      </c>
      <c r="AU259">
        <f t="shared" si="12"/>
        <v>3.2149999999999999</v>
      </c>
      <c r="AV259">
        <f t="shared" si="13"/>
        <v>708.23900000000003</v>
      </c>
      <c r="AW259">
        <v>66</v>
      </c>
      <c r="AX259">
        <v>674</v>
      </c>
      <c r="BC259" t="s">
        <v>60</v>
      </c>
    </row>
    <row r="260" spans="3:55" x14ac:dyDescent="0.45">
      <c r="C260">
        <v>87.5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6.25</v>
      </c>
      <c r="K260">
        <v>0</v>
      </c>
      <c r="L260">
        <v>6.25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1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0</v>
      </c>
      <c r="AL260">
        <v>0</v>
      </c>
      <c r="AM260">
        <v>0</v>
      </c>
      <c r="AN260">
        <v>0</v>
      </c>
      <c r="AO260">
        <v>0</v>
      </c>
      <c r="AP260">
        <v>0</v>
      </c>
      <c r="AQ260">
        <v>0</v>
      </c>
      <c r="AR260">
        <v>0</v>
      </c>
      <c r="AS260">
        <v>0</v>
      </c>
      <c r="AT260">
        <f t="shared" si="14"/>
        <v>6.25</v>
      </c>
      <c r="AU260">
        <f t="shared" si="12"/>
        <v>1.0416666666666667</v>
      </c>
      <c r="AV260">
        <f t="shared" si="13"/>
        <v>779.5</v>
      </c>
      <c r="AW260">
        <v>80</v>
      </c>
    </row>
    <row r="261" spans="3:55" x14ac:dyDescent="0.45">
      <c r="C261">
        <v>86.7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7.7</v>
      </c>
      <c r="K261">
        <v>0</v>
      </c>
      <c r="L261">
        <v>5.6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1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0</v>
      </c>
      <c r="AL261">
        <v>0</v>
      </c>
      <c r="AM261">
        <v>0</v>
      </c>
      <c r="AN261">
        <v>0</v>
      </c>
      <c r="AO261">
        <v>0</v>
      </c>
      <c r="AP261">
        <v>0</v>
      </c>
      <c r="AQ261">
        <v>0</v>
      </c>
      <c r="AR261">
        <v>0</v>
      </c>
      <c r="AS261">
        <v>0</v>
      </c>
      <c r="AT261">
        <f t="shared" si="14"/>
        <v>5.6</v>
      </c>
      <c r="AU261">
        <f t="shared" si="12"/>
        <v>1.2833333333333334</v>
      </c>
      <c r="AV261">
        <f t="shared" si="13"/>
        <v>775.67</v>
      </c>
      <c r="AW261">
        <v>74</v>
      </c>
    </row>
    <row r="262" spans="3:55" x14ac:dyDescent="0.45">
      <c r="C262">
        <v>78.2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10.6</v>
      </c>
      <c r="K262">
        <v>0</v>
      </c>
      <c r="L262">
        <v>11.2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1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0</v>
      </c>
      <c r="AL262">
        <v>0</v>
      </c>
      <c r="AM262">
        <v>0</v>
      </c>
      <c r="AN262">
        <v>0</v>
      </c>
      <c r="AO262">
        <v>0</v>
      </c>
      <c r="AP262">
        <v>0</v>
      </c>
      <c r="AQ262">
        <v>0</v>
      </c>
      <c r="AR262">
        <v>0</v>
      </c>
      <c r="AS262">
        <v>0</v>
      </c>
      <c r="AT262">
        <f t="shared" si="14"/>
        <v>11.2</v>
      </c>
      <c r="AU262">
        <f t="shared" si="12"/>
        <v>1.7666666666666666</v>
      </c>
      <c r="AV262">
        <f t="shared" si="13"/>
        <v>702.46</v>
      </c>
      <c r="AW262">
        <v>80</v>
      </c>
    </row>
    <row r="263" spans="3:55" x14ac:dyDescent="0.45">
      <c r="C263">
        <v>85.36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8.9600000000000009</v>
      </c>
      <c r="K263">
        <v>0</v>
      </c>
      <c r="L263">
        <v>5.68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1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0</v>
      </c>
      <c r="AL263">
        <v>0</v>
      </c>
      <c r="AM263">
        <v>0</v>
      </c>
      <c r="AN263">
        <v>0</v>
      </c>
      <c r="AO263">
        <v>0</v>
      </c>
      <c r="AP263">
        <v>0</v>
      </c>
      <c r="AQ263">
        <v>0</v>
      </c>
      <c r="AR263">
        <v>0</v>
      </c>
      <c r="AS263">
        <v>0</v>
      </c>
      <c r="AT263">
        <f t="shared" si="14"/>
        <v>5.68</v>
      </c>
      <c r="AU263">
        <f t="shared" si="12"/>
        <v>1.4933333333333334</v>
      </c>
      <c r="AV263">
        <f t="shared" si="13"/>
        <v>766.21599999999989</v>
      </c>
      <c r="AW263">
        <v>82</v>
      </c>
    </row>
    <row r="264" spans="3:55" x14ac:dyDescent="0.45">
      <c r="C264">
        <v>72</v>
      </c>
      <c r="D264">
        <v>0</v>
      </c>
      <c r="E264">
        <v>0</v>
      </c>
      <c r="F264">
        <v>0</v>
      </c>
      <c r="G264">
        <v>0</v>
      </c>
      <c r="H264">
        <v>2</v>
      </c>
      <c r="I264">
        <v>0</v>
      </c>
      <c r="J264">
        <v>0</v>
      </c>
      <c r="K264">
        <v>26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1</v>
      </c>
      <c r="W264">
        <v>20</v>
      </c>
      <c r="X264">
        <v>84</v>
      </c>
      <c r="Y264">
        <v>0</v>
      </c>
      <c r="Z264">
        <v>1</v>
      </c>
      <c r="AA264">
        <v>0</v>
      </c>
      <c r="AB264">
        <v>0</v>
      </c>
      <c r="AC264">
        <v>800</v>
      </c>
      <c r="AD264">
        <v>1</v>
      </c>
      <c r="AE264">
        <v>1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0</v>
      </c>
      <c r="AL264">
        <v>0</v>
      </c>
      <c r="AM264">
        <v>0</v>
      </c>
      <c r="AN264">
        <v>0</v>
      </c>
      <c r="AO264">
        <v>0</v>
      </c>
      <c r="AP264">
        <v>0</v>
      </c>
      <c r="AQ264">
        <v>0</v>
      </c>
      <c r="AR264">
        <v>0</v>
      </c>
      <c r="AS264">
        <v>0</v>
      </c>
      <c r="AT264">
        <f t="shared" si="14"/>
        <v>13.080000000000002</v>
      </c>
      <c r="AU264">
        <f t="shared" si="12"/>
        <v>0</v>
      </c>
      <c r="AV264">
        <f t="shared" si="13"/>
        <v>851.2</v>
      </c>
      <c r="AY264">
        <v>739</v>
      </c>
      <c r="AZ264">
        <v>23.38</v>
      </c>
      <c r="BC264" t="s">
        <v>96</v>
      </c>
    </row>
    <row r="265" spans="3:55" x14ac:dyDescent="0.45">
      <c r="C265">
        <v>72</v>
      </c>
      <c r="D265">
        <v>0</v>
      </c>
      <c r="E265">
        <v>0</v>
      </c>
      <c r="F265">
        <v>0</v>
      </c>
      <c r="G265">
        <v>0</v>
      </c>
      <c r="H265">
        <v>2</v>
      </c>
      <c r="I265">
        <v>0</v>
      </c>
      <c r="J265">
        <v>0</v>
      </c>
      <c r="K265">
        <v>26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1</v>
      </c>
      <c r="W265">
        <v>20</v>
      </c>
      <c r="X265">
        <v>84</v>
      </c>
      <c r="Y265">
        <v>0</v>
      </c>
      <c r="Z265">
        <v>1</v>
      </c>
      <c r="AA265">
        <v>0</v>
      </c>
      <c r="AB265">
        <v>0</v>
      </c>
      <c r="AC265">
        <v>800</v>
      </c>
      <c r="AD265">
        <v>1</v>
      </c>
      <c r="AE265">
        <v>1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</v>
      </c>
      <c r="AL265">
        <v>0</v>
      </c>
      <c r="AM265">
        <v>0</v>
      </c>
      <c r="AN265">
        <v>0</v>
      </c>
      <c r="AO265">
        <v>0</v>
      </c>
      <c r="AP265">
        <v>0</v>
      </c>
      <c r="AQ265">
        <v>0</v>
      </c>
      <c r="AR265">
        <v>0</v>
      </c>
      <c r="AS265">
        <v>0</v>
      </c>
      <c r="AT265">
        <f t="shared" si="14"/>
        <v>13.080000000000002</v>
      </c>
      <c r="AU265">
        <f t="shared" si="12"/>
        <v>0</v>
      </c>
      <c r="AV265">
        <f t="shared" si="13"/>
        <v>851.2</v>
      </c>
      <c r="AY265">
        <v>739</v>
      </c>
      <c r="AZ265">
        <v>24</v>
      </c>
      <c r="BC265" t="s">
        <v>97</v>
      </c>
    </row>
    <row r="266" spans="3:55" x14ac:dyDescent="0.45">
      <c r="C266">
        <v>80.849999999999994</v>
      </c>
      <c r="D266">
        <v>0</v>
      </c>
      <c r="E266">
        <v>0</v>
      </c>
      <c r="F266">
        <v>0</v>
      </c>
      <c r="G266">
        <v>0</v>
      </c>
      <c r="H266">
        <v>1.0999999999999999</v>
      </c>
      <c r="I266">
        <v>0</v>
      </c>
      <c r="J266">
        <v>0</v>
      </c>
      <c r="K266">
        <v>18.05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1</v>
      </c>
      <c r="W266">
        <v>0</v>
      </c>
      <c r="X266">
        <v>0</v>
      </c>
      <c r="Y266">
        <v>0</v>
      </c>
      <c r="Z266">
        <v>1</v>
      </c>
      <c r="AA266">
        <v>0</v>
      </c>
      <c r="AB266">
        <v>0</v>
      </c>
      <c r="AC266">
        <v>0</v>
      </c>
      <c r="AD266">
        <v>0</v>
      </c>
      <c r="AE266">
        <v>1</v>
      </c>
      <c r="AF266">
        <v>0</v>
      </c>
      <c r="AG266">
        <v>0</v>
      </c>
      <c r="AH266">
        <v>0</v>
      </c>
      <c r="AI266">
        <v>0</v>
      </c>
      <c r="AJ266">
        <v>0</v>
      </c>
      <c r="AK266">
        <v>0</v>
      </c>
      <c r="AL266">
        <v>0</v>
      </c>
      <c r="AM266">
        <v>0</v>
      </c>
      <c r="AN266">
        <v>0</v>
      </c>
      <c r="AO266">
        <v>0</v>
      </c>
      <c r="AP266">
        <v>0</v>
      </c>
      <c r="AQ266">
        <v>0</v>
      </c>
      <c r="AR266">
        <v>0</v>
      </c>
      <c r="AS266">
        <v>0</v>
      </c>
      <c r="AT266">
        <f t="shared" si="14"/>
        <v>8.2439999999999998</v>
      </c>
      <c r="AU266">
        <f t="shared" si="12"/>
        <v>0</v>
      </c>
      <c r="AV266">
        <f t="shared" si="13"/>
        <v>865.06</v>
      </c>
      <c r="AW266">
        <v>81</v>
      </c>
      <c r="AX266">
        <v>477</v>
      </c>
      <c r="BC266" t="s">
        <v>60</v>
      </c>
    </row>
    <row r="267" spans="3:55" x14ac:dyDescent="0.45">
      <c r="C267">
        <v>82.54</v>
      </c>
      <c r="D267">
        <v>0</v>
      </c>
      <c r="E267">
        <v>0</v>
      </c>
      <c r="F267">
        <v>0</v>
      </c>
      <c r="G267">
        <v>0</v>
      </c>
      <c r="H267">
        <v>1.6199999999999999</v>
      </c>
      <c r="I267">
        <v>0</v>
      </c>
      <c r="J267">
        <v>0</v>
      </c>
      <c r="K267">
        <v>15.840000000000002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1</v>
      </c>
      <c r="W267">
        <v>0</v>
      </c>
      <c r="X267">
        <v>0</v>
      </c>
      <c r="Y267">
        <v>0</v>
      </c>
      <c r="Z267">
        <v>1</v>
      </c>
      <c r="AA267">
        <v>0</v>
      </c>
      <c r="AB267">
        <v>0</v>
      </c>
      <c r="AC267">
        <v>0</v>
      </c>
      <c r="AD267">
        <v>0</v>
      </c>
      <c r="AE267">
        <v>1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0</v>
      </c>
      <c r="AL267">
        <v>0</v>
      </c>
      <c r="AM267">
        <v>0</v>
      </c>
      <c r="AN267">
        <v>0</v>
      </c>
      <c r="AO267">
        <v>0</v>
      </c>
      <c r="AP267">
        <v>0</v>
      </c>
      <c r="AQ267">
        <v>0</v>
      </c>
      <c r="AR267">
        <v>0</v>
      </c>
      <c r="AS267">
        <v>0</v>
      </c>
      <c r="AT267">
        <f t="shared" si="14"/>
        <v>9.1332000000000004</v>
      </c>
      <c r="AU267">
        <f t="shared" si="12"/>
        <v>0</v>
      </c>
      <c r="AV267">
        <f t="shared" si="13"/>
        <v>857.05200000000002</v>
      </c>
      <c r="AW267">
        <v>94</v>
      </c>
      <c r="AX267">
        <v>496</v>
      </c>
      <c r="BC267" t="s">
        <v>60</v>
      </c>
    </row>
    <row r="268" spans="3:55" x14ac:dyDescent="0.45">
      <c r="C268">
        <v>84.58</v>
      </c>
      <c r="D268">
        <v>0</v>
      </c>
      <c r="E268">
        <v>0</v>
      </c>
      <c r="F268">
        <v>0</v>
      </c>
      <c r="G268">
        <v>0</v>
      </c>
      <c r="H268">
        <v>2.17</v>
      </c>
      <c r="I268">
        <v>0</v>
      </c>
      <c r="J268">
        <v>0</v>
      </c>
      <c r="K268">
        <v>13.25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1</v>
      </c>
      <c r="W268">
        <v>0</v>
      </c>
      <c r="X268">
        <v>0</v>
      </c>
      <c r="Y268">
        <v>0</v>
      </c>
      <c r="Z268">
        <v>1</v>
      </c>
      <c r="AA268">
        <v>0</v>
      </c>
      <c r="AB268">
        <v>0</v>
      </c>
      <c r="AC268">
        <v>0</v>
      </c>
      <c r="AD268">
        <v>0</v>
      </c>
      <c r="AE268">
        <v>1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0</v>
      </c>
      <c r="AL268">
        <v>0</v>
      </c>
      <c r="AM268">
        <v>0</v>
      </c>
      <c r="AN268">
        <v>0</v>
      </c>
      <c r="AO268">
        <v>0</v>
      </c>
      <c r="AP268">
        <v>0</v>
      </c>
      <c r="AQ268">
        <v>0</v>
      </c>
      <c r="AR268">
        <v>0</v>
      </c>
      <c r="AS268">
        <v>0</v>
      </c>
      <c r="AT268">
        <f t="shared" si="14"/>
        <v>10.003</v>
      </c>
      <c r="AU268">
        <f t="shared" si="12"/>
        <v>0</v>
      </c>
      <c r="AV268">
        <f t="shared" si="13"/>
        <v>848.58199999999999</v>
      </c>
      <c r="AW268">
        <v>95</v>
      </c>
      <c r="AX268">
        <v>604</v>
      </c>
      <c r="BC268" t="s">
        <v>60</v>
      </c>
    </row>
    <row r="269" spans="3:55" x14ac:dyDescent="0.45">
      <c r="C269">
        <v>87.070000000000007</v>
      </c>
      <c r="D269">
        <v>0</v>
      </c>
      <c r="E269">
        <v>0</v>
      </c>
      <c r="F269">
        <v>0</v>
      </c>
      <c r="G269">
        <v>0</v>
      </c>
      <c r="H269">
        <v>2.54</v>
      </c>
      <c r="I269">
        <v>0</v>
      </c>
      <c r="J269">
        <v>0</v>
      </c>
      <c r="K269">
        <v>10.39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1</v>
      </c>
      <c r="W269">
        <v>0</v>
      </c>
      <c r="X269">
        <v>0</v>
      </c>
      <c r="Y269">
        <v>0</v>
      </c>
      <c r="Z269">
        <v>1</v>
      </c>
      <c r="AA269">
        <v>0</v>
      </c>
      <c r="AB269">
        <v>0</v>
      </c>
      <c r="AC269">
        <v>0</v>
      </c>
      <c r="AD269">
        <v>0</v>
      </c>
      <c r="AE269">
        <v>1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  <c r="AL269">
        <v>0</v>
      </c>
      <c r="AM269">
        <v>0</v>
      </c>
      <c r="AN269">
        <v>0</v>
      </c>
      <c r="AO269">
        <v>0</v>
      </c>
      <c r="AP269">
        <v>0</v>
      </c>
      <c r="AQ269">
        <v>0</v>
      </c>
      <c r="AR269">
        <v>0</v>
      </c>
      <c r="AS269">
        <v>0</v>
      </c>
      <c r="AT269">
        <f t="shared" si="14"/>
        <v>10.2752</v>
      </c>
      <c r="AU269">
        <f t="shared" si="12"/>
        <v>0</v>
      </c>
      <c r="AV269">
        <f t="shared" si="13"/>
        <v>842.88400000000001</v>
      </c>
      <c r="AW269">
        <v>90</v>
      </c>
      <c r="AX269">
        <v>672</v>
      </c>
      <c r="BC269" t="s">
        <v>60</v>
      </c>
    </row>
    <row r="270" spans="3:55" x14ac:dyDescent="0.45">
      <c r="C270">
        <v>88.949999999999989</v>
      </c>
      <c r="D270">
        <v>0</v>
      </c>
      <c r="E270">
        <v>0</v>
      </c>
      <c r="F270">
        <v>0</v>
      </c>
      <c r="G270">
        <v>0</v>
      </c>
      <c r="H270">
        <v>2.8000000000000003</v>
      </c>
      <c r="I270">
        <v>0</v>
      </c>
      <c r="J270">
        <v>0</v>
      </c>
      <c r="K270">
        <v>8.25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1</v>
      </c>
      <c r="W270">
        <v>0</v>
      </c>
      <c r="X270">
        <v>0</v>
      </c>
      <c r="Y270">
        <v>0</v>
      </c>
      <c r="Z270">
        <v>1</v>
      </c>
      <c r="AA270">
        <v>0</v>
      </c>
      <c r="AB270">
        <v>0</v>
      </c>
      <c r="AC270">
        <v>0</v>
      </c>
      <c r="AD270">
        <v>0</v>
      </c>
      <c r="AE270">
        <v>1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  <c r="AL270">
        <v>0</v>
      </c>
      <c r="AM270">
        <v>0</v>
      </c>
      <c r="AN270">
        <v>0</v>
      </c>
      <c r="AO270">
        <v>0</v>
      </c>
      <c r="AP270">
        <v>0</v>
      </c>
      <c r="AQ270">
        <v>0</v>
      </c>
      <c r="AR270">
        <v>0</v>
      </c>
      <c r="AS270">
        <v>0</v>
      </c>
      <c r="AT270">
        <f t="shared" si="14"/>
        <v>10.430000000000001</v>
      </c>
      <c r="AU270">
        <f t="shared" si="12"/>
        <v>0</v>
      </c>
      <c r="AV270">
        <f t="shared" si="13"/>
        <v>838.88</v>
      </c>
      <c r="AW270">
        <v>94</v>
      </c>
      <c r="AX270">
        <v>695</v>
      </c>
      <c r="BC270" t="s">
        <v>60</v>
      </c>
    </row>
    <row r="271" spans="3:55" x14ac:dyDescent="0.45">
      <c r="C271">
        <v>90.63</v>
      </c>
      <c r="D271">
        <v>0</v>
      </c>
      <c r="E271">
        <v>0</v>
      </c>
      <c r="F271">
        <v>0</v>
      </c>
      <c r="G271">
        <v>0</v>
      </c>
      <c r="H271">
        <v>3.35</v>
      </c>
      <c r="I271">
        <v>0</v>
      </c>
      <c r="J271">
        <v>0</v>
      </c>
      <c r="K271">
        <v>6.02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1</v>
      </c>
      <c r="W271">
        <v>0</v>
      </c>
      <c r="X271">
        <v>0</v>
      </c>
      <c r="Y271">
        <v>0</v>
      </c>
      <c r="Z271">
        <v>1</v>
      </c>
      <c r="AA271">
        <v>0</v>
      </c>
      <c r="AB271">
        <v>0</v>
      </c>
      <c r="AC271">
        <v>0</v>
      </c>
      <c r="AD271">
        <v>0</v>
      </c>
      <c r="AE271">
        <v>1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>
        <v>0</v>
      </c>
      <c r="AM271">
        <v>0</v>
      </c>
      <c r="AN271">
        <v>0</v>
      </c>
      <c r="AO271">
        <v>0</v>
      </c>
      <c r="AP271">
        <v>0</v>
      </c>
      <c r="AQ271">
        <v>0</v>
      </c>
      <c r="AR271">
        <v>0</v>
      </c>
      <c r="AS271">
        <v>0</v>
      </c>
      <c r="AT271">
        <f t="shared" si="14"/>
        <v>11.400600000000001</v>
      </c>
      <c r="AU271">
        <f t="shared" si="12"/>
        <v>0</v>
      </c>
      <c r="AV271">
        <f t="shared" si="13"/>
        <v>830.41</v>
      </c>
      <c r="AW271">
        <v>97</v>
      </c>
      <c r="AX271">
        <v>715</v>
      </c>
      <c r="BC271" t="s">
        <v>60</v>
      </c>
    </row>
    <row r="272" spans="3:55" x14ac:dyDescent="0.45">
      <c r="C272">
        <v>80.63</v>
      </c>
      <c r="D272">
        <v>0</v>
      </c>
      <c r="E272">
        <v>0</v>
      </c>
      <c r="F272">
        <v>0</v>
      </c>
      <c r="G272">
        <v>0</v>
      </c>
      <c r="H272">
        <v>1.1100000000000001</v>
      </c>
      <c r="I272">
        <v>0</v>
      </c>
      <c r="J272">
        <v>0</v>
      </c>
      <c r="K272">
        <v>18.260000000000002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1</v>
      </c>
      <c r="W272">
        <v>0</v>
      </c>
      <c r="X272">
        <v>0</v>
      </c>
      <c r="Y272">
        <v>0</v>
      </c>
      <c r="Z272">
        <v>1</v>
      </c>
      <c r="AA272">
        <v>0</v>
      </c>
      <c r="AB272">
        <v>0</v>
      </c>
      <c r="AC272">
        <v>0</v>
      </c>
      <c r="AD272">
        <v>0</v>
      </c>
      <c r="AE272">
        <v>1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  <c r="AL272">
        <v>0</v>
      </c>
      <c r="AM272">
        <v>0</v>
      </c>
      <c r="AN272">
        <v>0</v>
      </c>
      <c r="AO272">
        <v>0</v>
      </c>
      <c r="AP272">
        <v>0</v>
      </c>
      <c r="AQ272">
        <v>0</v>
      </c>
      <c r="AR272">
        <v>0</v>
      </c>
      <c r="AS272">
        <v>0</v>
      </c>
      <c r="AT272">
        <f t="shared" si="14"/>
        <v>8.3318000000000012</v>
      </c>
      <c r="AU272">
        <f t="shared" si="12"/>
        <v>0</v>
      </c>
      <c r="AV272">
        <f t="shared" si="13"/>
        <v>864.90599999999995</v>
      </c>
      <c r="AW272">
        <v>79</v>
      </c>
      <c r="AX272">
        <v>606</v>
      </c>
      <c r="BB272" t="s">
        <v>337</v>
      </c>
      <c r="BC272" t="s">
        <v>60</v>
      </c>
    </row>
    <row r="273" spans="3:55" x14ac:dyDescent="0.45">
      <c r="C273">
        <v>79.12</v>
      </c>
      <c r="D273">
        <v>0</v>
      </c>
      <c r="E273">
        <v>0</v>
      </c>
      <c r="F273">
        <v>0</v>
      </c>
      <c r="G273">
        <v>0</v>
      </c>
      <c r="H273">
        <v>2.92</v>
      </c>
      <c r="I273">
        <v>0</v>
      </c>
      <c r="J273">
        <v>0</v>
      </c>
      <c r="K273">
        <v>17.96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1</v>
      </c>
      <c r="W273">
        <v>0</v>
      </c>
      <c r="X273">
        <v>0</v>
      </c>
      <c r="Y273">
        <v>0</v>
      </c>
      <c r="Z273">
        <v>1</v>
      </c>
      <c r="AA273">
        <v>0</v>
      </c>
      <c r="AB273">
        <v>0</v>
      </c>
      <c r="AC273">
        <v>0</v>
      </c>
      <c r="AD273">
        <v>0</v>
      </c>
      <c r="AE273">
        <v>1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</v>
      </c>
      <c r="AL273">
        <v>0</v>
      </c>
      <c r="AM273">
        <v>0</v>
      </c>
      <c r="AN273">
        <v>0</v>
      </c>
      <c r="AO273">
        <v>0</v>
      </c>
      <c r="AP273">
        <v>0</v>
      </c>
      <c r="AQ273">
        <v>0</v>
      </c>
      <c r="AR273">
        <v>0</v>
      </c>
      <c r="AS273">
        <v>0</v>
      </c>
      <c r="AT273">
        <f t="shared" si="14"/>
        <v>13.4968</v>
      </c>
      <c r="AU273">
        <f t="shared" si="12"/>
        <v>0</v>
      </c>
      <c r="AV273">
        <f t="shared" si="13"/>
        <v>837.03200000000004</v>
      </c>
      <c r="AW273">
        <v>78</v>
      </c>
      <c r="AX273">
        <v>625</v>
      </c>
      <c r="BB273" t="s">
        <v>337</v>
      </c>
      <c r="BC273" t="s">
        <v>60</v>
      </c>
    </row>
    <row r="274" spans="3:55" x14ac:dyDescent="0.45">
      <c r="C274">
        <v>77.19</v>
      </c>
      <c r="D274">
        <v>0</v>
      </c>
      <c r="E274">
        <v>0</v>
      </c>
      <c r="F274">
        <v>0</v>
      </c>
      <c r="G274">
        <v>0</v>
      </c>
      <c r="H274">
        <v>5.1400000000000006</v>
      </c>
      <c r="I274">
        <v>0</v>
      </c>
      <c r="J274">
        <v>0</v>
      </c>
      <c r="K274">
        <v>17.68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1</v>
      </c>
      <c r="W274">
        <v>0</v>
      </c>
      <c r="X274">
        <v>0</v>
      </c>
      <c r="Y274">
        <v>0</v>
      </c>
      <c r="Z274">
        <v>1</v>
      </c>
      <c r="AA274">
        <v>0</v>
      </c>
      <c r="AB274">
        <v>0</v>
      </c>
      <c r="AC274">
        <v>0</v>
      </c>
      <c r="AD274">
        <v>0</v>
      </c>
      <c r="AE274">
        <v>1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  <c r="AL274">
        <v>0</v>
      </c>
      <c r="AM274">
        <v>0</v>
      </c>
      <c r="AN274">
        <v>0</v>
      </c>
      <c r="AO274">
        <v>0</v>
      </c>
      <c r="AP274">
        <v>0</v>
      </c>
      <c r="AQ274">
        <v>0</v>
      </c>
      <c r="AR274">
        <v>0</v>
      </c>
      <c r="AS274">
        <v>0</v>
      </c>
      <c r="AT274">
        <f t="shared" si="14"/>
        <v>19.856400000000001</v>
      </c>
      <c r="AU274">
        <f t="shared" si="12"/>
        <v>0</v>
      </c>
      <c r="AV274">
        <f t="shared" si="13"/>
        <v>802.84400000000005</v>
      </c>
      <c r="AW274">
        <v>79</v>
      </c>
      <c r="AX274">
        <v>629</v>
      </c>
      <c r="BB274" t="s">
        <v>337</v>
      </c>
      <c r="BC274" t="s">
        <v>60</v>
      </c>
    </row>
    <row r="275" spans="3:55" x14ac:dyDescent="0.45">
      <c r="C275">
        <v>88.9</v>
      </c>
      <c r="D275">
        <v>0</v>
      </c>
      <c r="E275">
        <v>0</v>
      </c>
      <c r="F275">
        <v>0</v>
      </c>
      <c r="G275">
        <v>0</v>
      </c>
      <c r="H275">
        <v>4.1399999999999997</v>
      </c>
      <c r="I275">
        <v>0</v>
      </c>
      <c r="J275">
        <v>0</v>
      </c>
      <c r="K275">
        <v>6.9599999999999991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0</v>
      </c>
      <c r="AE275">
        <v>1</v>
      </c>
      <c r="AF275">
        <v>0</v>
      </c>
      <c r="AG275">
        <v>0</v>
      </c>
      <c r="AH275">
        <v>0</v>
      </c>
      <c r="AI275">
        <v>0</v>
      </c>
      <c r="AJ275">
        <v>0</v>
      </c>
      <c r="AK275">
        <v>0</v>
      </c>
      <c r="AL275">
        <v>0</v>
      </c>
      <c r="AM275">
        <v>0</v>
      </c>
      <c r="AN275">
        <v>0</v>
      </c>
      <c r="AO275">
        <v>0</v>
      </c>
      <c r="AP275">
        <v>0</v>
      </c>
      <c r="AQ275">
        <v>0</v>
      </c>
      <c r="AR275">
        <v>0</v>
      </c>
      <c r="AS275">
        <v>0</v>
      </c>
      <c r="AT275">
        <f t="shared" si="14"/>
        <v>13.954799999999999</v>
      </c>
      <c r="AU275">
        <f t="shared" si="12"/>
        <v>0</v>
      </c>
      <c r="AV275">
        <f t="shared" si="13"/>
        <v>818.24400000000003</v>
      </c>
      <c r="AW275">
        <v>90</v>
      </c>
      <c r="AX275">
        <v>740</v>
      </c>
      <c r="BB275" t="s">
        <v>337</v>
      </c>
      <c r="BC275" t="s">
        <v>60</v>
      </c>
    </row>
    <row r="276" spans="3:55" x14ac:dyDescent="0.45">
      <c r="C276">
        <v>88.48</v>
      </c>
      <c r="D276">
        <v>0</v>
      </c>
      <c r="E276">
        <v>0</v>
      </c>
      <c r="F276">
        <v>0</v>
      </c>
      <c r="G276">
        <v>0</v>
      </c>
      <c r="H276">
        <v>5.48</v>
      </c>
      <c r="I276">
        <v>0</v>
      </c>
      <c r="J276">
        <v>0</v>
      </c>
      <c r="K276">
        <v>6.04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>
        <v>0</v>
      </c>
      <c r="AI276">
        <v>0</v>
      </c>
      <c r="AJ276">
        <v>0</v>
      </c>
      <c r="AK276">
        <v>0</v>
      </c>
      <c r="AL276">
        <v>0</v>
      </c>
      <c r="AM276">
        <v>0</v>
      </c>
      <c r="AN276">
        <v>0</v>
      </c>
      <c r="AO276">
        <v>0</v>
      </c>
      <c r="AP276">
        <v>0</v>
      </c>
      <c r="AQ276">
        <v>0</v>
      </c>
      <c r="AR276">
        <v>0</v>
      </c>
      <c r="AS276">
        <v>0</v>
      </c>
      <c r="AT276">
        <f t="shared" si="14"/>
        <v>17.583200000000001</v>
      </c>
      <c r="AU276">
        <f t="shared" si="12"/>
        <v>0</v>
      </c>
      <c r="AV276">
        <f t="shared" si="13"/>
        <v>797.60799999999995</v>
      </c>
      <c r="AW276">
        <v>89</v>
      </c>
      <c r="AX276">
        <v>1137</v>
      </c>
      <c r="BB276" t="s">
        <v>337</v>
      </c>
      <c r="BC276" t="s">
        <v>60</v>
      </c>
    </row>
    <row r="277" spans="3:55" x14ac:dyDescent="0.45">
      <c r="C277">
        <v>85.67</v>
      </c>
      <c r="D277">
        <v>0</v>
      </c>
      <c r="E277">
        <v>0</v>
      </c>
      <c r="F277">
        <v>0</v>
      </c>
      <c r="G277">
        <v>0</v>
      </c>
      <c r="H277">
        <v>8.2600000000000016</v>
      </c>
      <c r="I277">
        <v>0</v>
      </c>
      <c r="J277">
        <v>0</v>
      </c>
      <c r="K277">
        <v>6.0699999999999994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>
        <v>0</v>
      </c>
      <c r="AI277">
        <v>0</v>
      </c>
      <c r="AJ277">
        <v>0</v>
      </c>
      <c r="AK277">
        <v>0</v>
      </c>
      <c r="AL277">
        <v>0</v>
      </c>
      <c r="AM277">
        <v>0</v>
      </c>
      <c r="AN277">
        <v>0</v>
      </c>
      <c r="AO277">
        <v>0</v>
      </c>
      <c r="AP277">
        <v>0</v>
      </c>
      <c r="AQ277">
        <v>0</v>
      </c>
      <c r="AR277">
        <v>0</v>
      </c>
      <c r="AS277">
        <v>0</v>
      </c>
      <c r="AT277">
        <f t="shared" si="14"/>
        <v>25.653600000000004</v>
      </c>
      <c r="AU277">
        <f t="shared" si="12"/>
        <v>0</v>
      </c>
      <c r="AV277">
        <f t="shared" si="13"/>
        <v>754.79599999999994</v>
      </c>
      <c r="AW277">
        <v>82</v>
      </c>
      <c r="AX277">
        <v>1078</v>
      </c>
      <c r="BB277" t="s">
        <v>301</v>
      </c>
      <c r="BC277" t="s">
        <v>60</v>
      </c>
    </row>
    <row r="278" spans="3:55" x14ac:dyDescent="0.45">
      <c r="C278">
        <v>93.39</v>
      </c>
      <c r="D278">
        <v>0</v>
      </c>
      <c r="E278">
        <v>0</v>
      </c>
      <c r="F278">
        <v>0</v>
      </c>
      <c r="G278">
        <v>0</v>
      </c>
      <c r="H278">
        <v>6.09</v>
      </c>
      <c r="I278">
        <v>0</v>
      </c>
      <c r="J278">
        <v>0</v>
      </c>
      <c r="K278">
        <v>0.52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1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0</v>
      </c>
      <c r="AL278">
        <v>0</v>
      </c>
      <c r="AM278">
        <v>0</v>
      </c>
      <c r="AN278">
        <v>0</v>
      </c>
      <c r="AO278">
        <v>0</v>
      </c>
      <c r="AP278">
        <v>0</v>
      </c>
      <c r="AQ278">
        <v>0</v>
      </c>
      <c r="AR278">
        <v>0</v>
      </c>
      <c r="AS278">
        <v>0</v>
      </c>
      <c r="AT278">
        <f t="shared" si="14"/>
        <v>17.8066</v>
      </c>
      <c r="AU278">
        <f t="shared" si="12"/>
        <v>0</v>
      </c>
      <c r="AV278">
        <f t="shared" si="13"/>
        <v>788.21399999999994</v>
      </c>
      <c r="AW278">
        <v>124</v>
      </c>
      <c r="AX278">
        <v>1785</v>
      </c>
      <c r="BB278" t="s">
        <v>301</v>
      </c>
      <c r="BC278" t="s">
        <v>60</v>
      </c>
    </row>
    <row r="279" spans="3:55" x14ac:dyDescent="0.45">
      <c r="C279">
        <v>91.7</v>
      </c>
      <c r="D279">
        <v>0</v>
      </c>
      <c r="E279">
        <v>0</v>
      </c>
      <c r="F279">
        <v>0</v>
      </c>
      <c r="G279">
        <v>0</v>
      </c>
      <c r="H279">
        <v>6.18</v>
      </c>
      <c r="I279">
        <v>0</v>
      </c>
      <c r="J279">
        <v>0</v>
      </c>
      <c r="K279">
        <v>2.12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1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0</v>
      </c>
      <c r="AK279">
        <v>0</v>
      </c>
      <c r="AL279">
        <v>0</v>
      </c>
      <c r="AM279">
        <v>0</v>
      </c>
      <c r="AN279">
        <v>0</v>
      </c>
      <c r="AO279">
        <v>0</v>
      </c>
      <c r="AP279">
        <v>0</v>
      </c>
      <c r="AQ279">
        <v>0</v>
      </c>
      <c r="AR279">
        <v>0</v>
      </c>
      <c r="AS279">
        <v>0</v>
      </c>
      <c r="AT279">
        <f t="shared" si="14"/>
        <v>18.515599999999996</v>
      </c>
      <c r="AU279">
        <f t="shared" si="12"/>
        <v>0</v>
      </c>
      <c r="AV279">
        <f t="shared" si="13"/>
        <v>786.82799999999997</v>
      </c>
      <c r="AW279">
        <v>115</v>
      </c>
      <c r="AX279">
        <v>1539</v>
      </c>
      <c r="BB279" t="s">
        <v>301</v>
      </c>
      <c r="BC279" t="s">
        <v>60</v>
      </c>
    </row>
    <row r="280" spans="3:55" x14ac:dyDescent="0.45">
      <c r="C280">
        <v>90.539999999999992</v>
      </c>
      <c r="D280">
        <v>0</v>
      </c>
      <c r="E280">
        <v>0</v>
      </c>
      <c r="F280">
        <v>0</v>
      </c>
      <c r="G280">
        <v>0</v>
      </c>
      <c r="H280">
        <v>6.2399999999999993</v>
      </c>
      <c r="I280">
        <v>0</v>
      </c>
      <c r="J280">
        <v>0</v>
      </c>
      <c r="K280">
        <v>3.2199999999999998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1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0</v>
      </c>
      <c r="AK280">
        <v>0</v>
      </c>
      <c r="AL280">
        <v>0</v>
      </c>
      <c r="AM280">
        <v>0</v>
      </c>
      <c r="AN280">
        <v>0</v>
      </c>
      <c r="AO280">
        <v>0</v>
      </c>
      <c r="AP280">
        <v>0</v>
      </c>
      <c r="AQ280">
        <v>0</v>
      </c>
      <c r="AR280">
        <v>0</v>
      </c>
      <c r="AS280">
        <v>0</v>
      </c>
      <c r="AT280">
        <f t="shared" si="14"/>
        <v>18.997599999999995</v>
      </c>
      <c r="AU280">
        <f t="shared" si="12"/>
        <v>0</v>
      </c>
      <c r="AV280">
        <f t="shared" si="13"/>
        <v>785.904</v>
      </c>
      <c r="AW280">
        <v>97</v>
      </c>
      <c r="AX280">
        <v>1144</v>
      </c>
      <c r="BC280" t="s">
        <v>60</v>
      </c>
    </row>
    <row r="281" spans="3:55" x14ac:dyDescent="0.45">
      <c r="C281">
        <v>88.759999999999991</v>
      </c>
      <c r="D281">
        <v>0</v>
      </c>
      <c r="E281">
        <v>0</v>
      </c>
      <c r="F281">
        <v>0</v>
      </c>
      <c r="G281">
        <v>0</v>
      </c>
      <c r="H281">
        <v>6.34</v>
      </c>
      <c r="I281">
        <v>0</v>
      </c>
      <c r="J281">
        <v>0</v>
      </c>
      <c r="K281">
        <v>4.9000000000000004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1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  <c r="AL281">
        <v>0</v>
      </c>
      <c r="AM281">
        <v>0</v>
      </c>
      <c r="AN281">
        <v>0</v>
      </c>
      <c r="AO281">
        <v>0</v>
      </c>
      <c r="AP281">
        <v>0</v>
      </c>
      <c r="AQ281">
        <v>0</v>
      </c>
      <c r="AR281">
        <v>0</v>
      </c>
      <c r="AS281">
        <v>0</v>
      </c>
      <c r="AT281">
        <f t="shared" si="14"/>
        <v>19.757999999999999</v>
      </c>
      <c r="AU281">
        <f t="shared" si="12"/>
        <v>0</v>
      </c>
      <c r="AV281">
        <f t="shared" si="13"/>
        <v>784.36400000000003</v>
      </c>
      <c r="AW281">
        <v>89</v>
      </c>
      <c r="AX281">
        <v>1010</v>
      </c>
      <c r="BC281" t="s">
        <v>60</v>
      </c>
    </row>
    <row r="282" spans="3:55" x14ac:dyDescent="0.45">
      <c r="C282">
        <v>87.539999999999992</v>
      </c>
      <c r="D282">
        <v>0</v>
      </c>
      <c r="E282">
        <v>0</v>
      </c>
      <c r="F282">
        <v>0</v>
      </c>
      <c r="G282">
        <v>0</v>
      </c>
      <c r="H282">
        <v>6.41</v>
      </c>
      <c r="I282">
        <v>0</v>
      </c>
      <c r="J282">
        <v>0</v>
      </c>
      <c r="K282">
        <v>6.05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1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  <c r="AL282">
        <v>0</v>
      </c>
      <c r="AM282">
        <v>0</v>
      </c>
      <c r="AN282">
        <v>0</v>
      </c>
      <c r="AO282">
        <v>0</v>
      </c>
      <c r="AP282">
        <v>0</v>
      </c>
      <c r="AQ282">
        <v>0</v>
      </c>
      <c r="AR282">
        <v>0</v>
      </c>
      <c r="AS282">
        <v>0</v>
      </c>
      <c r="AT282">
        <f t="shared" si="14"/>
        <v>20.282999999999998</v>
      </c>
      <c r="AU282">
        <f t="shared" si="12"/>
        <v>0</v>
      </c>
      <c r="AV282">
        <f t="shared" si="13"/>
        <v>783.28600000000006</v>
      </c>
      <c r="AW282">
        <v>86</v>
      </c>
      <c r="AX282">
        <v>985</v>
      </c>
      <c r="BC282" t="s">
        <v>60</v>
      </c>
    </row>
    <row r="283" spans="3:55" x14ac:dyDescent="0.45">
      <c r="C283">
        <v>76.819999999999993</v>
      </c>
      <c r="D283">
        <v>0</v>
      </c>
      <c r="E283">
        <v>0</v>
      </c>
      <c r="F283">
        <v>0</v>
      </c>
      <c r="G283">
        <v>0</v>
      </c>
      <c r="H283">
        <v>6.98</v>
      </c>
      <c r="I283">
        <v>0</v>
      </c>
      <c r="J283">
        <v>0</v>
      </c>
      <c r="K283">
        <v>16.189999999999998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1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>
        <v>0</v>
      </c>
      <c r="AM283">
        <v>0</v>
      </c>
      <c r="AN283">
        <v>0</v>
      </c>
      <c r="AO283">
        <v>0</v>
      </c>
      <c r="AP283">
        <v>0</v>
      </c>
      <c r="AQ283">
        <v>0</v>
      </c>
      <c r="AR283">
        <v>0</v>
      </c>
      <c r="AS283">
        <v>0</v>
      </c>
      <c r="AT283">
        <f t="shared" si="14"/>
        <v>24.775200000000002</v>
      </c>
      <c r="AU283">
        <f t="shared" si="12"/>
        <v>0</v>
      </c>
      <c r="AV283">
        <f t="shared" si="13"/>
        <v>774.50800000000004</v>
      </c>
      <c r="AW283">
        <v>116</v>
      </c>
      <c r="AX283">
        <v>784</v>
      </c>
      <c r="BC283" t="s">
        <v>60</v>
      </c>
    </row>
    <row r="284" spans="3:55" x14ac:dyDescent="0.45">
      <c r="C284">
        <v>77</v>
      </c>
      <c r="D284">
        <v>0</v>
      </c>
      <c r="E284">
        <v>0</v>
      </c>
      <c r="F284">
        <v>0</v>
      </c>
      <c r="G284">
        <v>0</v>
      </c>
      <c r="H284">
        <v>1</v>
      </c>
      <c r="I284">
        <v>0</v>
      </c>
      <c r="J284">
        <v>0</v>
      </c>
      <c r="K284">
        <v>22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1</v>
      </c>
      <c r="W284">
        <v>0</v>
      </c>
      <c r="X284">
        <v>0</v>
      </c>
      <c r="Y284">
        <v>0</v>
      </c>
      <c r="Z284">
        <v>1</v>
      </c>
      <c r="AA284">
        <v>0</v>
      </c>
      <c r="AB284">
        <v>0</v>
      </c>
      <c r="AC284">
        <v>0</v>
      </c>
      <c r="AD284">
        <v>0</v>
      </c>
      <c r="AE284">
        <v>1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  <c r="AL284">
        <v>0</v>
      </c>
      <c r="AM284">
        <v>0</v>
      </c>
      <c r="AN284">
        <v>0</v>
      </c>
      <c r="AO284">
        <v>0</v>
      </c>
      <c r="AP284">
        <v>0</v>
      </c>
      <c r="AQ284">
        <v>0</v>
      </c>
      <c r="AR284">
        <v>0</v>
      </c>
      <c r="AS284">
        <v>0</v>
      </c>
      <c r="AT284">
        <f t="shared" si="14"/>
        <v>9.06</v>
      </c>
      <c r="AU284">
        <f t="shared" si="12"/>
        <v>0</v>
      </c>
      <c r="AV284">
        <f t="shared" si="13"/>
        <v>866.6</v>
      </c>
      <c r="AW284">
        <v>79</v>
      </c>
      <c r="AX284">
        <v>600</v>
      </c>
      <c r="BC284" t="s">
        <v>60</v>
      </c>
    </row>
    <row r="285" spans="3:55" x14ac:dyDescent="0.45">
      <c r="C285">
        <v>92.5</v>
      </c>
      <c r="D285">
        <v>5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2.5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1</v>
      </c>
      <c r="Z285">
        <v>0</v>
      </c>
      <c r="AA285">
        <v>0</v>
      </c>
      <c r="AB285">
        <v>0</v>
      </c>
      <c r="AC285">
        <v>1000</v>
      </c>
      <c r="AD285">
        <v>1</v>
      </c>
      <c r="AE285">
        <v>0</v>
      </c>
      <c r="AF285">
        <v>0</v>
      </c>
      <c r="AG285">
        <v>1</v>
      </c>
      <c r="AH285">
        <v>0</v>
      </c>
      <c r="AI285">
        <v>0</v>
      </c>
      <c r="AJ285">
        <v>0</v>
      </c>
      <c r="AK285">
        <v>0</v>
      </c>
      <c r="AL285">
        <v>0</v>
      </c>
      <c r="AM285">
        <v>0</v>
      </c>
      <c r="AN285">
        <v>0</v>
      </c>
      <c r="AO285">
        <v>0</v>
      </c>
      <c r="AP285">
        <v>0</v>
      </c>
      <c r="AQ285">
        <v>0</v>
      </c>
      <c r="AR285">
        <v>0</v>
      </c>
      <c r="AS285">
        <v>0</v>
      </c>
      <c r="AT285">
        <f t="shared" si="14"/>
        <v>-5</v>
      </c>
      <c r="AU285">
        <f t="shared" si="12"/>
        <v>5.833333333333333</v>
      </c>
      <c r="AV285">
        <f t="shared" si="13"/>
        <v>903</v>
      </c>
      <c r="AY285">
        <v>769</v>
      </c>
      <c r="AZ285">
        <v>10.6</v>
      </c>
      <c r="BC285" t="s">
        <v>114</v>
      </c>
    </row>
    <row r="286" spans="3:55" x14ac:dyDescent="0.45">
      <c r="C286">
        <v>92.5</v>
      </c>
      <c r="D286">
        <v>5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2.5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1</v>
      </c>
      <c r="W286">
        <v>0</v>
      </c>
      <c r="X286">
        <v>0</v>
      </c>
      <c r="Y286">
        <v>0</v>
      </c>
      <c r="Z286">
        <v>1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  <c r="AL286">
        <v>0</v>
      </c>
      <c r="AM286">
        <v>0</v>
      </c>
      <c r="AN286">
        <v>0</v>
      </c>
      <c r="AO286">
        <v>0</v>
      </c>
      <c r="AP286">
        <v>0</v>
      </c>
      <c r="AQ286">
        <v>0</v>
      </c>
      <c r="AR286">
        <v>0</v>
      </c>
      <c r="AS286">
        <v>0</v>
      </c>
      <c r="AT286">
        <f t="shared" si="14"/>
        <v>-5</v>
      </c>
      <c r="AU286">
        <f t="shared" si="12"/>
        <v>5.833333333333333</v>
      </c>
      <c r="AV286">
        <f t="shared" si="13"/>
        <v>903</v>
      </c>
      <c r="AX286">
        <v>746</v>
      </c>
      <c r="AY286">
        <v>769</v>
      </c>
      <c r="AZ286">
        <v>10.6</v>
      </c>
      <c r="BA286">
        <v>282</v>
      </c>
      <c r="BC286" t="s">
        <v>98</v>
      </c>
    </row>
    <row r="287" spans="3:55" x14ac:dyDescent="0.45">
      <c r="C287">
        <v>61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35</v>
      </c>
      <c r="L287">
        <v>0</v>
      </c>
      <c r="M287">
        <v>4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1</v>
      </c>
      <c r="W287">
        <v>20</v>
      </c>
      <c r="X287">
        <v>89</v>
      </c>
      <c r="Y287">
        <v>0</v>
      </c>
      <c r="Z287">
        <v>1</v>
      </c>
      <c r="AA287">
        <v>0</v>
      </c>
      <c r="AB287">
        <v>0</v>
      </c>
      <c r="AC287">
        <v>950</v>
      </c>
      <c r="AD287">
        <v>2</v>
      </c>
      <c r="AE287">
        <v>1</v>
      </c>
      <c r="AF287">
        <v>0</v>
      </c>
      <c r="AG287">
        <v>0</v>
      </c>
      <c r="AH287">
        <v>0</v>
      </c>
      <c r="AI287">
        <v>0</v>
      </c>
      <c r="AJ287">
        <v>0</v>
      </c>
      <c r="AK287">
        <v>1</v>
      </c>
      <c r="AL287">
        <v>0</v>
      </c>
      <c r="AM287">
        <v>0</v>
      </c>
      <c r="AN287">
        <v>0</v>
      </c>
      <c r="AO287">
        <v>0</v>
      </c>
      <c r="AP287">
        <v>0</v>
      </c>
      <c r="AQ287">
        <v>0</v>
      </c>
      <c r="AR287">
        <v>0</v>
      </c>
      <c r="AS287">
        <v>0</v>
      </c>
      <c r="AT287">
        <f t="shared" si="14"/>
        <v>9.8000000000000007</v>
      </c>
      <c r="AU287">
        <f t="shared" si="12"/>
        <v>1.3333333333333333</v>
      </c>
      <c r="AV287">
        <f t="shared" si="13"/>
        <v>898.8</v>
      </c>
      <c r="AY287">
        <v>680</v>
      </c>
      <c r="AZ287">
        <v>13.62</v>
      </c>
      <c r="BC287" t="s">
        <v>99</v>
      </c>
    </row>
    <row r="288" spans="3:55" x14ac:dyDescent="0.45">
      <c r="C288">
        <v>61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35</v>
      </c>
      <c r="L288">
        <v>0</v>
      </c>
      <c r="M288">
        <v>4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1</v>
      </c>
      <c r="W288">
        <v>20</v>
      </c>
      <c r="X288">
        <v>89</v>
      </c>
      <c r="Y288">
        <v>0</v>
      </c>
      <c r="Z288">
        <v>1</v>
      </c>
      <c r="AA288">
        <v>0</v>
      </c>
      <c r="AB288">
        <v>0</v>
      </c>
      <c r="AC288">
        <v>950</v>
      </c>
      <c r="AD288">
        <v>2</v>
      </c>
      <c r="AE288">
        <v>1</v>
      </c>
      <c r="AF288">
        <v>0</v>
      </c>
      <c r="AG288">
        <v>0</v>
      </c>
      <c r="AH288">
        <v>250</v>
      </c>
      <c r="AI288">
        <v>2</v>
      </c>
      <c r="AJ288">
        <v>0</v>
      </c>
      <c r="AK288">
        <v>1</v>
      </c>
      <c r="AL288">
        <v>0</v>
      </c>
      <c r="AM288">
        <v>0</v>
      </c>
      <c r="AN288">
        <v>0</v>
      </c>
      <c r="AO288">
        <v>0</v>
      </c>
      <c r="AP288">
        <v>0</v>
      </c>
      <c r="AQ288">
        <v>0</v>
      </c>
      <c r="AR288">
        <v>0</v>
      </c>
      <c r="AS288">
        <v>0</v>
      </c>
      <c r="AT288">
        <f t="shared" si="14"/>
        <v>9.8000000000000007</v>
      </c>
      <c r="AU288">
        <f t="shared" si="12"/>
        <v>1.3333333333333333</v>
      </c>
      <c r="AV288">
        <f t="shared" si="13"/>
        <v>898.8</v>
      </c>
      <c r="AY288">
        <v>830</v>
      </c>
      <c r="AZ288">
        <v>6.5</v>
      </c>
      <c r="BB288" t="s">
        <v>251</v>
      </c>
      <c r="BC288" t="s">
        <v>100</v>
      </c>
    </row>
    <row r="289" spans="3:55" x14ac:dyDescent="0.45">
      <c r="C289">
        <v>61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35</v>
      </c>
      <c r="L289">
        <v>0</v>
      </c>
      <c r="M289">
        <v>4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1</v>
      </c>
      <c r="W289">
        <v>20</v>
      </c>
      <c r="X289">
        <v>89</v>
      </c>
      <c r="Y289">
        <v>0</v>
      </c>
      <c r="Z289">
        <v>1</v>
      </c>
      <c r="AA289">
        <v>0</v>
      </c>
      <c r="AB289">
        <v>0</v>
      </c>
      <c r="AC289">
        <v>950</v>
      </c>
      <c r="AD289">
        <v>2</v>
      </c>
      <c r="AE289">
        <v>1</v>
      </c>
      <c r="AF289">
        <v>0</v>
      </c>
      <c r="AG289">
        <v>0</v>
      </c>
      <c r="AH289">
        <v>300</v>
      </c>
      <c r="AI289">
        <v>2</v>
      </c>
      <c r="AJ289">
        <v>0</v>
      </c>
      <c r="AK289">
        <v>1</v>
      </c>
      <c r="AL289">
        <v>0</v>
      </c>
      <c r="AM289">
        <v>0</v>
      </c>
      <c r="AN289">
        <v>0</v>
      </c>
      <c r="AO289">
        <v>0</v>
      </c>
      <c r="AP289">
        <v>0</v>
      </c>
      <c r="AQ289">
        <v>0</v>
      </c>
      <c r="AR289">
        <v>0</v>
      </c>
      <c r="AS289">
        <v>0</v>
      </c>
      <c r="AT289">
        <f t="shared" si="14"/>
        <v>9.8000000000000007</v>
      </c>
      <c r="AU289">
        <f t="shared" si="12"/>
        <v>1.3333333333333333</v>
      </c>
      <c r="AV289">
        <f t="shared" si="13"/>
        <v>898.8</v>
      </c>
      <c r="AY289">
        <v>1000</v>
      </c>
      <c r="AZ289">
        <v>8.9499999999999993</v>
      </c>
      <c r="BB289" t="s">
        <v>251</v>
      </c>
      <c r="BC289" t="s">
        <v>101</v>
      </c>
    </row>
    <row r="290" spans="3:55" x14ac:dyDescent="0.45">
      <c r="C290">
        <v>57.1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35</v>
      </c>
      <c r="L290">
        <v>0</v>
      </c>
      <c r="M290">
        <v>7.9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1</v>
      </c>
      <c r="W290">
        <v>20</v>
      </c>
      <c r="X290">
        <v>89</v>
      </c>
      <c r="Y290">
        <v>0</v>
      </c>
      <c r="Z290">
        <v>1</v>
      </c>
      <c r="AA290">
        <v>0</v>
      </c>
      <c r="AB290">
        <v>0</v>
      </c>
      <c r="AC290">
        <v>950</v>
      </c>
      <c r="AD290">
        <v>2</v>
      </c>
      <c r="AE290">
        <v>1</v>
      </c>
      <c r="AF290">
        <v>0</v>
      </c>
      <c r="AG290">
        <v>0</v>
      </c>
      <c r="AH290">
        <v>0</v>
      </c>
      <c r="AI290">
        <v>0</v>
      </c>
      <c r="AJ290">
        <v>0</v>
      </c>
      <c r="AK290">
        <v>1</v>
      </c>
      <c r="AL290">
        <v>0</v>
      </c>
      <c r="AM290">
        <v>0</v>
      </c>
      <c r="AN290">
        <v>0</v>
      </c>
      <c r="AO290">
        <v>0</v>
      </c>
      <c r="AP290">
        <v>0</v>
      </c>
      <c r="AQ290">
        <v>0</v>
      </c>
      <c r="AR290">
        <v>0</v>
      </c>
      <c r="AS290">
        <v>0</v>
      </c>
      <c r="AT290">
        <f t="shared" si="14"/>
        <v>9.8000000000000007</v>
      </c>
      <c r="AU290">
        <f t="shared" si="12"/>
        <v>2.6333333333333333</v>
      </c>
      <c r="AV290">
        <f t="shared" si="13"/>
        <v>915.18</v>
      </c>
      <c r="AY290">
        <v>600</v>
      </c>
      <c r="AZ290">
        <v>13.59</v>
      </c>
      <c r="BC290" t="s">
        <v>102</v>
      </c>
    </row>
    <row r="291" spans="3:55" x14ac:dyDescent="0.45">
      <c r="C291">
        <v>57.1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35</v>
      </c>
      <c r="L291">
        <v>0</v>
      </c>
      <c r="M291">
        <v>7.9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1</v>
      </c>
      <c r="W291">
        <v>20</v>
      </c>
      <c r="X291">
        <v>89</v>
      </c>
      <c r="Y291">
        <v>0</v>
      </c>
      <c r="Z291">
        <v>1</v>
      </c>
      <c r="AA291">
        <v>0</v>
      </c>
      <c r="AB291">
        <v>0</v>
      </c>
      <c r="AC291">
        <v>950</v>
      </c>
      <c r="AD291">
        <v>2</v>
      </c>
      <c r="AE291">
        <v>1</v>
      </c>
      <c r="AF291">
        <v>0</v>
      </c>
      <c r="AG291">
        <v>0</v>
      </c>
      <c r="AH291">
        <v>250</v>
      </c>
      <c r="AI291">
        <v>2</v>
      </c>
      <c r="AJ291">
        <v>0</v>
      </c>
      <c r="AK291">
        <v>1</v>
      </c>
      <c r="AL291">
        <v>0</v>
      </c>
      <c r="AM291">
        <v>0</v>
      </c>
      <c r="AN291">
        <v>0</v>
      </c>
      <c r="AO291">
        <v>0</v>
      </c>
      <c r="AP291">
        <v>0</v>
      </c>
      <c r="AQ291">
        <v>0</v>
      </c>
      <c r="AR291">
        <v>0</v>
      </c>
      <c r="AS291">
        <v>0</v>
      </c>
      <c r="AT291">
        <f t="shared" si="14"/>
        <v>9.8000000000000007</v>
      </c>
      <c r="AU291">
        <f t="shared" si="12"/>
        <v>2.6333333333333333</v>
      </c>
      <c r="AV291">
        <f t="shared" si="13"/>
        <v>915.18</v>
      </c>
      <c r="AY291">
        <v>670</v>
      </c>
      <c r="AZ291">
        <v>15.05</v>
      </c>
      <c r="BC291" t="s">
        <v>103</v>
      </c>
    </row>
    <row r="292" spans="3:55" x14ac:dyDescent="0.45">
      <c r="C292">
        <v>57.1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35</v>
      </c>
      <c r="L292">
        <v>0</v>
      </c>
      <c r="M292">
        <v>7.9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1</v>
      </c>
      <c r="W292">
        <v>20</v>
      </c>
      <c r="X292">
        <v>89</v>
      </c>
      <c r="Y292">
        <v>0</v>
      </c>
      <c r="Z292">
        <v>1</v>
      </c>
      <c r="AA292">
        <v>0</v>
      </c>
      <c r="AB292">
        <v>0</v>
      </c>
      <c r="AC292">
        <v>950</v>
      </c>
      <c r="AD292">
        <v>2</v>
      </c>
      <c r="AE292">
        <v>1</v>
      </c>
      <c r="AF292">
        <v>0</v>
      </c>
      <c r="AG292">
        <v>0</v>
      </c>
      <c r="AH292">
        <v>300</v>
      </c>
      <c r="AI292">
        <v>2</v>
      </c>
      <c r="AJ292">
        <v>0</v>
      </c>
      <c r="AK292">
        <v>1</v>
      </c>
      <c r="AL292">
        <v>0</v>
      </c>
      <c r="AM292">
        <v>0</v>
      </c>
      <c r="AN292">
        <v>0</v>
      </c>
      <c r="AO292">
        <v>0</v>
      </c>
      <c r="AP292">
        <v>0</v>
      </c>
      <c r="AQ292">
        <v>0</v>
      </c>
      <c r="AR292">
        <v>0</v>
      </c>
      <c r="AS292">
        <v>0</v>
      </c>
      <c r="AT292">
        <f t="shared" si="14"/>
        <v>9.8000000000000007</v>
      </c>
      <c r="AU292">
        <f t="shared" si="12"/>
        <v>2.6333333333333333</v>
      </c>
      <c r="AV292">
        <f t="shared" si="13"/>
        <v>915.18</v>
      </c>
      <c r="AY292">
        <v>710</v>
      </c>
      <c r="AZ292">
        <v>12.26</v>
      </c>
      <c r="BC292" t="s">
        <v>104</v>
      </c>
    </row>
    <row r="293" spans="3:55" x14ac:dyDescent="0.45">
      <c r="C293">
        <v>66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32</v>
      </c>
      <c r="L293">
        <v>0</v>
      </c>
      <c r="M293">
        <v>2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1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950</v>
      </c>
      <c r="AD293">
        <v>0.5</v>
      </c>
      <c r="AE293">
        <v>1</v>
      </c>
      <c r="AF293">
        <v>0</v>
      </c>
      <c r="AG293">
        <v>0</v>
      </c>
      <c r="AH293">
        <v>0</v>
      </c>
      <c r="AI293">
        <v>0</v>
      </c>
      <c r="AJ293">
        <v>0</v>
      </c>
      <c r="AK293">
        <v>1</v>
      </c>
      <c r="AL293">
        <v>0</v>
      </c>
      <c r="AM293">
        <v>0</v>
      </c>
      <c r="AN293">
        <v>0</v>
      </c>
      <c r="AO293">
        <v>0</v>
      </c>
      <c r="AP293">
        <v>0</v>
      </c>
      <c r="AQ293">
        <v>0</v>
      </c>
      <c r="AR293">
        <v>0</v>
      </c>
      <c r="AS293">
        <v>0</v>
      </c>
      <c r="AT293">
        <f t="shared" si="14"/>
        <v>8.9600000000000009</v>
      </c>
      <c r="AU293">
        <f t="shared" si="12"/>
        <v>0.66666666666666663</v>
      </c>
      <c r="AV293">
        <f t="shared" si="13"/>
        <v>890.4</v>
      </c>
      <c r="AX293">
        <v>665</v>
      </c>
      <c r="AY293">
        <v>780</v>
      </c>
      <c r="AZ293">
        <v>32</v>
      </c>
      <c r="BA293">
        <v>60</v>
      </c>
      <c r="BC293" t="s">
        <v>105</v>
      </c>
    </row>
    <row r="294" spans="3:55" x14ac:dyDescent="0.45">
      <c r="C294">
        <v>66</v>
      </c>
      <c r="D294">
        <v>0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32</v>
      </c>
      <c r="L294">
        <v>0</v>
      </c>
      <c r="M294">
        <v>2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1</v>
      </c>
      <c r="W294">
        <v>0</v>
      </c>
      <c r="X294">
        <v>0</v>
      </c>
      <c r="Y294">
        <v>0</v>
      </c>
      <c r="Z294">
        <v>1</v>
      </c>
      <c r="AA294">
        <v>0</v>
      </c>
      <c r="AB294">
        <v>0</v>
      </c>
      <c r="AC294">
        <v>950</v>
      </c>
      <c r="AD294">
        <v>0.5</v>
      </c>
      <c r="AE294">
        <v>1</v>
      </c>
      <c r="AF294">
        <v>0</v>
      </c>
      <c r="AG294">
        <v>0</v>
      </c>
      <c r="AH294">
        <v>500</v>
      </c>
      <c r="AI294">
        <v>6</v>
      </c>
      <c r="AJ294">
        <v>0</v>
      </c>
      <c r="AK294">
        <v>1</v>
      </c>
      <c r="AL294">
        <v>0</v>
      </c>
      <c r="AM294">
        <v>0</v>
      </c>
      <c r="AN294">
        <v>0</v>
      </c>
      <c r="AO294">
        <v>0</v>
      </c>
      <c r="AP294">
        <v>0</v>
      </c>
      <c r="AQ294">
        <v>0</v>
      </c>
      <c r="AR294">
        <v>0</v>
      </c>
      <c r="AS294">
        <v>0</v>
      </c>
      <c r="AT294">
        <f t="shared" si="14"/>
        <v>8.9600000000000009</v>
      </c>
      <c r="AU294">
        <f t="shared" si="12"/>
        <v>0.66666666666666663</v>
      </c>
      <c r="AV294">
        <f t="shared" si="13"/>
        <v>890.4</v>
      </c>
      <c r="AX294">
        <v>960</v>
      </c>
      <c r="AY294">
        <v>1070</v>
      </c>
      <c r="AZ294">
        <v>8</v>
      </c>
      <c r="BA294">
        <v>82</v>
      </c>
      <c r="BC294" t="s">
        <v>106</v>
      </c>
    </row>
    <row r="295" spans="3:55" x14ac:dyDescent="0.45">
      <c r="C295">
        <v>66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32</v>
      </c>
      <c r="L295">
        <v>0</v>
      </c>
      <c r="M295">
        <v>2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1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950</v>
      </c>
      <c r="AD295">
        <v>0.5</v>
      </c>
      <c r="AE295">
        <v>1</v>
      </c>
      <c r="AF295">
        <v>0</v>
      </c>
      <c r="AG295">
        <v>0</v>
      </c>
      <c r="AH295">
        <v>600</v>
      </c>
      <c r="AI295">
        <v>6</v>
      </c>
      <c r="AJ295">
        <v>0</v>
      </c>
      <c r="AK295">
        <v>1</v>
      </c>
      <c r="AL295">
        <v>0</v>
      </c>
      <c r="AM295">
        <v>0</v>
      </c>
      <c r="AN295">
        <v>0</v>
      </c>
      <c r="AO295">
        <v>0</v>
      </c>
      <c r="AP295">
        <v>0</v>
      </c>
      <c r="AQ295">
        <v>0</v>
      </c>
      <c r="AR295">
        <v>0</v>
      </c>
      <c r="AS295">
        <v>0</v>
      </c>
      <c r="AT295">
        <f t="shared" si="14"/>
        <v>8.9600000000000009</v>
      </c>
      <c r="AU295">
        <f t="shared" si="12"/>
        <v>0.66666666666666663</v>
      </c>
      <c r="AV295">
        <f t="shared" si="13"/>
        <v>890.4</v>
      </c>
      <c r="AX295">
        <v>560</v>
      </c>
      <c r="AY295">
        <v>685</v>
      </c>
      <c r="AZ295">
        <v>7</v>
      </c>
      <c r="BC295" t="s">
        <v>107</v>
      </c>
    </row>
    <row r="296" spans="3:55" x14ac:dyDescent="0.45">
      <c r="C296">
        <v>62.8</v>
      </c>
      <c r="D296">
        <v>0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26.2</v>
      </c>
      <c r="L296">
        <v>0</v>
      </c>
      <c r="M296">
        <v>11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1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0</v>
      </c>
      <c r="AL296">
        <v>0</v>
      </c>
      <c r="AM296">
        <v>0</v>
      </c>
      <c r="AN296">
        <v>0</v>
      </c>
      <c r="AO296">
        <v>0</v>
      </c>
      <c r="AP296">
        <v>0</v>
      </c>
      <c r="AQ296">
        <v>0</v>
      </c>
      <c r="AR296">
        <v>0</v>
      </c>
      <c r="AS296">
        <v>0</v>
      </c>
      <c r="AT296">
        <f t="shared" si="14"/>
        <v>7.3360000000000003</v>
      </c>
      <c r="AU296">
        <f t="shared" si="12"/>
        <v>3.6666666666666665</v>
      </c>
      <c r="AV296">
        <f t="shared" si="13"/>
        <v>928.2</v>
      </c>
      <c r="AX296">
        <v>397</v>
      </c>
      <c r="AY296">
        <v>447</v>
      </c>
      <c r="AZ296">
        <v>16.899999999999999</v>
      </c>
      <c r="BC296" t="s">
        <v>108</v>
      </c>
    </row>
    <row r="297" spans="3:55" x14ac:dyDescent="0.45">
      <c r="C297">
        <v>62.8</v>
      </c>
      <c r="D297">
        <v>0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26.2</v>
      </c>
      <c r="L297">
        <v>0</v>
      </c>
      <c r="M297">
        <v>11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1</v>
      </c>
      <c r="W297">
        <v>90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0</v>
      </c>
      <c r="AL297">
        <v>0</v>
      </c>
      <c r="AM297">
        <v>0</v>
      </c>
      <c r="AN297">
        <v>0</v>
      </c>
      <c r="AO297">
        <v>0</v>
      </c>
      <c r="AP297">
        <v>0</v>
      </c>
      <c r="AQ297">
        <v>0</v>
      </c>
      <c r="AR297">
        <v>0</v>
      </c>
      <c r="AS297">
        <v>0</v>
      </c>
      <c r="AT297">
        <f t="shared" si="14"/>
        <v>7.3360000000000003</v>
      </c>
      <c r="AU297">
        <f t="shared" si="12"/>
        <v>3.6666666666666665</v>
      </c>
      <c r="AV297">
        <f t="shared" si="13"/>
        <v>928.2</v>
      </c>
      <c r="AX297">
        <v>641</v>
      </c>
      <c r="AY297">
        <v>855</v>
      </c>
      <c r="AZ297">
        <v>6.3</v>
      </c>
      <c r="BC297" t="s">
        <v>108</v>
      </c>
    </row>
    <row r="298" spans="3:55" x14ac:dyDescent="0.45">
      <c r="C298">
        <v>62.8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26.2</v>
      </c>
      <c r="L298">
        <v>0</v>
      </c>
      <c r="M298">
        <v>11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1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400</v>
      </c>
      <c r="AI298">
        <v>0.33333333300000001</v>
      </c>
      <c r="AJ298">
        <v>1</v>
      </c>
      <c r="AK298">
        <v>0</v>
      </c>
      <c r="AL298">
        <v>0</v>
      </c>
      <c r="AM298">
        <v>0</v>
      </c>
      <c r="AN298">
        <v>0</v>
      </c>
      <c r="AO298">
        <v>0</v>
      </c>
      <c r="AP298">
        <v>0</v>
      </c>
      <c r="AQ298">
        <v>0</v>
      </c>
      <c r="AR298">
        <v>0</v>
      </c>
      <c r="AS298">
        <v>0</v>
      </c>
      <c r="AT298">
        <f t="shared" si="14"/>
        <v>7.3360000000000003</v>
      </c>
      <c r="AU298">
        <f t="shared" si="12"/>
        <v>3.6666666666666665</v>
      </c>
      <c r="AV298">
        <f t="shared" si="13"/>
        <v>928.2</v>
      </c>
      <c r="AX298">
        <v>934</v>
      </c>
      <c r="AY298">
        <v>1049</v>
      </c>
      <c r="AZ298">
        <v>3.7</v>
      </c>
      <c r="BC298" t="s">
        <v>108</v>
      </c>
    </row>
    <row r="299" spans="3:55" x14ac:dyDescent="0.45">
      <c r="C299">
        <v>62.8</v>
      </c>
      <c r="D299">
        <v>0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26.2</v>
      </c>
      <c r="L299">
        <v>0</v>
      </c>
      <c r="M299">
        <v>11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1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450</v>
      </c>
      <c r="AI299">
        <v>0.33333333300000001</v>
      </c>
      <c r="AJ299">
        <v>1</v>
      </c>
      <c r="AK299">
        <v>0</v>
      </c>
      <c r="AL299">
        <v>0</v>
      </c>
      <c r="AM299">
        <v>0</v>
      </c>
      <c r="AN299">
        <v>0</v>
      </c>
      <c r="AO299">
        <v>0</v>
      </c>
      <c r="AP299">
        <v>0</v>
      </c>
      <c r="AQ299">
        <v>0</v>
      </c>
      <c r="AR299">
        <v>0</v>
      </c>
      <c r="AS299">
        <v>0</v>
      </c>
      <c r="AT299">
        <f t="shared" si="14"/>
        <v>7.3360000000000003</v>
      </c>
      <c r="AU299">
        <f t="shared" si="12"/>
        <v>3.6666666666666665</v>
      </c>
      <c r="AV299">
        <f t="shared" si="13"/>
        <v>928.2</v>
      </c>
      <c r="AX299">
        <v>786</v>
      </c>
      <c r="AY299">
        <v>799</v>
      </c>
      <c r="AZ299">
        <v>4</v>
      </c>
      <c r="BC299" t="s">
        <v>108</v>
      </c>
    </row>
    <row r="300" spans="3:55" x14ac:dyDescent="0.45">
      <c r="C300">
        <v>62.8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26.2</v>
      </c>
      <c r="L300">
        <v>0</v>
      </c>
      <c r="M300">
        <v>11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1</v>
      </c>
      <c r="Z300">
        <v>0</v>
      </c>
      <c r="AA300">
        <v>0</v>
      </c>
      <c r="AB300">
        <v>0</v>
      </c>
      <c r="AC300">
        <v>950</v>
      </c>
      <c r="AD300">
        <v>1</v>
      </c>
      <c r="AE300">
        <v>1</v>
      </c>
      <c r="AF300">
        <v>0</v>
      </c>
      <c r="AG300">
        <v>0</v>
      </c>
      <c r="AH300">
        <v>0</v>
      </c>
      <c r="AI300">
        <v>0</v>
      </c>
      <c r="AJ300">
        <v>0</v>
      </c>
      <c r="AK300">
        <v>0</v>
      </c>
      <c r="AL300">
        <v>0</v>
      </c>
      <c r="AM300">
        <v>0</v>
      </c>
      <c r="AN300">
        <v>0</v>
      </c>
      <c r="AO300">
        <v>0</v>
      </c>
      <c r="AP300">
        <v>0</v>
      </c>
      <c r="AQ300">
        <v>0</v>
      </c>
      <c r="AR300">
        <v>0</v>
      </c>
      <c r="AS300">
        <v>0</v>
      </c>
      <c r="AT300">
        <f t="shared" si="14"/>
        <v>7.3360000000000003</v>
      </c>
      <c r="AU300">
        <f t="shared" si="12"/>
        <v>3.6666666666666665</v>
      </c>
      <c r="AV300">
        <f t="shared" si="13"/>
        <v>928.2</v>
      </c>
      <c r="AX300">
        <v>579</v>
      </c>
      <c r="AY300">
        <v>590</v>
      </c>
      <c r="AZ300">
        <v>27.8</v>
      </c>
      <c r="BC300" t="s">
        <v>108</v>
      </c>
    </row>
    <row r="301" spans="3:55" x14ac:dyDescent="0.45">
      <c r="C301">
        <v>62.8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26.2</v>
      </c>
      <c r="L301">
        <v>0</v>
      </c>
      <c r="M301">
        <v>11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1</v>
      </c>
      <c r="Z301">
        <v>0</v>
      </c>
      <c r="AA301">
        <v>0</v>
      </c>
      <c r="AB301">
        <v>0</v>
      </c>
      <c r="AC301">
        <v>950</v>
      </c>
      <c r="AD301">
        <v>1</v>
      </c>
      <c r="AE301">
        <v>1</v>
      </c>
      <c r="AF301">
        <v>0</v>
      </c>
      <c r="AG301">
        <v>0</v>
      </c>
      <c r="AH301">
        <v>400</v>
      </c>
      <c r="AI301">
        <v>0.33333333300000001</v>
      </c>
      <c r="AJ301">
        <v>1</v>
      </c>
      <c r="AK301">
        <v>0</v>
      </c>
      <c r="AL301">
        <v>0</v>
      </c>
      <c r="AM301">
        <v>0</v>
      </c>
      <c r="AN301">
        <v>0</v>
      </c>
      <c r="AO301">
        <v>0</v>
      </c>
      <c r="AP301">
        <v>0</v>
      </c>
      <c r="AQ301">
        <v>0</v>
      </c>
      <c r="AR301">
        <v>0</v>
      </c>
      <c r="AS301">
        <v>0</v>
      </c>
      <c r="AT301">
        <f t="shared" si="14"/>
        <v>7.3360000000000003</v>
      </c>
      <c r="AU301">
        <f t="shared" si="12"/>
        <v>3.6666666666666665</v>
      </c>
      <c r="AV301">
        <f t="shared" si="13"/>
        <v>928.2</v>
      </c>
      <c r="AX301">
        <v>543</v>
      </c>
      <c r="AY301">
        <v>576</v>
      </c>
      <c r="AZ301">
        <v>19.5</v>
      </c>
      <c r="BC301" t="s">
        <v>108</v>
      </c>
    </row>
    <row r="302" spans="3:55" x14ac:dyDescent="0.45">
      <c r="C302">
        <v>62.8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26.2</v>
      </c>
      <c r="L302">
        <v>0</v>
      </c>
      <c r="M302">
        <v>11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1</v>
      </c>
      <c r="Z302">
        <v>0</v>
      </c>
      <c r="AA302">
        <v>0</v>
      </c>
      <c r="AB302">
        <v>0</v>
      </c>
      <c r="AC302">
        <v>950</v>
      </c>
      <c r="AD302">
        <v>1</v>
      </c>
      <c r="AE302">
        <v>1</v>
      </c>
      <c r="AF302">
        <v>0</v>
      </c>
      <c r="AG302">
        <v>0</v>
      </c>
      <c r="AH302">
        <v>450</v>
      </c>
      <c r="AI302">
        <v>0.33333333300000001</v>
      </c>
      <c r="AJ302">
        <v>1</v>
      </c>
      <c r="AK302">
        <v>0</v>
      </c>
      <c r="AL302">
        <v>0</v>
      </c>
      <c r="AM302">
        <v>0</v>
      </c>
      <c r="AN302">
        <v>0</v>
      </c>
      <c r="AO302">
        <v>0</v>
      </c>
      <c r="AP302">
        <v>0</v>
      </c>
      <c r="AQ302">
        <v>0</v>
      </c>
      <c r="AR302">
        <v>0</v>
      </c>
      <c r="AS302">
        <v>0</v>
      </c>
      <c r="AT302">
        <f t="shared" si="14"/>
        <v>7.3360000000000003</v>
      </c>
      <c r="AU302">
        <f t="shared" si="12"/>
        <v>3.6666666666666665</v>
      </c>
      <c r="AV302">
        <f t="shared" si="13"/>
        <v>928.2</v>
      </c>
      <c r="AX302">
        <v>581</v>
      </c>
      <c r="AY302">
        <v>587</v>
      </c>
      <c r="AZ302">
        <v>14.1</v>
      </c>
      <c r="BC302" t="s">
        <v>108</v>
      </c>
    </row>
    <row r="303" spans="3:55" x14ac:dyDescent="0.45">
      <c r="C303">
        <v>79.239999999999995</v>
      </c>
      <c r="D303">
        <v>0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19.79</v>
      </c>
      <c r="L303">
        <v>0</v>
      </c>
      <c r="M303">
        <v>0.97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1</v>
      </c>
      <c r="W303">
        <v>0</v>
      </c>
      <c r="X303">
        <v>0</v>
      </c>
      <c r="Y303">
        <v>0</v>
      </c>
      <c r="Z303">
        <v>1</v>
      </c>
      <c r="AA303">
        <v>0</v>
      </c>
      <c r="AB303">
        <v>0</v>
      </c>
      <c r="AC303">
        <v>0</v>
      </c>
      <c r="AD303">
        <v>0</v>
      </c>
      <c r="AE303">
        <v>1</v>
      </c>
      <c r="AF303">
        <v>0</v>
      </c>
      <c r="AG303">
        <v>0</v>
      </c>
      <c r="AH303">
        <v>0</v>
      </c>
      <c r="AI303">
        <v>0</v>
      </c>
      <c r="AJ303">
        <v>0</v>
      </c>
      <c r="AK303">
        <v>0</v>
      </c>
      <c r="AL303">
        <v>0</v>
      </c>
      <c r="AM303">
        <v>0</v>
      </c>
      <c r="AN303">
        <v>0</v>
      </c>
      <c r="AO303">
        <v>0</v>
      </c>
      <c r="AP303">
        <v>0</v>
      </c>
      <c r="AQ303">
        <v>0</v>
      </c>
      <c r="AR303">
        <v>0</v>
      </c>
      <c r="AS303">
        <v>0</v>
      </c>
      <c r="AT303">
        <f t="shared" si="14"/>
        <v>5.5411999999999999</v>
      </c>
      <c r="AU303">
        <f t="shared" si="12"/>
        <v>0.32333333333333331</v>
      </c>
      <c r="AV303">
        <f t="shared" si="13"/>
        <v>886.07399999999996</v>
      </c>
      <c r="AW303">
        <v>60</v>
      </c>
      <c r="AX303">
        <v>665</v>
      </c>
      <c r="BC303" t="s">
        <v>60</v>
      </c>
    </row>
    <row r="304" spans="3:55" x14ac:dyDescent="0.45">
      <c r="C304">
        <v>75.64</v>
      </c>
      <c r="D304">
        <v>0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22.36</v>
      </c>
      <c r="L304">
        <v>0</v>
      </c>
      <c r="M304">
        <v>2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1</v>
      </c>
      <c r="W304">
        <v>0</v>
      </c>
      <c r="X304">
        <v>0</v>
      </c>
      <c r="Y304">
        <v>0</v>
      </c>
      <c r="Z304">
        <v>1</v>
      </c>
      <c r="AA304">
        <v>0</v>
      </c>
      <c r="AB304">
        <v>0</v>
      </c>
      <c r="AC304">
        <v>0</v>
      </c>
      <c r="AD304">
        <v>0</v>
      </c>
      <c r="AE304">
        <v>1</v>
      </c>
      <c r="AF304">
        <v>0</v>
      </c>
      <c r="AG304">
        <v>0</v>
      </c>
      <c r="AH304">
        <v>0</v>
      </c>
      <c r="AI304">
        <v>0</v>
      </c>
      <c r="AJ304">
        <v>0</v>
      </c>
      <c r="AK304">
        <v>0</v>
      </c>
      <c r="AL304">
        <v>0</v>
      </c>
      <c r="AM304">
        <v>0</v>
      </c>
      <c r="AN304">
        <v>0</v>
      </c>
      <c r="AO304">
        <v>0</v>
      </c>
      <c r="AP304">
        <v>0</v>
      </c>
      <c r="AQ304">
        <v>0</v>
      </c>
      <c r="AR304">
        <v>0</v>
      </c>
      <c r="AS304">
        <v>0</v>
      </c>
      <c r="AT304">
        <f t="shared" si="14"/>
        <v>6.2608000000000006</v>
      </c>
      <c r="AU304">
        <f t="shared" si="12"/>
        <v>0.66666666666666663</v>
      </c>
      <c r="AV304">
        <f t="shared" si="13"/>
        <v>890.4</v>
      </c>
      <c r="AW304">
        <v>55</v>
      </c>
      <c r="AX304">
        <v>376</v>
      </c>
      <c r="BC304" t="s">
        <v>60</v>
      </c>
    </row>
    <row r="305" spans="3:55" x14ac:dyDescent="0.45">
      <c r="C305">
        <v>72.91</v>
      </c>
      <c r="D305">
        <v>0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23.02</v>
      </c>
      <c r="L305">
        <v>0</v>
      </c>
      <c r="M305">
        <v>4.07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1</v>
      </c>
      <c r="W305">
        <v>0</v>
      </c>
      <c r="X305">
        <v>0</v>
      </c>
      <c r="Y305">
        <v>0</v>
      </c>
      <c r="Z305">
        <v>1</v>
      </c>
      <c r="AA305">
        <v>0</v>
      </c>
      <c r="AB305">
        <v>0</v>
      </c>
      <c r="AC305">
        <v>0</v>
      </c>
      <c r="AD305">
        <v>0</v>
      </c>
      <c r="AE305">
        <v>1</v>
      </c>
      <c r="AF305">
        <v>0</v>
      </c>
      <c r="AG305">
        <v>0</v>
      </c>
      <c r="AH305">
        <v>0</v>
      </c>
      <c r="AI305">
        <v>0</v>
      </c>
      <c r="AJ305">
        <v>0</v>
      </c>
      <c r="AK305">
        <v>0</v>
      </c>
      <c r="AL305">
        <v>0</v>
      </c>
      <c r="AM305">
        <v>0</v>
      </c>
      <c r="AN305">
        <v>0</v>
      </c>
      <c r="AO305">
        <v>0</v>
      </c>
      <c r="AP305">
        <v>0</v>
      </c>
      <c r="AQ305">
        <v>0</v>
      </c>
      <c r="AR305">
        <v>0</v>
      </c>
      <c r="AS305">
        <v>0</v>
      </c>
      <c r="AT305">
        <f t="shared" si="14"/>
        <v>6.4456000000000007</v>
      </c>
      <c r="AU305">
        <f t="shared" si="12"/>
        <v>1.3566666666666667</v>
      </c>
      <c r="AV305">
        <f t="shared" si="13"/>
        <v>899.09400000000005</v>
      </c>
      <c r="AW305">
        <v>61</v>
      </c>
      <c r="AX305">
        <v>444</v>
      </c>
      <c r="BC305" t="s">
        <v>60</v>
      </c>
    </row>
    <row r="306" spans="3:55" x14ac:dyDescent="0.45">
      <c r="C306">
        <v>76.649999999999991</v>
      </c>
      <c r="D306">
        <v>0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22.11</v>
      </c>
      <c r="L306">
        <v>0</v>
      </c>
      <c r="M306">
        <v>1.24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1</v>
      </c>
      <c r="W306">
        <v>0</v>
      </c>
      <c r="X306">
        <v>0</v>
      </c>
      <c r="Y306">
        <v>0</v>
      </c>
      <c r="Z306">
        <v>1</v>
      </c>
      <c r="AA306">
        <v>0</v>
      </c>
      <c r="AB306">
        <v>0</v>
      </c>
      <c r="AC306">
        <v>0</v>
      </c>
      <c r="AD306">
        <v>0</v>
      </c>
      <c r="AE306">
        <v>1</v>
      </c>
      <c r="AF306">
        <v>0</v>
      </c>
      <c r="AG306">
        <v>0</v>
      </c>
      <c r="AH306">
        <v>0</v>
      </c>
      <c r="AI306">
        <v>0</v>
      </c>
      <c r="AJ306">
        <v>0</v>
      </c>
      <c r="AK306">
        <v>0</v>
      </c>
      <c r="AL306">
        <v>0</v>
      </c>
      <c r="AM306">
        <v>0</v>
      </c>
      <c r="AN306">
        <v>0</v>
      </c>
      <c r="AO306">
        <v>0</v>
      </c>
      <c r="AP306">
        <v>0</v>
      </c>
      <c r="AQ306">
        <v>0</v>
      </c>
      <c r="AR306">
        <v>0</v>
      </c>
      <c r="AS306">
        <v>0</v>
      </c>
      <c r="AT306">
        <f t="shared" si="14"/>
        <v>6.1908000000000003</v>
      </c>
      <c r="AU306">
        <f t="shared" si="12"/>
        <v>0.41333333333333333</v>
      </c>
      <c r="AV306">
        <f t="shared" si="13"/>
        <v>887.20799999999997</v>
      </c>
      <c r="AW306">
        <v>65.8</v>
      </c>
      <c r="AX306">
        <v>237</v>
      </c>
      <c r="BC306" t="s">
        <v>60</v>
      </c>
    </row>
    <row r="307" spans="3:55" x14ac:dyDescent="0.45">
      <c r="C307">
        <v>74.95</v>
      </c>
      <c r="D307">
        <v>0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22.53</v>
      </c>
      <c r="L307">
        <v>0</v>
      </c>
      <c r="M307">
        <v>2.52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1</v>
      </c>
      <c r="W307">
        <v>0</v>
      </c>
      <c r="X307">
        <v>0</v>
      </c>
      <c r="Y307">
        <v>0</v>
      </c>
      <c r="Z307">
        <v>1</v>
      </c>
      <c r="AA307">
        <v>0</v>
      </c>
      <c r="AB307">
        <v>0</v>
      </c>
      <c r="AC307">
        <v>0</v>
      </c>
      <c r="AD307">
        <v>0</v>
      </c>
      <c r="AE307">
        <v>1</v>
      </c>
      <c r="AF307">
        <v>0</v>
      </c>
      <c r="AG307">
        <v>0</v>
      </c>
      <c r="AH307">
        <v>0</v>
      </c>
      <c r="AI307">
        <v>0</v>
      </c>
      <c r="AJ307">
        <v>0</v>
      </c>
      <c r="AK307">
        <v>0</v>
      </c>
      <c r="AL307">
        <v>0</v>
      </c>
      <c r="AM307">
        <v>0</v>
      </c>
      <c r="AN307">
        <v>0</v>
      </c>
      <c r="AO307">
        <v>0</v>
      </c>
      <c r="AP307">
        <v>0</v>
      </c>
      <c r="AQ307">
        <v>0</v>
      </c>
      <c r="AR307">
        <v>0</v>
      </c>
      <c r="AS307">
        <v>0</v>
      </c>
      <c r="AT307">
        <f t="shared" si="14"/>
        <v>6.3084000000000007</v>
      </c>
      <c r="AU307">
        <f t="shared" si="12"/>
        <v>0.84</v>
      </c>
      <c r="AV307">
        <f t="shared" si="13"/>
        <v>892.58399999999995</v>
      </c>
      <c r="AW307">
        <v>68.2</v>
      </c>
      <c r="AX307">
        <v>216</v>
      </c>
      <c r="BC307" t="s">
        <v>60</v>
      </c>
    </row>
    <row r="308" spans="3:55" x14ac:dyDescent="0.45">
      <c r="C308">
        <v>73.2</v>
      </c>
      <c r="D308">
        <v>0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22.95</v>
      </c>
      <c r="L308">
        <v>0</v>
      </c>
      <c r="M308">
        <v>3.85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1</v>
      </c>
      <c r="W308">
        <v>0</v>
      </c>
      <c r="X308">
        <v>0</v>
      </c>
      <c r="Y308">
        <v>0</v>
      </c>
      <c r="Z308">
        <v>1</v>
      </c>
      <c r="AA308">
        <v>0</v>
      </c>
      <c r="AB308">
        <v>0</v>
      </c>
      <c r="AC308">
        <v>0</v>
      </c>
      <c r="AD308">
        <v>0</v>
      </c>
      <c r="AE308">
        <v>1</v>
      </c>
      <c r="AF308">
        <v>0</v>
      </c>
      <c r="AG308">
        <v>0</v>
      </c>
      <c r="AH308">
        <v>0</v>
      </c>
      <c r="AI308">
        <v>0</v>
      </c>
      <c r="AJ308">
        <v>0</v>
      </c>
      <c r="AK308">
        <v>0</v>
      </c>
      <c r="AL308">
        <v>0</v>
      </c>
      <c r="AM308">
        <v>0</v>
      </c>
      <c r="AN308">
        <v>0</v>
      </c>
      <c r="AO308">
        <v>0</v>
      </c>
      <c r="AP308">
        <v>0</v>
      </c>
      <c r="AQ308">
        <v>0</v>
      </c>
      <c r="AR308">
        <v>0</v>
      </c>
      <c r="AS308">
        <v>0</v>
      </c>
      <c r="AT308">
        <f t="shared" si="14"/>
        <v>6.4260000000000002</v>
      </c>
      <c r="AU308">
        <f t="shared" si="12"/>
        <v>1.2833333333333334</v>
      </c>
      <c r="AV308">
        <f t="shared" si="13"/>
        <v>898.17</v>
      </c>
      <c r="AW308">
        <v>86.4</v>
      </c>
      <c r="AX308">
        <v>262</v>
      </c>
      <c r="BC308" t="s">
        <v>60</v>
      </c>
    </row>
    <row r="309" spans="3:55" x14ac:dyDescent="0.45">
      <c r="C309">
        <v>77</v>
      </c>
      <c r="D309">
        <v>0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22</v>
      </c>
      <c r="L309">
        <v>0</v>
      </c>
      <c r="M309">
        <v>1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1</v>
      </c>
      <c r="W309">
        <v>0</v>
      </c>
      <c r="X309">
        <v>0</v>
      </c>
      <c r="Y309">
        <v>0</v>
      </c>
      <c r="Z309">
        <v>1</v>
      </c>
      <c r="AA309">
        <v>0</v>
      </c>
      <c r="AB309">
        <v>0</v>
      </c>
      <c r="AC309">
        <v>0</v>
      </c>
      <c r="AD309">
        <v>0</v>
      </c>
      <c r="AE309">
        <v>1</v>
      </c>
      <c r="AF309">
        <v>0</v>
      </c>
      <c r="AG309">
        <v>0</v>
      </c>
      <c r="AH309">
        <v>0</v>
      </c>
      <c r="AI309">
        <v>0</v>
      </c>
      <c r="AJ309">
        <v>0</v>
      </c>
      <c r="AK309">
        <v>0</v>
      </c>
      <c r="AL309">
        <v>0</v>
      </c>
      <c r="AM309">
        <v>0</v>
      </c>
      <c r="AN309">
        <v>0</v>
      </c>
      <c r="AO309">
        <v>0</v>
      </c>
      <c r="AP309">
        <v>0</v>
      </c>
      <c r="AQ309">
        <v>0</v>
      </c>
      <c r="AR309">
        <v>0</v>
      </c>
      <c r="AS309">
        <v>0</v>
      </c>
      <c r="AT309">
        <f t="shared" si="14"/>
        <v>6.16</v>
      </c>
      <c r="AU309">
        <f t="shared" si="12"/>
        <v>0.33333333333333331</v>
      </c>
      <c r="AV309">
        <f t="shared" si="13"/>
        <v>886.2</v>
      </c>
      <c r="AW309">
        <v>65</v>
      </c>
      <c r="AX309">
        <v>503</v>
      </c>
      <c r="BB309" t="s">
        <v>252</v>
      </c>
      <c r="BC309" t="s">
        <v>60</v>
      </c>
    </row>
    <row r="310" spans="3:55" x14ac:dyDescent="0.45">
      <c r="C310">
        <v>77.78</v>
      </c>
      <c r="D310">
        <v>0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16.66</v>
      </c>
      <c r="L310">
        <v>0</v>
      </c>
      <c r="M310">
        <v>5.56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1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0</v>
      </c>
      <c r="AI310">
        <v>0</v>
      </c>
      <c r="AJ310">
        <v>0</v>
      </c>
      <c r="AK310">
        <v>0</v>
      </c>
      <c r="AL310">
        <v>0</v>
      </c>
      <c r="AM310">
        <v>0</v>
      </c>
      <c r="AN310">
        <v>0</v>
      </c>
      <c r="AO310">
        <v>0</v>
      </c>
      <c r="AP310">
        <v>0</v>
      </c>
      <c r="AQ310">
        <v>0</v>
      </c>
      <c r="AR310">
        <v>0</v>
      </c>
      <c r="AS310">
        <v>0</v>
      </c>
      <c r="AT310">
        <f t="shared" si="14"/>
        <v>4.6648000000000005</v>
      </c>
      <c r="AU310">
        <f t="shared" si="12"/>
        <v>1.8533333333333333</v>
      </c>
      <c r="AV310">
        <f t="shared" si="13"/>
        <v>905.35199999999998</v>
      </c>
      <c r="AW310">
        <v>56</v>
      </c>
      <c r="BB310" t="s">
        <v>252</v>
      </c>
    </row>
    <row r="311" spans="3:55" x14ac:dyDescent="0.45">
      <c r="C311">
        <v>62.8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26.2</v>
      </c>
      <c r="L311">
        <v>0</v>
      </c>
      <c r="M311">
        <v>11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1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  <c r="AI311">
        <v>0</v>
      </c>
      <c r="AJ311">
        <v>0</v>
      </c>
      <c r="AK311">
        <v>0</v>
      </c>
      <c r="AL311">
        <v>0</v>
      </c>
      <c r="AM311">
        <v>0</v>
      </c>
      <c r="AN311">
        <v>0</v>
      </c>
      <c r="AO311">
        <v>0</v>
      </c>
      <c r="AP311">
        <v>0</v>
      </c>
      <c r="AQ311">
        <v>0</v>
      </c>
      <c r="AR311">
        <v>0</v>
      </c>
      <c r="AS311">
        <v>0</v>
      </c>
      <c r="AT311">
        <f t="shared" si="14"/>
        <v>7.3360000000000003</v>
      </c>
      <c r="AU311">
        <f t="shared" si="12"/>
        <v>3.6666666666666665</v>
      </c>
      <c r="AV311">
        <f t="shared" si="13"/>
        <v>928.2</v>
      </c>
      <c r="AW311">
        <v>56</v>
      </c>
      <c r="BB311" t="s">
        <v>253</v>
      </c>
    </row>
    <row r="312" spans="3:55" x14ac:dyDescent="0.45">
      <c r="C312">
        <v>80.7</v>
      </c>
      <c r="D312">
        <v>0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18.34</v>
      </c>
      <c r="L312">
        <v>0</v>
      </c>
      <c r="M312">
        <v>0.96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1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  <c r="AL312">
        <v>0</v>
      </c>
      <c r="AM312">
        <v>0</v>
      </c>
      <c r="AN312">
        <v>0</v>
      </c>
      <c r="AO312">
        <v>0</v>
      </c>
      <c r="AP312">
        <v>0</v>
      </c>
      <c r="AQ312">
        <v>0</v>
      </c>
      <c r="AR312">
        <v>0</v>
      </c>
      <c r="AS312">
        <v>0</v>
      </c>
      <c r="AT312">
        <f t="shared" si="14"/>
        <v>5.1352000000000002</v>
      </c>
      <c r="AU312">
        <f t="shared" si="12"/>
        <v>0.32</v>
      </c>
      <c r="AV312">
        <f t="shared" si="13"/>
        <v>886.03200000000004</v>
      </c>
      <c r="AW312">
        <v>77.400000000000006</v>
      </c>
      <c r="BB312" t="s">
        <v>254</v>
      </c>
    </row>
    <row r="313" spans="3:55" x14ac:dyDescent="0.45">
      <c r="C313">
        <v>79.45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18.61</v>
      </c>
      <c r="L313">
        <v>0</v>
      </c>
      <c r="M313">
        <v>1.94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1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  <c r="AL313">
        <v>0</v>
      </c>
      <c r="AM313">
        <v>0</v>
      </c>
      <c r="AN313">
        <v>0</v>
      </c>
      <c r="AO313">
        <v>0</v>
      </c>
      <c r="AP313">
        <v>0</v>
      </c>
      <c r="AQ313">
        <v>0</v>
      </c>
      <c r="AR313">
        <v>0</v>
      </c>
      <c r="AS313">
        <v>0</v>
      </c>
      <c r="AT313">
        <f t="shared" si="14"/>
        <v>5.2108000000000008</v>
      </c>
      <c r="AU313">
        <f t="shared" si="12"/>
        <v>0.64666666666666661</v>
      </c>
      <c r="AV313">
        <f t="shared" si="13"/>
        <v>890.14800000000002</v>
      </c>
      <c r="AW313">
        <v>72.2</v>
      </c>
      <c r="BB313" t="s">
        <v>255</v>
      </c>
    </row>
    <row r="314" spans="3:55" x14ac:dyDescent="0.45">
      <c r="C314">
        <v>78.17</v>
      </c>
      <c r="D314">
        <v>0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18.88</v>
      </c>
      <c r="L314">
        <v>0</v>
      </c>
      <c r="M314">
        <v>2.95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1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  <c r="AL314">
        <v>0</v>
      </c>
      <c r="AM314">
        <v>0</v>
      </c>
      <c r="AN314">
        <v>0</v>
      </c>
      <c r="AO314">
        <v>0</v>
      </c>
      <c r="AP314">
        <v>0</v>
      </c>
      <c r="AQ314">
        <v>0</v>
      </c>
      <c r="AR314">
        <v>0</v>
      </c>
      <c r="AS314">
        <v>0</v>
      </c>
      <c r="AT314">
        <f t="shared" si="14"/>
        <v>5.2864000000000004</v>
      </c>
      <c r="AU314">
        <f t="shared" si="12"/>
        <v>0.98333333333333339</v>
      </c>
      <c r="AV314">
        <f t="shared" si="13"/>
        <v>894.39</v>
      </c>
      <c r="AW314">
        <v>67</v>
      </c>
      <c r="BB314" t="s">
        <v>256</v>
      </c>
    </row>
    <row r="315" spans="3:55" x14ac:dyDescent="0.45">
      <c r="C315">
        <v>76.84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19.16</v>
      </c>
      <c r="L315">
        <v>0</v>
      </c>
      <c r="M315">
        <v>4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1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</v>
      </c>
      <c r="AL315">
        <v>0</v>
      </c>
      <c r="AM315">
        <v>0</v>
      </c>
      <c r="AN315">
        <v>0</v>
      </c>
      <c r="AO315">
        <v>0</v>
      </c>
      <c r="AP315">
        <v>0</v>
      </c>
      <c r="AQ315">
        <v>0</v>
      </c>
      <c r="AR315">
        <v>0</v>
      </c>
      <c r="AS315">
        <v>0</v>
      </c>
      <c r="AT315">
        <f t="shared" si="14"/>
        <v>5.3648000000000007</v>
      </c>
      <c r="AU315">
        <f t="shared" si="12"/>
        <v>1.3333333333333333</v>
      </c>
      <c r="AV315">
        <f t="shared" si="13"/>
        <v>898.8</v>
      </c>
      <c r="AW315">
        <v>74</v>
      </c>
      <c r="BB315" t="s">
        <v>257</v>
      </c>
    </row>
    <row r="316" spans="3:55" x14ac:dyDescent="0.45">
      <c r="C316">
        <v>75.48</v>
      </c>
      <c r="D316">
        <v>0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19.45</v>
      </c>
      <c r="L316">
        <v>0</v>
      </c>
      <c r="M316">
        <v>5.07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1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0</v>
      </c>
      <c r="AL316">
        <v>0</v>
      </c>
      <c r="AM316">
        <v>0</v>
      </c>
      <c r="AN316">
        <v>0</v>
      </c>
      <c r="AO316">
        <v>0</v>
      </c>
      <c r="AP316">
        <v>0</v>
      </c>
      <c r="AQ316">
        <v>0</v>
      </c>
      <c r="AR316">
        <v>0</v>
      </c>
      <c r="AS316">
        <v>0</v>
      </c>
      <c r="AT316">
        <f t="shared" si="14"/>
        <v>5.4460000000000006</v>
      </c>
      <c r="AU316">
        <f t="shared" si="12"/>
        <v>1.6900000000000002</v>
      </c>
      <c r="AV316">
        <f t="shared" si="13"/>
        <v>903.29399999999998</v>
      </c>
      <c r="AW316">
        <v>92</v>
      </c>
      <c r="BB316" t="s">
        <v>258</v>
      </c>
    </row>
    <row r="317" spans="3:55" x14ac:dyDescent="0.45">
      <c r="C317">
        <v>75.64</v>
      </c>
      <c r="D317">
        <v>0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22.36</v>
      </c>
      <c r="L317">
        <v>0</v>
      </c>
      <c r="M317">
        <v>2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1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  <c r="AK317">
        <v>0</v>
      </c>
      <c r="AL317">
        <v>0</v>
      </c>
      <c r="AM317">
        <v>0</v>
      </c>
      <c r="AN317">
        <v>0</v>
      </c>
      <c r="AO317">
        <v>0</v>
      </c>
      <c r="AP317">
        <v>0</v>
      </c>
      <c r="AQ317">
        <v>0</v>
      </c>
      <c r="AR317">
        <v>0</v>
      </c>
      <c r="AS317">
        <v>0</v>
      </c>
      <c r="AT317">
        <f t="shared" si="14"/>
        <v>6.2608000000000006</v>
      </c>
      <c r="AU317">
        <f t="shared" si="12"/>
        <v>0.66666666666666663</v>
      </c>
      <c r="AV317">
        <f t="shared" si="13"/>
        <v>890.4</v>
      </c>
      <c r="AW317">
        <v>54.86</v>
      </c>
      <c r="BB317" t="s">
        <v>259</v>
      </c>
    </row>
    <row r="318" spans="3:55" x14ac:dyDescent="0.45">
      <c r="C318">
        <v>45.74</v>
      </c>
      <c r="D318">
        <v>0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49.72</v>
      </c>
      <c r="L318">
        <v>0</v>
      </c>
      <c r="M318">
        <v>4.54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1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>
        <v>0</v>
      </c>
      <c r="AI318">
        <v>0</v>
      </c>
      <c r="AJ318">
        <v>0</v>
      </c>
      <c r="AK318">
        <v>0</v>
      </c>
      <c r="AL318">
        <v>0</v>
      </c>
      <c r="AM318">
        <v>0</v>
      </c>
      <c r="AN318">
        <v>0</v>
      </c>
      <c r="AO318">
        <v>0</v>
      </c>
      <c r="AP318">
        <v>0</v>
      </c>
      <c r="AQ318">
        <v>0</v>
      </c>
      <c r="AR318">
        <v>0</v>
      </c>
      <c r="AS318">
        <v>0</v>
      </c>
      <c r="AT318">
        <f t="shared" si="14"/>
        <v>13.921600000000002</v>
      </c>
      <c r="AU318">
        <f t="shared" si="12"/>
        <v>1.5133333333333334</v>
      </c>
      <c r="AV318">
        <f t="shared" si="13"/>
        <v>901.06799999999998</v>
      </c>
      <c r="AW318">
        <v>63.55</v>
      </c>
      <c r="BB318" t="s">
        <v>260</v>
      </c>
    </row>
    <row r="319" spans="3:55" x14ac:dyDescent="0.45">
      <c r="C319">
        <v>78.709999999999994</v>
      </c>
      <c r="D319">
        <v>0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15.84</v>
      </c>
      <c r="L319">
        <v>0</v>
      </c>
      <c r="M319">
        <v>5.45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1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0</v>
      </c>
      <c r="AL319">
        <v>0</v>
      </c>
      <c r="AM319">
        <v>0</v>
      </c>
      <c r="AN319">
        <v>0</v>
      </c>
      <c r="AO319">
        <v>0</v>
      </c>
      <c r="AP319">
        <v>0</v>
      </c>
      <c r="AQ319">
        <v>0</v>
      </c>
      <c r="AR319">
        <v>0</v>
      </c>
      <c r="AS319">
        <v>0</v>
      </c>
      <c r="AT319">
        <f t="shared" si="14"/>
        <v>4.4352</v>
      </c>
      <c r="AU319">
        <f t="shared" si="12"/>
        <v>1.8166666666666667</v>
      </c>
      <c r="AV319">
        <f t="shared" si="13"/>
        <v>904.89</v>
      </c>
      <c r="AW319">
        <v>55</v>
      </c>
      <c r="BB319" t="s">
        <v>261</v>
      </c>
    </row>
    <row r="320" spans="3:55" x14ac:dyDescent="0.45">
      <c r="C320">
        <v>79.349999999999994</v>
      </c>
      <c r="D320">
        <v>0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15.73</v>
      </c>
      <c r="L320">
        <v>0</v>
      </c>
      <c r="M320">
        <v>4.92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1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0</v>
      </c>
      <c r="AL320">
        <v>0</v>
      </c>
      <c r="AM320">
        <v>0</v>
      </c>
      <c r="AN320">
        <v>0</v>
      </c>
      <c r="AO320">
        <v>0</v>
      </c>
      <c r="AP320">
        <v>0</v>
      </c>
      <c r="AQ320">
        <v>0</v>
      </c>
      <c r="AR320">
        <v>0</v>
      </c>
      <c r="AS320">
        <v>0</v>
      </c>
      <c r="AT320">
        <f t="shared" si="14"/>
        <v>4.4044000000000008</v>
      </c>
      <c r="AU320">
        <f t="shared" si="12"/>
        <v>1.64</v>
      </c>
      <c r="AV320">
        <f t="shared" si="13"/>
        <v>902.66399999999999</v>
      </c>
      <c r="AW320">
        <v>72</v>
      </c>
    </row>
    <row r="321" spans="3:55" x14ac:dyDescent="0.45">
      <c r="C321">
        <v>80.62</v>
      </c>
      <c r="D321">
        <v>0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15.5</v>
      </c>
      <c r="L321">
        <v>0</v>
      </c>
      <c r="M321">
        <v>3.88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1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0</v>
      </c>
      <c r="AL321">
        <v>0</v>
      </c>
      <c r="AM321">
        <v>0</v>
      </c>
      <c r="AN321">
        <v>0</v>
      </c>
      <c r="AO321">
        <v>0</v>
      </c>
      <c r="AP321">
        <v>0</v>
      </c>
      <c r="AQ321">
        <v>0</v>
      </c>
      <c r="AR321">
        <v>0</v>
      </c>
      <c r="AS321">
        <v>0</v>
      </c>
      <c r="AT321">
        <f t="shared" si="14"/>
        <v>4.3400000000000007</v>
      </c>
      <c r="AU321">
        <f t="shared" si="12"/>
        <v>1.2933333333333332</v>
      </c>
      <c r="AV321">
        <f t="shared" si="13"/>
        <v>898.29600000000005</v>
      </c>
      <c r="AW321">
        <v>52</v>
      </c>
    </row>
    <row r="322" spans="3:55" x14ac:dyDescent="0.45">
      <c r="C322">
        <v>79.989999999999995</v>
      </c>
      <c r="D322">
        <v>0</v>
      </c>
      <c r="E322">
        <v>0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15.61</v>
      </c>
      <c r="L322">
        <v>0</v>
      </c>
      <c r="M322">
        <v>4.4000000000000004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1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J322">
        <v>0</v>
      </c>
      <c r="AK322">
        <v>0</v>
      </c>
      <c r="AL322">
        <v>0</v>
      </c>
      <c r="AM322">
        <v>0</v>
      </c>
      <c r="AN322">
        <v>0</v>
      </c>
      <c r="AO322">
        <v>0</v>
      </c>
      <c r="AP322">
        <v>0</v>
      </c>
      <c r="AQ322">
        <v>0</v>
      </c>
      <c r="AR322">
        <v>0</v>
      </c>
      <c r="AS322">
        <v>0</v>
      </c>
      <c r="AT322">
        <f t="shared" si="14"/>
        <v>4.3708</v>
      </c>
      <c r="AU322">
        <f t="shared" ref="AU322:AU385" si="15">D322+J322/6+M322/3+(T322+S322)/10</f>
        <v>1.4666666666666668</v>
      </c>
      <c r="AV322">
        <f t="shared" ref="AV322:AV385" si="16">882+2.1*D322-9.5*L322+4.2*M322-6.9*J322-11.8*E322-12.1*F322-15.4*H322+23.3*Q322+123*T322</f>
        <v>900.48</v>
      </c>
      <c r="AW322">
        <v>53</v>
      </c>
    </row>
    <row r="323" spans="3:55" x14ac:dyDescent="0.45">
      <c r="C323">
        <v>72.91</v>
      </c>
      <c r="D323">
        <v>0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23.03</v>
      </c>
      <c r="L323">
        <v>0</v>
      </c>
      <c r="M323">
        <v>4.0599999999999996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1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>
        <v>0</v>
      </c>
      <c r="AI323">
        <v>0</v>
      </c>
      <c r="AJ323">
        <v>0</v>
      </c>
      <c r="AK323">
        <v>0</v>
      </c>
      <c r="AL323">
        <v>0</v>
      </c>
      <c r="AM323">
        <v>0</v>
      </c>
      <c r="AN323">
        <v>0</v>
      </c>
      <c r="AO323">
        <v>0</v>
      </c>
      <c r="AP323">
        <v>0</v>
      </c>
      <c r="AQ323">
        <v>0</v>
      </c>
      <c r="AR323">
        <v>0</v>
      </c>
      <c r="AS323">
        <v>0</v>
      </c>
      <c r="AT323">
        <f t="shared" ref="AT323:AT386" si="17">L323+0.67*E323+0.44*P323+0.28*K323+0.22*O323+2.9*H323+1.6*F323+1.7*G323-D323</f>
        <v>6.4484000000000012</v>
      </c>
      <c r="AU323">
        <f t="shared" si="15"/>
        <v>1.3533333333333333</v>
      </c>
      <c r="AV323">
        <f t="shared" si="16"/>
        <v>899.05200000000002</v>
      </c>
      <c r="AW323">
        <v>61</v>
      </c>
    </row>
    <row r="324" spans="3:55" x14ac:dyDescent="0.45">
      <c r="C324">
        <v>76.98</v>
      </c>
      <c r="D324">
        <v>0</v>
      </c>
      <c r="E324">
        <v>0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22.03</v>
      </c>
      <c r="L324">
        <v>0</v>
      </c>
      <c r="M324">
        <v>0.99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1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0</v>
      </c>
      <c r="AK324">
        <v>0</v>
      </c>
      <c r="AL324">
        <v>0</v>
      </c>
      <c r="AM324">
        <v>0</v>
      </c>
      <c r="AN324">
        <v>0</v>
      </c>
      <c r="AO324">
        <v>0</v>
      </c>
      <c r="AP324">
        <v>0</v>
      </c>
      <c r="AQ324">
        <v>0</v>
      </c>
      <c r="AR324">
        <v>0</v>
      </c>
      <c r="AS324">
        <v>0</v>
      </c>
      <c r="AT324">
        <f t="shared" si="17"/>
        <v>6.168400000000001</v>
      </c>
      <c r="AU324">
        <f t="shared" si="15"/>
        <v>0.33</v>
      </c>
      <c r="AV324">
        <f t="shared" si="16"/>
        <v>886.15800000000002</v>
      </c>
      <c r="AW324">
        <v>51</v>
      </c>
    </row>
    <row r="325" spans="3:55" x14ac:dyDescent="0.45">
      <c r="C325">
        <v>90</v>
      </c>
      <c r="D325">
        <v>6</v>
      </c>
      <c r="E325">
        <v>4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1</v>
      </c>
      <c r="W325">
        <v>0</v>
      </c>
      <c r="X325">
        <v>0</v>
      </c>
      <c r="Y325">
        <v>0</v>
      </c>
      <c r="Z325">
        <v>1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0</v>
      </c>
      <c r="AL325">
        <v>0</v>
      </c>
      <c r="AM325">
        <v>0</v>
      </c>
      <c r="AN325">
        <v>0</v>
      </c>
      <c r="AO325">
        <v>0</v>
      </c>
      <c r="AP325">
        <v>0</v>
      </c>
      <c r="AQ325">
        <v>0</v>
      </c>
      <c r="AR325">
        <v>0</v>
      </c>
      <c r="AS325">
        <v>0</v>
      </c>
      <c r="AT325">
        <f t="shared" si="17"/>
        <v>-3.32</v>
      </c>
      <c r="AU325">
        <f t="shared" si="15"/>
        <v>6</v>
      </c>
      <c r="AV325">
        <f t="shared" si="16"/>
        <v>847.4</v>
      </c>
      <c r="AW325">
        <v>113</v>
      </c>
      <c r="AX325">
        <v>999</v>
      </c>
      <c r="AY325">
        <v>1173</v>
      </c>
      <c r="AZ325">
        <v>6</v>
      </c>
      <c r="BC325" t="s">
        <v>115</v>
      </c>
    </row>
    <row r="326" spans="3:55" x14ac:dyDescent="0.45">
      <c r="C326">
        <v>90</v>
      </c>
      <c r="D326">
        <v>5.9</v>
      </c>
      <c r="E326">
        <v>4.0999999999999996</v>
      </c>
      <c r="F326">
        <v>0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0</v>
      </c>
      <c r="Y326">
        <v>1</v>
      </c>
      <c r="Z326">
        <v>0</v>
      </c>
      <c r="AA326">
        <v>0</v>
      </c>
      <c r="AB326">
        <v>0</v>
      </c>
      <c r="AC326">
        <v>700</v>
      </c>
      <c r="AD326">
        <v>4</v>
      </c>
      <c r="AE326">
        <v>0</v>
      </c>
      <c r="AF326">
        <v>0</v>
      </c>
      <c r="AG326">
        <v>0</v>
      </c>
      <c r="AH326">
        <v>0</v>
      </c>
      <c r="AI326">
        <v>0</v>
      </c>
      <c r="AJ326">
        <v>0</v>
      </c>
      <c r="AK326">
        <v>0</v>
      </c>
      <c r="AL326">
        <v>0</v>
      </c>
      <c r="AM326">
        <v>0</v>
      </c>
      <c r="AN326">
        <v>0</v>
      </c>
      <c r="AO326">
        <v>0</v>
      </c>
      <c r="AP326">
        <v>0</v>
      </c>
      <c r="AQ326">
        <v>0</v>
      </c>
      <c r="AR326">
        <v>0</v>
      </c>
      <c r="AS326">
        <v>0</v>
      </c>
      <c r="AT326">
        <f t="shared" si="17"/>
        <v>-3.1530000000000005</v>
      </c>
      <c r="AU326">
        <f t="shared" si="15"/>
        <v>5.9</v>
      </c>
      <c r="AV326">
        <f t="shared" si="16"/>
        <v>846.01</v>
      </c>
      <c r="BC326" t="s">
        <v>116</v>
      </c>
    </row>
    <row r="327" spans="3:55" x14ac:dyDescent="0.45">
      <c r="C327">
        <v>90</v>
      </c>
      <c r="D327">
        <v>5.9</v>
      </c>
      <c r="E327">
        <v>4.0999999999999996</v>
      </c>
      <c r="F327">
        <v>0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0</v>
      </c>
      <c r="Y327">
        <v>1</v>
      </c>
      <c r="Z327">
        <v>0</v>
      </c>
      <c r="AA327">
        <v>0</v>
      </c>
      <c r="AB327">
        <v>0</v>
      </c>
      <c r="AC327">
        <v>700</v>
      </c>
      <c r="AD327">
        <v>4</v>
      </c>
      <c r="AE327">
        <v>0</v>
      </c>
      <c r="AF327">
        <v>0</v>
      </c>
      <c r="AG327">
        <v>0</v>
      </c>
      <c r="AH327">
        <v>0</v>
      </c>
      <c r="AI327">
        <v>0</v>
      </c>
      <c r="AJ327">
        <v>0</v>
      </c>
      <c r="AK327">
        <v>0</v>
      </c>
      <c r="AL327">
        <v>0</v>
      </c>
      <c r="AM327">
        <v>0</v>
      </c>
      <c r="AN327">
        <v>0</v>
      </c>
      <c r="AO327">
        <v>0</v>
      </c>
      <c r="AP327">
        <v>0</v>
      </c>
      <c r="AQ327">
        <v>0</v>
      </c>
      <c r="AR327">
        <v>0</v>
      </c>
      <c r="AS327">
        <v>0</v>
      </c>
      <c r="AT327">
        <f t="shared" si="17"/>
        <v>-3.1530000000000005</v>
      </c>
      <c r="AU327">
        <f t="shared" si="15"/>
        <v>5.9</v>
      </c>
      <c r="AV327">
        <f t="shared" si="16"/>
        <v>846.01</v>
      </c>
      <c r="BC327" t="s">
        <v>116</v>
      </c>
    </row>
    <row r="328" spans="3:55" x14ac:dyDescent="0.45">
      <c r="C328">
        <v>90</v>
      </c>
      <c r="D328">
        <v>5.9</v>
      </c>
      <c r="E328">
        <v>4.0999999999999996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1</v>
      </c>
      <c r="Z328">
        <v>0</v>
      </c>
      <c r="AA328">
        <v>0</v>
      </c>
      <c r="AB328">
        <v>0</v>
      </c>
      <c r="AC328">
        <v>700</v>
      </c>
      <c r="AD328">
        <v>4</v>
      </c>
      <c r="AE328">
        <v>0</v>
      </c>
      <c r="AF328">
        <v>0</v>
      </c>
      <c r="AG328">
        <v>0</v>
      </c>
      <c r="AH328">
        <v>0</v>
      </c>
      <c r="AI328">
        <v>0</v>
      </c>
      <c r="AJ328">
        <v>0</v>
      </c>
      <c r="AK328">
        <v>0</v>
      </c>
      <c r="AL328">
        <v>0</v>
      </c>
      <c r="AM328">
        <v>0</v>
      </c>
      <c r="AN328">
        <v>0</v>
      </c>
      <c r="AO328">
        <v>0</v>
      </c>
      <c r="AP328">
        <v>0</v>
      </c>
      <c r="AQ328">
        <v>0</v>
      </c>
      <c r="AR328">
        <v>0</v>
      </c>
      <c r="AS328">
        <v>0</v>
      </c>
      <c r="AT328">
        <f t="shared" si="17"/>
        <v>-3.1530000000000005</v>
      </c>
      <c r="AU328">
        <f t="shared" si="15"/>
        <v>5.9</v>
      </c>
      <c r="AV328">
        <f t="shared" si="16"/>
        <v>846.01</v>
      </c>
      <c r="BC328" t="s">
        <v>116</v>
      </c>
    </row>
    <row r="329" spans="3:55" x14ac:dyDescent="0.45">
      <c r="C329">
        <v>72.959999999999994</v>
      </c>
      <c r="D329">
        <v>5.2</v>
      </c>
      <c r="E329">
        <v>21.67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1</v>
      </c>
      <c r="Z329">
        <v>0</v>
      </c>
      <c r="AA329">
        <v>0</v>
      </c>
      <c r="AB329">
        <v>0</v>
      </c>
      <c r="AC329">
        <v>900</v>
      </c>
      <c r="AD329">
        <v>0.5</v>
      </c>
      <c r="AE329">
        <v>1</v>
      </c>
      <c r="AF329">
        <v>0</v>
      </c>
      <c r="AG329">
        <v>0</v>
      </c>
      <c r="AH329">
        <v>600</v>
      </c>
      <c r="AI329">
        <v>4</v>
      </c>
      <c r="AJ329">
        <v>0</v>
      </c>
      <c r="AK329">
        <v>1</v>
      </c>
      <c r="AL329">
        <v>0</v>
      </c>
      <c r="AM329">
        <v>0</v>
      </c>
      <c r="AN329">
        <v>0</v>
      </c>
      <c r="AO329">
        <v>0</v>
      </c>
      <c r="AP329">
        <v>0</v>
      </c>
      <c r="AQ329">
        <v>0</v>
      </c>
      <c r="AR329">
        <v>0</v>
      </c>
      <c r="AS329">
        <v>0</v>
      </c>
      <c r="AT329">
        <f t="shared" si="17"/>
        <v>9.3189000000000028</v>
      </c>
      <c r="AU329">
        <f t="shared" si="15"/>
        <v>5.2</v>
      </c>
      <c r="AV329">
        <f t="shared" si="16"/>
        <v>637.21399999999994</v>
      </c>
      <c r="AX329">
        <v>956.67</v>
      </c>
      <c r="AY329">
        <v>1076.67</v>
      </c>
      <c r="AZ329">
        <v>19.5</v>
      </c>
      <c r="BC329" t="s">
        <v>108</v>
      </c>
    </row>
    <row r="330" spans="3:55" x14ac:dyDescent="0.45">
      <c r="C330">
        <v>72.959999999999994</v>
      </c>
      <c r="D330">
        <v>5.2</v>
      </c>
      <c r="E330">
        <v>21.67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1</v>
      </c>
      <c r="Z330">
        <v>0</v>
      </c>
      <c r="AA330">
        <v>0</v>
      </c>
      <c r="AB330">
        <v>0</v>
      </c>
      <c r="AC330">
        <v>900</v>
      </c>
      <c r="AD330">
        <v>0.5</v>
      </c>
      <c r="AE330">
        <v>1</v>
      </c>
      <c r="AF330">
        <v>0</v>
      </c>
      <c r="AG330">
        <v>0</v>
      </c>
      <c r="AH330">
        <v>700</v>
      </c>
      <c r="AI330">
        <v>4</v>
      </c>
      <c r="AJ330">
        <v>0</v>
      </c>
      <c r="AK330">
        <v>1</v>
      </c>
      <c r="AL330">
        <v>0</v>
      </c>
      <c r="AM330">
        <v>0</v>
      </c>
      <c r="AN330">
        <v>0</v>
      </c>
      <c r="AO330">
        <v>0</v>
      </c>
      <c r="AP330">
        <v>0</v>
      </c>
      <c r="AQ330">
        <v>0</v>
      </c>
      <c r="AR330">
        <v>0</v>
      </c>
      <c r="AS330">
        <v>0</v>
      </c>
      <c r="AT330">
        <f t="shared" si="17"/>
        <v>9.3189000000000028</v>
      </c>
      <c r="AU330">
        <f t="shared" si="15"/>
        <v>5.2</v>
      </c>
      <c r="AV330">
        <f t="shared" si="16"/>
        <v>637.21399999999994</v>
      </c>
      <c r="AX330">
        <v>816.67</v>
      </c>
      <c r="AY330">
        <v>875</v>
      </c>
      <c r="AZ330">
        <v>15.83</v>
      </c>
      <c r="BC330" t="s">
        <v>108</v>
      </c>
    </row>
    <row r="331" spans="3:55" x14ac:dyDescent="0.45">
      <c r="C331">
        <v>86.2</v>
      </c>
      <c r="D331">
        <v>10.199999999999999</v>
      </c>
      <c r="E331">
        <v>3.5999999999999996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1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1</v>
      </c>
      <c r="AG331">
        <v>0</v>
      </c>
      <c r="AH331">
        <v>0</v>
      </c>
      <c r="AI331">
        <v>0</v>
      </c>
      <c r="AJ331">
        <v>0</v>
      </c>
      <c r="AK331">
        <v>0</v>
      </c>
      <c r="AL331">
        <v>0</v>
      </c>
      <c r="AM331">
        <v>0</v>
      </c>
      <c r="AN331">
        <v>0</v>
      </c>
      <c r="AO331">
        <v>0</v>
      </c>
      <c r="AP331">
        <v>0</v>
      </c>
      <c r="AQ331">
        <v>0</v>
      </c>
      <c r="AR331">
        <v>0</v>
      </c>
      <c r="AS331">
        <v>0</v>
      </c>
      <c r="AT331">
        <f t="shared" si="17"/>
        <v>-7.7879999999999994</v>
      </c>
      <c r="AU331">
        <f t="shared" si="15"/>
        <v>10.199999999999999</v>
      </c>
      <c r="AV331">
        <f t="shared" si="16"/>
        <v>860.93999999999994</v>
      </c>
      <c r="AW331">
        <v>110</v>
      </c>
      <c r="AX331">
        <v>760</v>
      </c>
      <c r="BC331" t="s">
        <v>60</v>
      </c>
    </row>
    <row r="332" spans="3:55" x14ac:dyDescent="0.45">
      <c r="C332">
        <v>89</v>
      </c>
      <c r="D332">
        <v>0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8</v>
      </c>
      <c r="M332">
        <v>3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20</v>
      </c>
      <c r="X332">
        <v>94</v>
      </c>
      <c r="Y332">
        <v>0</v>
      </c>
      <c r="Z332">
        <v>1</v>
      </c>
      <c r="AA332">
        <v>0</v>
      </c>
      <c r="AB332">
        <v>0</v>
      </c>
      <c r="AC332">
        <v>900</v>
      </c>
      <c r="AD332">
        <v>0.5</v>
      </c>
      <c r="AE332">
        <v>1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</v>
      </c>
      <c r="AL332">
        <v>0</v>
      </c>
      <c r="AM332">
        <v>0</v>
      </c>
      <c r="AN332">
        <v>0</v>
      </c>
      <c r="AO332">
        <v>0</v>
      </c>
      <c r="AP332">
        <v>0</v>
      </c>
      <c r="AQ332">
        <v>0</v>
      </c>
      <c r="AR332">
        <v>0</v>
      </c>
      <c r="AS332">
        <v>0</v>
      </c>
      <c r="AT332">
        <f t="shared" si="17"/>
        <v>8</v>
      </c>
      <c r="AU332">
        <f t="shared" si="15"/>
        <v>1</v>
      </c>
      <c r="AV332">
        <f t="shared" si="16"/>
        <v>818.6</v>
      </c>
      <c r="AW332">
        <v>66.900000000000006</v>
      </c>
      <c r="AX332">
        <v>365</v>
      </c>
      <c r="AY332">
        <v>768</v>
      </c>
      <c r="AZ332">
        <v>30.29</v>
      </c>
      <c r="BC332" t="s">
        <v>64</v>
      </c>
    </row>
    <row r="333" spans="3:55" x14ac:dyDescent="0.45">
      <c r="C333">
        <v>87</v>
      </c>
      <c r="D333">
        <v>0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8</v>
      </c>
      <c r="M333">
        <v>5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20</v>
      </c>
      <c r="X333">
        <v>94</v>
      </c>
      <c r="Y333">
        <v>0</v>
      </c>
      <c r="Z333">
        <v>1</v>
      </c>
      <c r="AA333">
        <v>0</v>
      </c>
      <c r="AB333">
        <v>0</v>
      </c>
      <c r="AC333">
        <v>900</v>
      </c>
      <c r="AD333">
        <v>0.5</v>
      </c>
      <c r="AE333">
        <v>1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  <c r="AL333">
        <v>0</v>
      </c>
      <c r="AM333">
        <v>0</v>
      </c>
      <c r="AN333">
        <v>0</v>
      </c>
      <c r="AO333">
        <v>0</v>
      </c>
      <c r="AP333">
        <v>0</v>
      </c>
      <c r="AQ333">
        <v>0</v>
      </c>
      <c r="AR333">
        <v>0</v>
      </c>
      <c r="AS333">
        <v>0</v>
      </c>
      <c r="AT333">
        <f t="shared" si="17"/>
        <v>8</v>
      </c>
      <c r="AU333">
        <f t="shared" si="15"/>
        <v>1.6666666666666667</v>
      </c>
      <c r="AV333">
        <f t="shared" si="16"/>
        <v>827</v>
      </c>
      <c r="AW333">
        <v>74.8</v>
      </c>
      <c r="AX333">
        <v>361</v>
      </c>
      <c r="AY333">
        <v>743</v>
      </c>
      <c r="AZ333">
        <v>29.44</v>
      </c>
      <c r="BC333" t="s">
        <v>64</v>
      </c>
    </row>
    <row r="334" spans="3:55" x14ac:dyDescent="0.45">
      <c r="C334">
        <v>85</v>
      </c>
      <c r="D334">
        <v>0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8</v>
      </c>
      <c r="M334">
        <v>7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20</v>
      </c>
      <c r="X334">
        <v>94</v>
      </c>
      <c r="Y334">
        <v>0</v>
      </c>
      <c r="Z334">
        <v>1</v>
      </c>
      <c r="AA334">
        <v>0</v>
      </c>
      <c r="AB334">
        <v>0</v>
      </c>
      <c r="AC334">
        <v>900</v>
      </c>
      <c r="AD334">
        <v>0.5</v>
      </c>
      <c r="AE334">
        <v>1</v>
      </c>
      <c r="AF334">
        <v>0</v>
      </c>
      <c r="AG334">
        <v>0</v>
      </c>
      <c r="AH334">
        <v>0</v>
      </c>
      <c r="AI334">
        <v>0</v>
      </c>
      <c r="AJ334">
        <v>0</v>
      </c>
      <c r="AK334">
        <v>0</v>
      </c>
      <c r="AL334">
        <v>0</v>
      </c>
      <c r="AM334">
        <v>0</v>
      </c>
      <c r="AN334">
        <v>0</v>
      </c>
      <c r="AO334">
        <v>0</v>
      </c>
      <c r="AP334">
        <v>0</v>
      </c>
      <c r="AQ334">
        <v>0</v>
      </c>
      <c r="AR334">
        <v>0</v>
      </c>
      <c r="AS334">
        <v>0</v>
      </c>
      <c r="AT334">
        <f t="shared" si="17"/>
        <v>8</v>
      </c>
      <c r="AU334">
        <f t="shared" si="15"/>
        <v>2.3333333333333335</v>
      </c>
      <c r="AV334">
        <f t="shared" si="16"/>
        <v>835.4</v>
      </c>
      <c r="AW334">
        <v>76.8</v>
      </c>
      <c r="AX334">
        <v>335</v>
      </c>
      <c r="AY334">
        <v>738</v>
      </c>
      <c r="AZ334">
        <v>24.527000000000001</v>
      </c>
      <c r="BC334" t="s">
        <v>64</v>
      </c>
    </row>
    <row r="335" spans="3:55" x14ac:dyDescent="0.45">
      <c r="C335">
        <v>83</v>
      </c>
      <c r="D335">
        <v>0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8</v>
      </c>
      <c r="M335">
        <v>9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20</v>
      </c>
      <c r="X335">
        <v>94</v>
      </c>
      <c r="Y335">
        <v>0</v>
      </c>
      <c r="Z335">
        <v>1</v>
      </c>
      <c r="AA335">
        <v>0</v>
      </c>
      <c r="AB335">
        <v>0</v>
      </c>
      <c r="AC335">
        <v>900</v>
      </c>
      <c r="AD335">
        <v>0.5</v>
      </c>
      <c r="AE335">
        <v>1</v>
      </c>
      <c r="AF335">
        <v>0</v>
      </c>
      <c r="AG335">
        <v>0</v>
      </c>
      <c r="AH335">
        <v>0</v>
      </c>
      <c r="AI335">
        <v>0</v>
      </c>
      <c r="AJ335">
        <v>0</v>
      </c>
      <c r="AK335">
        <v>0</v>
      </c>
      <c r="AL335">
        <v>0</v>
      </c>
      <c r="AM335">
        <v>0</v>
      </c>
      <c r="AN335">
        <v>0</v>
      </c>
      <c r="AO335">
        <v>0</v>
      </c>
      <c r="AP335">
        <v>0</v>
      </c>
      <c r="AQ335">
        <v>0</v>
      </c>
      <c r="AR335">
        <v>0</v>
      </c>
      <c r="AS335">
        <v>0</v>
      </c>
      <c r="AT335">
        <f t="shared" si="17"/>
        <v>8</v>
      </c>
      <c r="AU335">
        <f t="shared" si="15"/>
        <v>3</v>
      </c>
      <c r="AV335">
        <f t="shared" si="16"/>
        <v>843.8</v>
      </c>
      <c r="AW335">
        <v>68.7</v>
      </c>
      <c r="AX335">
        <v>303</v>
      </c>
      <c r="AY335">
        <v>813</v>
      </c>
      <c r="AZ335">
        <v>10.81</v>
      </c>
      <c r="BC335" t="s">
        <v>64</v>
      </c>
    </row>
    <row r="336" spans="3:55" x14ac:dyDescent="0.45">
      <c r="C336">
        <v>81</v>
      </c>
      <c r="D336">
        <v>0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8</v>
      </c>
      <c r="M336">
        <v>11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20</v>
      </c>
      <c r="X336">
        <v>94</v>
      </c>
      <c r="Y336">
        <v>0</v>
      </c>
      <c r="Z336">
        <v>1</v>
      </c>
      <c r="AA336">
        <v>0</v>
      </c>
      <c r="AB336">
        <v>0</v>
      </c>
      <c r="AC336">
        <v>900</v>
      </c>
      <c r="AD336">
        <v>0.5</v>
      </c>
      <c r="AE336">
        <v>1</v>
      </c>
      <c r="AF336">
        <v>0</v>
      </c>
      <c r="AG336">
        <v>0</v>
      </c>
      <c r="AH336">
        <v>0</v>
      </c>
      <c r="AI336">
        <v>0</v>
      </c>
      <c r="AJ336">
        <v>0</v>
      </c>
      <c r="AK336">
        <v>0</v>
      </c>
      <c r="AL336">
        <v>0</v>
      </c>
      <c r="AM336">
        <v>0</v>
      </c>
      <c r="AN336">
        <v>0</v>
      </c>
      <c r="AO336">
        <v>0</v>
      </c>
      <c r="AP336">
        <v>0</v>
      </c>
      <c r="AQ336">
        <v>0</v>
      </c>
      <c r="AR336">
        <v>0</v>
      </c>
      <c r="AS336">
        <v>0</v>
      </c>
      <c r="AT336">
        <f t="shared" si="17"/>
        <v>8</v>
      </c>
      <c r="AU336">
        <f t="shared" si="15"/>
        <v>3.6666666666666665</v>
      </c>
      <c r="AV336">
        <f t="shared" si="16"/>
        <v>852.2</v>
      </c>
      <c r="AW336">
        <v>58.4</v>
      </c>
      <c r="AX336">
        <v>193</v>
      </c>
      <c r="AY336">
        <v>827</v>
      </c>
      <c r="AZ336">
        <v>6.44</v>
      </c>
      <c r="BC336" t="s">
        <v>64</v>
      </c>
    </row>
    <row r="337" spans="3:55" x14ac:dyDescent="0.45">
      <c r="C337">
        <v>79</v>
      </c>
      <c r="D337">
        <v>0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8</v>
      </c>
      <c r="M337">
        <v>13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20</v>
      </c>
      <c r="X337">
        <v>94</v>
      </c>
      <c r="Y337">
        <v>0</v>
      </c>
      <c r="Z337">
        <v>1</v>
      </c>
      <c r="AA337">
        <v>0</v>
      </c>
      <c r="AB337">
        <v>0</v>
      </c>
      <c r="AC337">
        <v>900</v>
      </c>
      <c r="AD337">
        <v>0.5</v>
      </c>
      <c r="AE337">
        <v>1</v>
      </c>
      <c r="AF337">
        <v>0</v>
      </c>
      <c r="AG337">
        <v>0</v>
      </c>
      <c r="AH337">
        <v>0</v>
      </c>
      <c r="AI337">
        <v>0</v>
      </c>
      <c r="AJ337">
        <v>0</v>
      </c>
      <c r="AK337">
        <v>0</v>
      </c>
      <c r="AL337">
        <v>0</v>
      </c>
      <c r="AM337">
        <v>0</v>
      </c>
      <c r="AN337">
        <v>0</v>
      </c>
      <c r="AO337">
        <v>0</v>
      </c>
      <c r="AP337">
        <v>0</v>
      </c>
      <c r="AQ337">
        <v>0</v>
      </c>
      <c r="AR337">
        <v>0</v>
      </c>
      <c r="AS337">
        <v>0</v>
      </c>
      <c r="AT337">
        <f t="shared" si="17"/>
        <v>8</v>
      </c>
      <c r="AU337">
        <f t="shared" si="15"/>
        <v>4.333333333333333</v>
      </c>
      <c r="AV337">
        <f t="shared" si="16"/>
        <v>860.6</v>
      </c>
      <c r="AW337">
        <v>50.2</v>
      </c>
      <c r="AX337">
        <v>512</v>
      </c>
      <c r="AY337">
        <v>899</v>
      </c>
      <c r="AZ337">
        <v>11.11</v>
      </c>
      <c r="BC337" t="s">
        <v>64</v>
      </c>
    </row>
    <row r="338" spans="3:55" x14ac:dyDescent="0.45">
      <c r="C338">
        <v>77</v>
      </c>
      <c r="D338">
        <v>0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8</v>
      </c>
      <c r="M338">
        <v>15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20</v>
      </c>
      <c r="X338">
        <v>94</v>
      </c>
      <c r="Y338">
        <v>0</v>
      </c>
      <c r="Z338">
        <v>1</v>
      </c>
      <c r="AA338">
        <v>0</v>
      </c>
      <c r="AB338">
        <v>0</v>
      </c>
      <c r="AC338">
        <v>900</v>
      </c>
      <c r="AD338">
        <v>0.5</v>
      </c>
      <c r="AE338">
        <v>1</v>
      </c>
      <c r="AF338">
        <v>0</v>
      </c>
      <c r="AG338">
        <v>0</v>
      </c>
      <c r="AH338">
        <v>0</v>
      </c>
      <c r="AI338">
        <v>0</v>
      </c>
      <c r="AJ338">
        <v>0</v>
      </c>
      <c r="AK338">
        <v>0</v>
      </c>
      <c r="AL338">
        <v>0</v>
      </c>
      <c r="AM338">
        <v>0</v>
      </c>
      <c r="AN338">
        <v>0</v>
      </c>
      <c r="AO338">
        <v>0</v>
      </c>
      <c r="AP338">
        <v>0</v>
      </c>
      <c r="AQ338">
        <v>0</v>
      </c>
      <c r="AR338">
        <v>0</v>
      </c>
      <c r="AS338">
        <v>0</v>
      </c>
      <c r="AT338">
        <f t="shared" si="17"/>
        <v>8</v>
      </c>
      <c r="AU338">
        <f t="shared" si="15"/>
        <v>5</v>
      </c>
      <c r="AV338">
        <f t="shared" si="16"/>
        <v>869</v>
      </c>
      <c r="AW338">
        <v>46.8</v>
      </c>
      <c r="AX338">
        <v>732</v>
      </c>
      <c r="AY338">
        <v>801</v>
      </c>
      <c r="AZ338">
        <v>19.739999999999998</v>
      </c>
      <c r="BC338" t="s">
        <v>117</v>
      </c>
    </row>
    <row r="339" spans="3:55" x14ac:dyDescent="0.45">
      <c r="C339">
        <v>89.84</v>
      </c>
      <c r="D339">
        <v>0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7.24</v>
      </c>
      <c r="M339">
        <v>2.92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1</v>
      </c>
      <c r="W339">
        <v>0</v>
      </c>
      <c r="X339">
        <v>0</v>
      </c>
      <c r="Y339">
        <v>0</v>
      </c>
      <c r="Z339">
        <v>1</v>
      </c>
      <c r="AA339">
        <v>0</v>
      </c>
      <c r="AB339">
        <v>0</v>
      </c>
      <c r="AC339">
        <v>0</v>
      </c>
      <c r="AD339">
        <v>0</v>
      </c>
      <c r="AE339">
        <v>1</v>
      </c>
      <c r="AF339">
        <v>0</v>
      </c>
      <c r="AG339">
        <v>0</v>
      </c>
      <c r="AH339">
        <v>0</v>
      </c>
      <c r="AI339">
        <v>0</v>
      </c>
      <c r="AJ339">
        <v>0</v>
      </c>
      <c r="AK339">
        <v>0</v>
      </c>
      <c r="AL339">
        <v>0</v>
      </c>
      <c r="AM339">
        <v>0</v>
      </c>
      <c r="AN339">
        <v>0</v>
      </c>
      <c r="AO339">
        <v>0</v>
      </c>
      <c r="AP339">
        <v>0</v>
      </c>
      <c r="AQ339">
        <v>0</v>
      </c>
      <c r="AR339">
        <v>0</v>
      </c>
      <c r="AS339">
        <v>0</v>
      </c>
      <c r="AT339">
        <f t="shared" si="17"/>
        <v>7.24</v>
      </c>
      <c r="AU339">
        <f t="shared" si="15"/>
        <v>0.97333333333333327</v>
      </c>
      <c r="AV339">
        <f t="shared" si="16"/>
        <v>825.48400000000004</v>
      </c>
      <c r="AW339">
        <v>66</v>
      </c>
      <c r="AX339">
        <v>650</v>
      </c>
      <c r="BC339" t="s">
        <v>60</v>
      </c>
    </row>
    <row r="340" spans="3:55" x14ac:dyDescent="0.45">
      <c r="C340">
        <v>94.36</v>
      </c>
      <c r="D340">
        <v>0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4.87</v>
      </c>
      <c r="M340">
        <v>0.77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1</v>
      </c>
      <c r="W340">
        <v>0</v>
      </c>
      <c r="X340">
        <v>0</v>
      </c>
      <c r="Y340">
        <v>0</v>
      </c>
      <c r="Z340">
        <v>1</v>
      </c>
      <c r="AA340">
        <v>0</v>
      </c>
      <c r="AB340">
        <v>0</v>
      </c>
      <c r="AC340">
        <v>0</v>
      </c>
      <c r="AD340">
        <v>0</v>
      </c>
      <c r="AE340">
        <v>1</v>
      </c>
      <c r="AF340">
        <v>0</v>
      </c>
      <c r="AG340">
        <v>0</v>
      </c>
      <c r="AH340">
        <v>0</v>
      </c>
      <c r="AI340">
        <v>0</v>
      </c>
      <c r="AJ340">
        <v>0</v>
      </c>
      <c r="AK340">
        <v>0</v>
      </c>
      <c r="AL340">
        <v>0</v>
      </c>
      <c r="AM340">
        <v>0</v>
      </c>
      <c r="AN340">
        <v>0</v>
      </c>
      <c r="AO340">
        <v>0</v>
      </c>
      <c r="AP340">
        <v>0</v>
      </c>
      <c r="AQ340">
        <v>0</v>
      </c>
      <c r="AR340">
        <v>0</v>
      </c>
      <c r="AS340">
        <v>0</v>
      </c>
      <c r="AT340">
        <f t="shared" si="17"/>
        <v>4.87</v>
      </c>
      <c r="AU340">
        <f t="shared" si="15"/>
        <v>0.25666666666666665</v>
      </c>
      <c r="AV340">
        <f t="shared" si="16"/>
        <v>838.96900000000005</v>
      </c>
      <c r="AW340">
        <v>89</v>
      </c>
      <c r="AX340">
        <v>511</v>
      </c>
      <c r="BC340" t="s">
        <v>60</v>
      </c>
    </row>
    <row r="341" spans="3:55" x14ac:dyDescent="0.45">
      <c r="C341">
        <v>92.41</v>
      </c>
      <c r="D341">
        <v>0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4.7300000000000004</v>
      </c>
      <c r="M341">
        <v>2.86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1</v>
      </c>
      <c r="W341">
        <v>0</v>
      </c>
      <c r="X341">
        <v>0</v>
      </c>
      <c r="Y341">
        <v>0</v>
      </c>
      <c r="Z341">
        <v>1</v>
      </c>
      <c r="AA341">
        <v>0</v>
      </c>
      <c r="AB341">
        <v>0</v>
      </c>
      <c r="AC341">
        <v>0</v>
      </c>
      <c r="AD341">
        <v>0</v>
      </c>
      <c r="AE341">
        <v>1</v>
      </c>
      <c r="AF341">
        <v>0</v>
      </c>
      <c r="AG341">
        <v>0</v>
      </c>
      <c r="AH341">
        <v>0</v>
      </c>
      <c r="AI341">
        <v>0</v>
      </c>
      <c r="AJ341">
        <v>0</v>
      </c>
      <c r="AK341">
        <v>0</v>
      </c>
      <c r="AL341">
        <v>0</v>
      </c>
      <c r="AM341">
        <v>0</v>
      </c>
      <c r="AN341">
        <v>0</v>
      </c>
      <c r="AO341">
        <v>0</v>
      </c>
      <c r="AP341">
        <v>0</v>
      </c>
      <c r="AQ341">
        <v>0</v>
      </c>
      <c r="AR341">
        <v>0</v>
      </c>
      <c r="AS341">
        <v>0</v>
      </c>
      <c r="AT341">
        <f t="shared" si="17"/>
        <v>4.7300000000000004</v>
      </c>
      <c r="AU341">
        <f t="shared" si="15"/>
        <v>0.95333333333333325</v>
      </c>
      <c r="AV341">
        <f t="shared" si="16"/>
        <v>849.077</v>
      </c>
      <c r="AW341">
        <v>78</v>
      </c>
      <c r="AX341">
        <v>441</v>
      </c>
      <c r="BC341" t="s">
        <v>60</v>
      </c>
    </row>
    <row r="342" spans="3:55" x14ac:dyDescent="0.45">
      <c r="C342">
        <v>87.5</v>
      </c>
      <c r="D342">
        <v>0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6.25</v>
      </c>
      <c r="M342">
        <v>6.25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1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0</v>
      </c>
      <c r="AI342">
        <v>0</v>
      </c>
      <c r="AJ342">
        <v>0</v>
      </c>
      <c r="AK342">
        <v>0</v>
      </c>
      <c r="AL342">
        <v>0</v>
      </c>
      <c r="AM342">
        <v>0</v>
      </c>
      <c r="AN342">
        <v>0</v>
      </c>
      <c r="AO342">
        <v>0</v>
      </c>
      <c r="AP342">
        <v>0</v>
      </c>
      <c r="AQ342">
        <v>0</v>
      </c>
      <c r="AR342">
        <v>0</v>
      </c>
      <c r="AS342">
        <v>0</v>
      </c>
      <c r="AT342">
        <f t="shared" si="17"/>
        <v>6.25</v>
      </c>
      <c r="AU342">
        <f t="shared" si="15"/>
        <v>2.0833333333333335</v>
      </c>
      <c r="AV342">
        <f t="shared" si="16"/>
        <v>848.875</v>
      </c>
      <c r="AW342">
        <v>70</v>
      </c>
    </row>
    <row r="343" spans="3:55" x14ac:dyDescent="0.45">
      <c r="C343">
        <v>75.8</v>
      </c>
      <c r="D343">
        <v>0</v>
      </c>
      <c r="E343">
        <v>0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10.8</v>
      </c>
      <c r="M343">
        <v>13.4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1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0</v>
      </c>
      <c r="AI343">
        <v>0</v>
      </c>
      <c r="AJ343">
        <v>0</v>
      </c>
      <c r="AK343">
        <v>0</v>
      </c>
      <c r="AL343">
        <v>0</v>
      </c>
      <c r="AM343">
        <v>0</v>
      </c>
      <c r="AN343">
        <v>0</v>
      </c>
      <c r="AO343">
        <v>0</v>
      </c>
      <c r="AP343">
        <v>0</v>
      </c>
      <c r="AQ343">
        <v>0</v>
      </c>
      <c r="AR343">
        <v>0</v>
      </c>
      <c r="AS343">
        <v>0</v>
      </c>
      <c r="AT343">
        <f t="shared" si="17"/>
        <v>10.8</v>
      </c>
      <c r="AU343">
        <f t="shared" si="15"/>
        <v>4.4666666666666668</v>
      </c>
      <c r="AV343">
        <f t="shared" si="16"/>
        <v>835.68</v>
      </c>
      <c r="AW343">
        <v>70</v>
      </c>
    </row>
    <row r="344" spans="3:55" x14ac:dyDescent="0.45">
      <c r="C344">
        <v>92.5</v>
      </c>
      <c r="D344">
        <v>5</v>
      </c>
      <c r="E344">
        <v>0</v>
      </c>
      <c r="F344">
        <v>0</v>
      </c>
      <c r="G344">
        <v>0</v>
      </c>
      <c r="H344">
        <v>2.5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1</v>
      </c>
      <c r="W344">
        <v>0</v>
      </c>
      <c r="X344">
        <v>0</v>
      </c>
      <c r="Y344">
        <v>0</v>
      </c>
      <c r="Z344">
        <v>1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0</v>
      </c>
      <c r="AL344">
        <v>0</v>
      </c>
      <c r="AM344">
        <v>0</v>
      </c>
      <c r="AN344">
        <v>0</v>
      </c>
      <c r="AO344">
        <v>0</v>
      </c>
      <c r="AP344">
        <v>0</v>
      </c>
      <c r="AQ344">
        <v>0</v>
      </c>
      <c r="AR344">
        <v>0</v>
      </c>
      <c r="AS344">
        <v>0</v>
      </c>
      <c r="AT344">
        <f t="shared" si="17"/>
        <v>2.25</v>
      </c>
      <c r="AU344">
        <f t="shared" si="15"/>
        <v>5</v>
      </c>
      <c r="AV344">
        <f t="shared" si="16"/>
        <v>854</v>
      </c>
      <c r="AW344">
        <v>112</v>
      </c>
      <c r="AX344">
        <v>895</v>
      </c>
      <c r="AY344">
        <v>1020</v>
      </c>
      <c r="AZ344">
        <v>15</v>
      </c>
      <c r="BC344" t="s">
        <v>118</v>
      </c>
    </row>
    <row r="345" spans="3:55" x14ac:dyDescent="0.45">
      <c r="C345">
        <v>94.688000000000002</v>
      </c>
      <c r="D345">
        <v>3.79</v>
      </c>
      <c r="E345">
        <v>0</v>
      </c>
      <c r="F345">
        <v>0</v>
      </c>
      <c r="G345">
        <v>0</v>
      </c>
      <c r="H345">
        <v>3.5999999999999997E-2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1</v>
      </c>
      <c r="Z345">
        <v>0</v>
      </c>
      <c r="AA345">
        <v>0</v>
      </c>
      <c r="AB345">
        <v>0</v>
      </c>
      <c r="AC345">
        <v>945</v>
      </c>
      <c r="AD345">
        <v>0.5</v>
      </c>
      <c r="AE345">
        <v>0</v>
      </c>
      <c r="AF345">
        <v>1</v>
      </c>
      <c r="AG345">
        <v>0</v>
      </c>
      <c r="AH345">
        <v>0</v>
      </c>
      <c r="AI345">
        <v>0</v>
      </c>
      <c r="AJ345">
        <v>0</v>
      </c>
      <c r="AK345">
        <v>0</v>
      </c>
      <c r="AL345">
        <v>0</v>
      </c>
      <c r="AM345">
        <v>0</v>
      </c>
      <c r="AN345">
        <v>0</v>
      </c>
      <c r="AO345">
        <v>0</v>
      </c>
      <c r="AP345">
        <v>0</v>
      </c>
      <c r="AQ345">
        <v>0</v>
      </c>
      <c r="AR345">
        <v>0</v>
      </c>
      <c r="AS345">
        <v>0</v>
      </c>
      <c r="AT345">
        <f t="shared" si="17"/>
        <v>-3.6856</v>
      </c>
      <c r="AU345">
        <f t="shared" si="15"/>
        <v>3.79</v>
      </c>
      <c r="AV345">
        <f t="shared" si="16"/>
        <v>889.40459999999996</v>
      </c>
      <c r="BC345" t="s">
        <v>119</v>
      </c>
    </row>
    <row r="346" spans="3:55" x14ac:dyDescent="0.45">
      <c r="C346">
        <v>94.688000000000002</v>
      </c>
      <c r="D346">
        <v>3.79</v>
      </c>
      <c r="E346">
        <v>0</v>
      </c>
      <c r="F346">
        <v>0</v>
      </c>
      <c r="G346">
        <v>0</v>
      </c>
      <c r="H346">
        <v>3.5999999999999997E-2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1</v>
      </c>
      <c r="Z346">
        <v>0</v>
      </c>
      <c r="AA346">
        <v>0</v>
      </c>
      <c r="AB346">
        <v>0</v>
      </c>
      <c r="AC346">
        <v>955</v>
      </c>
      <c r="AD346">
        <v>0.5</v>
      </c>
      <c r="AE346">
        <v>0</v>
      </c>
      <c r="AF346">
        <v>1</v>
      </c>
      <c r="AG346">
        <v>0</v>
      </c>
      <c r="AH346">
        <v>0</v>
      </c>
      <c r="AI346">
        <v>0</v>
      </c>
      <c r="AJ346">
        <v>0</v>
      </c>
      <c r="AK346">
        <v>0</v>
      </c>
      <c r="AL346">
        <v>0</v>
      </c>
      <c r="AM346">
        <v>0</v>
      </c>
      <c r="AN346">
        <v>0</v>
      </c>
      <c r="AO346">
        <v>0</v>
      </c>
      <c r="AP346">
        <v>0</v>
      </c>
      <c r="AQ346">
        <v>0</v>
      </c>
      <c r="AR346">
        <v>0</v>
      </c>
      <c r="AS346">
        <v>0</v>
      </c>
      <c r="AT346">
        <f t="shared" si="17"/>
        <v>-3.6856</v>
      </c>
      <c r="AU346">
        <f t="shared" si="15"/>
        <v>3.79</v>
      </c>
      <c r="AV346">
        <f t="shared" si="16"/>
        <v>889.40459999999996</v>
      </c>
      <c r="BC346" t="s">
        <v>119</v>
      </c>
    </row>
    <row r="347" spans="3:55" x14ac:dyDescent="0.45">
      <c r="C347">
        <v>94.688000000000002</v>
      </c>
      <c r="D347">
        <v>3.79</v>
      </c>
      <c r="E347">
        <v>0</v>
      </c>
      <c r="F347">
        <v>0</v>
      </c>
      <c r="G347">
        <v>0</v>
      </c>
      <c r="H347">
        <v>3.5999999999999997E-2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1</v>
      </c>
      <c r="Z347">
        <v>0</v>
      </c>
      <c r="AA347">
        <v>0</v>
      </c>
      <c r="AB347">
        <v>0</v>
      </c>
      <c r="AC347">
        <v>965</v>
      </c>
      <c r="AD347">
        <v>0.5</v>
      </c>
      <c r="AE347">
        <v>0</v>
      </c>
      <c r="AF347">
        <v>1</v>
      </c>
      <c r="AG347">
        <v>0</v>
      </c>
      <c r="AH347">
        <v>0</v>
      </c>
      <c r="AI347">
        <v>0</v>
      </c>
      <c r="AJ347">
        <v>0</v>
      </c>
      <c r="AK347">
        <v>0</v>
      </c>
      <c r="AL347">
        <v>0</v>
      </c>
      <c r="AM347">
        <v>0</v>
      </c>
      <c r="AN347">
        <v>0</v>
      </c>
      <c r="AO347">
        <v>0</v>
      </c>
      <c r="AP347">
        <v>0</v>
      </c>
      <c r="AQ347">
        <v>0</v>
      </c>
      <c r="AR347">
        <v>0</v>
      </c>
      <c r="AS347">
        <v>0</v>
      </c>
      <c r="AT347">
        <f t="shared" si="17"/>
        <v>-3.6856</v>
      </c>
      <c r="AU347">
        <f t="shared" si="15"/>
        <v>3.79</v>
      </c>
      <c r="AV347">
        <f t="shared" si="16"/>
        <v>889.40459999999996</v>
      </c>
      <c r="BC347" t="s">
        <v>119</v>
      </c>
    </row>
    <row r="348" spans="3:55" x14ac:dyDescent="0.45">
      <c r="C348">
        <v>95.114999999999995</v>
      </c>
      <c r="D348">
        <v>2.92</v>
      </c>
      <c r="E348">
        <v>0</v>
      </c>
      <c r="F348">
        <v>0</v>
      </c>
      <c r="G348">
        <v>0</v>
      </c>
      <c r="H348">
        <v>1.84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1</v>
      </c>
      <c r="Z348">
        <v>0</v>
      </c>
      <c r="AA348">
        <v>0</v>
      </c>
      <c r="AB348">
        <v>0</v>
      </c>
      <c r="AC348">
        <v>845</v>
      </c>
      <c r="AD348">
        <v>0.5</v>
      </c>
      <c r="AE348">
        <v>1</v>
      </c>
      <c r="AF348">
        <v>0</v>
      </c>
      <c r="AG348">
        <v>0</v>
      </c>
      <c r="AH348">
        <v>520</v>
      </c>
      <c r="AI348">
        <v>8</v>
      </c>
      <c r="AJ348">
        <v>0</v>
      </c>
      <c r="AK348">
        <v>1</v>
      </c>
      <c r="AL348">
        <v>0</v>
      </c>
      <c r="AM348">
        <v>0</v>
      </c>
      <c r="AN348">
        <v>0</v>
      </c>
      <c r="AO348">
        <v>0</v>
      </c>
      <c r="AP348">
        <v>0</v>
      </c>
      <c r="AQ348">
        <v>0</v>
      </c>
      <c r="AR348">
        <v>0</v>
      </c>
      <c r="AS348">
        <v>0</v>
      </c>
      <c r="AT348">
        <f t="shared" si="17"/>
        <v>2.4160000000000004</v>
      </c>
      <c r="AU348">
        <f t="shared" si="15"/>
        <v>2.92</v>
      </c>
      <c r="AV348">
        <f t="shared" si="16"/>
        <v>859.79599999999994</v>
      </c>
      <c r="AX348">
        <v>1245</v>
      </c>
      <c r="AY348">
        <v>1300</v>
      </c>
      <c r="AZ348">
        <v>3.8</v>
      </c>
      <c r="BC348" t="s">
        <v>108</v>
      </c>
    </row>
    <row r="349" spans="3:55" x14ac:dyDescent="0.45">
      <c r="C349">
        <v>95.114999999999995</v>
      </c>
      <c r="D349">
        <v>2.92</v>
      </c>
      <c r="E349">
        <v>0</v>
      </c>
      <c r="F349">
        <v>0</v>
      </c>
      <c r="G349">
        <v>0</v>
      </c>
      <c r="H349">
        <v>1.84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1</v>
      </c>
      <c r="Z349">
        <v>0</v>
      </c>
      <c r="AA349">
        <v>0</v>
      </c>
      <c r="AB349">
        <v>0</v>
      </c>
      <c r="AC349">
        <v>845</v>
      </c>
      <c r="AD349">
        <v>0.5</v>
      </c>
      <c r="AE349">
        <v>1</v>
      </c>
      <c r="AF349">
        <v>0</v>
      </c>
      <c r="AG349">
        <v>0</v>
      </c>
      <c r="AH349">
        <v>300</v>
      </c>
      <c r="AI349">
        <v>8</v>
      </c>
      <c r="AJ349">
        <v>0</v>
      </c>
      <c r="AK349">
        <v>1</v>
      </c>
      <c r="AL349">
        <v>0</v>
      </c>
      <c r="AM349">
        <v>0</v>
      </c>
      <c r="AN349">
        <v>0</v>
      </c>
      <c r="AO349">
        <v>0</v>
      </c>
      <c r="AP349">
        <v>0</v>
      </c>
      <c r="AQ349">
        <v>0</v>
      </c>
      <c r="AR349">
        <v>0</v>
      </c>
      <c r="AS349">
        <v>0</v>
      </c>
      <c r="AT349">
        <f t="shared" si="17"/>
        <v>2.4160000000000004</v>
      </c>
      <c r="AU349">
        <f t="shared" si="15"/>
        <v>2.92</v>
      </c>
      <c r="AV349">
        <f t="shared" si="16"/>
        <v>859.79599999999994</v>
      </c>
      <c r="AX349">
        <v>1230</v>
      </c>
      <c r="AY349">
        <v>1300</v>
      </c>
      <c r="AZ349">
        <v>4</v>
      </c>
      <c r="BB349" t="s">
        <v>262</v>
      </c>
      <c r="BC349" t="s">
        <v>108</v>
      </c>
    </row>
    <row r="350" spans="3:55" x14ac:dyDescent="0.45">
      <c r="C350">
        <v>95.114999999999995</v>
      </c>
      <c r="D350">
        <v>2.92</v>
      </c>
      <c r="E350">
        <v>0</v>
      </c>
      <c r="F350">
        <v>0</v>
      </c>
      <c r="G350">
        <v>0</v>
      </c>
      <c r="H350">
        <v>1.84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1</v>
      </c>
      <c r="Z350">
        <v>0</v>
      </c>
      <c r="AA350">
        <v>0</v>
      </c>
      <c r="AB350">
        <v>0</v>
      </c>
      <c r="AC350">
        <v>760</v>
      </c>
      <c r="AD350">
        <v>2</v>
      </c>
      <c r="AE350">
        <v>1</v>
      </c>
      <c r="AF350">
        <v>0</v>
      </c>
      <c r="AG350">
        <v>0</v>
      </c>
      <c r="AH350">
        <v>520</v>
      </c>
      <c r="AI350">
        <v>8</v>
      </c>
      <c r="AJ350">
        <v>0</v>
      </c>
      <c r="AK350">
        <v>1</v>
      </c>
      <c r="AL350">
        <v>0</v>
      </c>
      <c r="AM350">
        <v>0</v>
      </c>
      <c r="AN350">
        <v>0</v>
      </c>
      <c r="AO350">
        <v>0</v>
      </c>
      <c r="AP350">
        <v>0</v>
      </c>
      <c r="AQ350">
        <v>0</v>
      </c>
      <c r="AR350">
        <v>0</v>
      </c>
      <c r="AS350">
        <v>0</v>
      </c>
      <c r="AT350">
        <f t="shared" si="17"/>
        <v>2.4160000000000004</v>
      </c>
      <c r="AU350">
        <f t="shared" si="15"/>
        <v>2.92</v>
      </c>
      <c r="AV350">
        <f t="shared" si="16"/>
        <v>859.79599999999994</v>
      </c>
      <c r="AX350">
        <v>1150</v>
      </c>
      <c r="AY350">
        <v>1170</v>
      </c>
      <c r="AZ350">
        <v>12</v>
      </c>
      <c r="BC350" t="s">
        <v>108</v>
      </c>
    </row>
    <row r="351" spans="3:55" x14ac:dyDescent="0.45">
      <c r="C351">
        <v>95.114999999999995</v>
      </c>
      <c r="D351">
        <v>2.92</v>
      </c>
      <c r="E351">
        <v>0</v>
      </c>
      <c r="F351">
        <v>0</v>
      </c>
      <c r="G351">
        <v>0</v>
      </c>
      <c r="H351">
        <v>1.84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740</v>
      </c>
      <c r="X351">
        <v>40</v>
      </c>
      <c r="Y351">
        <v>0</v>
      </c>
      <c r="Z351">
        <v>1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500</v>
      </c>
      <c r="AI351">
        <v>8</v>
      </c>
      <c r="AJ351">
        <v>0</v>
      </c>
      <c r="AK351">
        <v>1</v>
      </c>
      <c r="AL351">
        <v>0</v>
      </c>
      <c r="AM351">
        <v>0</v>
      </c>
      <c r="AN351">
        <v>0</v>
      </c>
      <c r="AO351">
        <v>0</v>
      </c>
      <c r="AP351">
        <v>0</v>
      </c>
      <c r="AQ351">
        <v>0</v>
      </c>
      <c r="AR351">
        <v>0</v>
      </c>
      <c r="AS351">
        <v>0</v>
      </c>
      <c r="AT351">
        <f t="shared" si="17"/>
        <v>2.4160000000000004</v>
      </c>
      <c r="AU351">
        <f t="shared" si="15"/>
        <v>2.92</v>
      </c>
      <c r="AV351">
        <f t="shared" si="16"/>
        <v>859.79599999999994</v>
      </c>
      <c r="AX351">
        <v>1096.01</v>
      </c>
      <c r="AY351">
        <v>1104.43</v>
      </c>
      <c r="AZ351">
        <v>12.867800000000001</v>
      </c>
      <c r="BC351" t="s">
        <v>108</v>
      </c>
    </row>
    <row r="352" spans="3:55" x14ac:dyDescent="0.45">
      <c r="C352">
        <v>95.114999999999995</v>
      </c>
      <c r="D352">
        <v>2.92</v>
      </c>
      <c r="E352">
        <v>0</v>
      </c>
      <c r="F352">
        <v>0</v>
      </c>
      <c r="G352">
        <v>0</v>
      </c>
      <c r="H352">
        <v>1.84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780</v>
      </c>
      <c r="X352">
        <v>40</v>
      </c>
      <c r="Y352">
        <v>0</v>
      </c>
      <c r="Z352">
        <v>1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500</v>
      </c>
      <c r="AI352">
        <v>8</v>
      </c>
      <c r="AJ352">
        <v>0</v>
      </c>
      <c r="AK352">
        <v>1</v>
      </c>
      <c r="AL352">
        <v>0</v>
      </c>
      <c r="AM352">
        <v>0</v>
      </c>
      <c r="AN352">
        <v>0</v>
      </c>
      <c r="AO352">
        <v>0</v>
      </c>
      <c r="AP352">
        <v>0</v>
      </c>
      <c r="AQ352">
        <v>0</v>
      </c>
      <c r="AR352">
        <v>0</v>
      </c>
      <c r="AS352">
        <v>0</v>
      </c>
      <c r="AT352">
        <f t="shared" si="17"/>
        <v>2.4160000000000004</v>
      </c>
      <c r="AU352">
        <f t="shared" si="15"/>
        <v>2.92</v>
      </c>
      <c r="AV352">
        <f t="shared" si="16"/>
        <v>859.79599999999994</v>
      </c>
      <c r="AX352">
        <v>1113.93</v>
      </c>
      <c r="AY352">
        <v>1149.71</v>
      </c>
      <c r="AZ352">
        <v>11.575699999999999</v>
      </c>
      <c r="BC352" t="s">
        <v>108</v>
      </c>
    </row>
    <row r="353" spans="3:55" x14ac:dyDescent="0.45">
      <c r="C353">
        <v>95.114999999999995</v>
      </c>
      <c r="D353">
        <v>2.92</v>
      </c>
      <c r="E353">
        <v>0</v>
      </c>
      <c r="F353">
        <v>0</v>
      </c>
      <c r="G353">
        <v>0</v>
      </c>
      <c r="H353">
        <v>1.84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845</v>
      </c>
      <c r="X353">
        <v>40</v>
      </c>
      <c r="Y353">
        <v>0</v>
      </c>
      <c r="Z353">
        <v>1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500</v>
      </c>
      <c r="AI353">
        <v>8</v>
      </c>
      <c r="AJ353">
        <v>0</v>
      </c>
      <c r="AK353">
        <v>1</v>
      </c>
      <c r="AL353">
        <v>0</v>
      </c>
      <c r="AM353">
        <v>0</v>
      </c>
      <c r="AN353">
        <v>0</v>
      </c>
      <c r="AO353">
        <v>0</v>
      </c>
      <c r="AP353">
        <v>0</v>
      </c>
      <c r="AQ353">
        <v>0</v>
      </c>
      <c r="AR353">
        <v>0</v>
      </c>
      <c r="AS353">
        <v>0</v>
      </c>
      <c r="AT353">
        <f t="shared" si="17"/>
        <v>2.4160000000000004</v>
      </c>
      <c r="AU353">
        <f t="shared" si="15"/>
        <v>2.92</v>
      </c>
      <c r="AV353">
        <f t="shared" si="16"/>
        <v>859.79599999999994</v>
      </c>
      <c r="AX353">
        <v>1270.0999999999999</v>
      </c>
      <c r="AY353">
        <v>1327.61</v>
      </c>
      <c r="AZ353">
        <v>2.5588600000000001</v>
      </c>
      <c r="BC353" t="s">
        <v>108</v>
      </c>
    </row>
    <row r="354" spans="3:55" x14ac:dyDescent="0.45">
      <c r="C354">
        <v>95.114999999999995</v>
      </c>
      <c r="D354">
        <v>2.92</v>
      </c>
      <c r="E354">
        <v>0</v>
      </c>
      <c r="F354">
        <v>0</v>
      </c>
      <c r="G354">
        <v>0</v>
      </c>
      <c r="H354">
        <v>1.84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1</v>
      </c>
      <c r="W354">
        <v>700</v>
      </c>
      <c r="X354">
        <v>35</v>
      </c>
      <c r="Y354">
        <v>0</v>
      </c>
      <c r="Z354">
        <v>1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500</v>
      </c>
      <c r="AI354">
        <v>8</v>
      </c>
      <c r="AJ354">
        <v>0</v>
      </c>
      <c r="AK354">
        <v>1</v>
      </c>
      <c r="AL354">
        <v>0</v>
      </c>
      <c r="AM354">
        <v>0</v>
      </c>
      <c r="AN354">
        <v>0</v>
      </c>
      <c r="AO354">
        <v>0</v>
      </c>
      <c r="AP354">
        <v>0</v>
      </c>
      <c r="AQ354">
        <v>0</v>
      </c>
      <c r="AR354">
        <v>0</v>
      </c>
      <c r="AS354">
        <v>0</v>
      </c>
      <c r="AT354">
        <f t="shared" si="17"/>
        <v>2.4160000000000004</v>
      </c>
      <c r="AU354">
        <f t="shared" si="15"/>
        <v>2.92</v>
      </c>
      <c r="AV354">
        <f t="shared" si="16"/>
        <v>859.79599999999994</v>
      </c>
      <c r="AX354">
        <v>1105.03</v>
      </c>
      <c r="AY354">
        <v>1124.68</v>
      </c>
      <c r="AZ354">
        <v>13.8583</v>
      </c>
      <c r="BC354" t="s">
        <v>108</v>
      </c>
    </row>
    <row r="355" spans="3:55" x14ac:dyDescent="0.45">
      <c r="C355">
        <v>95.114999999999995</v>
      </c>
      <c r="D355">
        <v>2.92</v>
      </c>
      <c r="E355">
        <v>0</v>
      </c>
      <c r="F355">
        <v>0</v>
      </c>
      <c r="G355">
        <v>0</v>
      </c>
      <c r="H355">
        <v>1.84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1</v>
      </c>
      <c r="W355">
        <v>700</v>
      </c>
      <c r="X355">
        <v>45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>
        <v>500</v>
      </c>
      <c r="AI355">
        <v>8</v>
      </c>
      <c r="AJ355">
        <v>0</v>
      </c>
      <c r="AK355">
        <v>1</v>
      </c>
      <c r="AL355">
        <v>0</v>
      </c>
      <c r="AM355">
        <v>0</v>
      </c>
      <c r="AN355">
        <v>0</v>
      </c>
      <c r="AO355">
        <v>0</v>
      </c>
      <c r="AP355">
        <v>0</v>
      </c>
      <c r="AQ355">
        <v>0</v>
      </c>
      <c r="AR355">
        <v>0</v>
      </c>
      <c r="AS355">
        <v>0</v>
      </c>
      <c r="AT355">
        <f t="shared" si="17"/>
        <v>2.4160000000000004</v>
      </c>
      <c r="AU355">
        <f t="shared" si="15"/>
        <v>2.92</v>
      </c>
      <c r="AV355">
        <f t="shared" si="16"/>
        <v>859.79599999999994</v>
      </c>
      <c r="AX355">
        <v>1115.05</v>
      </c>
      <c r="AY355">
        <v>1145.02</v>
      </c>
      <c r="AZ355">
        <v>16.062999999999999</v>
      </c>
      <c r="BC355" t="s">
        <v>108</v>
      </c>
    </row>
    <row r="356" spans="3:55" x14ac:dyDescent="0.45">
      <c r="C356">
        <v>95.114999999999995</v>
      </c>
      <c r="D356">
        <v>2.92</v>
      </c>
      <c r="E356">
        <v>0</v>
      </c>
      <c r="F356">
        <v>0</v>
      </c>
      <c r="G356">
        <v>0</v>
      </c>
      <c r="H356">
        <v>1.84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1</v>
      </c>
      <c r="W356">
        <v>780</v>
      </c>
      <c r="X356">
        <v>45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>
        <v>500</v>
      </c>
      <c r="AI356">
        <v>8</v>
      </c>
      <c r="AJ356">
        <v>0</v>
      </c>
      <c r="AK356">
        <v>1</v>
      </c>
      <c r="AL356">
        <v>0</v>
      </c>
      <c r="AM356">
        <v>0</v>
      </c>
      <c r="AN356">
        <v>0</v>
      </c>
      <c r="AO356">
        <v>0</v>
      </c>
      <c r="AP356">
        <v>0</v>
      </c>
      <c r="AQ356">
        <v>0</v>
      </c>
      <c r="AR356">
        <v>0</v>
      </c>
      <c r="AS356">
        <v>0</v>
      </c>
      <c r="AT356">
        <f t="shared" si="17"/>
        <v>2.4160000000000004</v>
      </c>
      <c r="AU356">
        <f t="shared" si="15"/>
        <v>2.92</v>
      </c>
      <c r="AV356">
        <f t="shared" si="16"/>
        <v>859.79599999999994</v>
      </c>
      <c r="AX356">
        <v>1120</v>
      </c>
      <c r="AY356">
        <v>1155</v>
      </c>
      <c r="AZ356">
        <v>16.8</v>
      </c>
      <c r="BB356" t="s">
        <v>263</v>
      </c>
      <c r="BC356" t="s">
        <v>108</v>
      </c>
    </row>
    <row r="357" spans="3:55" x14ac:dyDescent="0.45">
      <c r="C357">
        <v>95.114999999999995</v>
      </c>
      <c r="D357">
        <v>2.92</v>
      </c>
      <c r="E357">
        <v>0</v>
      </c>
      <c r="F357">
        <v>0</v>
      </c>
      <c r="G357">
        <v>0</v>
      </c>
      <c r="H357">
        <v>1.84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1</v>
      </c>
      <c r="W357">
        <v>845</v>
      </c>
      <c r="X357">
        <v>45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500</v>
      </c>
      <c r="AI357">
        <v>8</v>
      </c>
      <c r="AJ357">
        <v>0</v>
      </c>
      <c r="AK357">
        <v>1</v>
      </c>
      <c r="AL357">
        <v>0</v>
      </c>
      <c r="AM357">
        <v>0</v>
      </c>
      <c r="AN357">
        <v>0</v>
      </c>
      <c r="AO357">
        <v>0</v>
      </c>
      <c r="AP357">
        <v>0</v>
      </c>
      <c r="AQ357">
        <v>0</v>
      </c>
      <c r="AR357">
        <v>0</v>
      </c>
      <c r="AS357">
        <v>0</v>
      </c>
      <c r="AT357">
        <f t="shared" si="17"/>
        <v>2.4160000000000004</v>
      </c>
      <c r="AU357">
        <f t="shared" si="15"/>
        <v>2.92</v>
      </c>
      <c r="AV357">
        <f t="shared" si="16"/>
        <v>859.79599999999994</v>
      </c>
      <c r="AX357">
        <v>1270</v>
      </c>
      <c r="AY357">
        <v>1330</v>
      </c>
      <c r="AZ357">
        <v>7.5</v>
      </c>
      <c r="BB357" t="s">
        <v>264</v>
      </c>
      <c r="BC357" t="s">
        <v>108</v>
      </c>
    </row>
    <row r="358" spans="3:55" x14ac:dyDescent="0.45">
      <c r="C358">
        <v>95.114999999999995</v>
      </c>
      <c r="D358">
        <v>2.92</v>
      </c>
      <c r="E358">
        <v>0</v>
      </c>
      <c r="F358">
        <v>0</v>
      </c>
      <c r="G358">
        <v>0</v>
      </c>
      <c r="H358">
        <v>1.84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1</v>
      </c>
      <c r="W358">
        <v>700</v>
      </c>
      <c r="X358">
        <v>50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500</v>
      </c>
      <c r="AI358">
        <v>8</v>
      </c>
      <c r="AJ358">
        <v>0</v>
      </c>
      <c r="AK358">
        <v>1</v>
      </c>
      <c r="AL358">
        <v>0</v>
      </c>
      <c r="AM358">
        <v>0</v>
      </c>
      <c r="AN358">
        <v>0</v>
      </c>
      <c r="AO358">
        <v>0</v>
      </c>
      <c r="AP358">
        <v>0</v>
      </c>
      <c r="AQ358">
        <v>0</v>
      </c>
      <c r="AR358">
        <v>0</v>
      </c>
      <c r="AS358">
        <v>0</v>
      </c>
      <c r="AT358">
        <f t="shared" si="17"/>
        <v>2.4160000000000004</v>
      </c>
      <c r="AU358">
        <f t="shared" si="15"/>
        <v>2.92</v>
      </c>
      <c r="AV358">
        <f t="shared" si="16"/>
        <v>859.79599999999994</v>
      </c>
      <c r="AX358">
        <v>1120.31</v>
      </c>
      <c r="AY358">
        <v>1134.8499999999999</v>
      </c>
      <c r="AZ358">
        <v>15.7874</v>
      </c>
      <c r="BB358" t="s">
        <v>265</v>
      </c>
      <c r="BC358" t="s">
        <v>108</v>
      </c>
    </row>
    <row r="359" spans="3:55" x14ac:dyDescent="0.45">
      <c r="C359">
        <v>95.114999999999995</v>
      </c>
      <c r="D359">
        <v>2.92</v>
      </c>
      <c r="E359">
        <v>0</v>
      </c>
      <c r="F359">
        <v>0</v>
      </c>
      <c r="G359">
        <v>0</v>
      </c>
      <c r="H359">
        <v>1.84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1</v>
      </c>
      <c r="W359">
        <v>780</v>
      </c>
      <c r="X359">
        <v>45</v>
      </c>
      <c r="Y359">
        <v>0</v>
      </c>
      <c r="Z359">
        <v>1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>
        <v>300</v>
      </c>
      <c r="AI359">
        <v>8</v>
      </c>
      <c r="AJ359">
        <v>0</v>
      </c>
      <c r="AK359">
        <v>1</v>
      </c>
      <c r="AL359">
        <v>0</v>
      </c>
      <c r="AM359">
        <v>0</v>
      </c>
      <c r="AN359">
        <v>0</v>
      </c>
      <c r="AO359">
        <v>0</v>
      </c>
      <c r="AP359">
        <v>0</v>
      </c>
      <c r="AQ359">
        <v>0</v>
      </c>
      <c r="AR359">
        <v>0</v>
      </c>
      <c r="AS359">
        <v>0</v>
      </c>
      <c r="AT359">
        <f t="shared" si="17"/>
        <v>2.4160000000000004</v>
      </c>
      <c r="AU359">
        <f t="shared" si="15"/>
        <v>2.92</v>
      </c>
      <c r="AV359">
        <f t="shared" si="16"/>
        <v>859.79599999999994</v>
      </c>
      <c r="AX359">
        <v>1233</v>
      </c>
      <c r="AY359">
        <v>1260</v>
      </c>
      <c r="AZ359">
        <v>13.2</v>
      </c>
      <c r="BB359" t="s">
        <v>266</v>
      </c>
      <c r="BC359" t="s">
        <v>108</v>
      </c>
    </row>
    <row r="360" spans="3:55" x14ac:dyDescent="0.45">
      <c r="C360">
        <v>95.114999999999995</v>
      </c>
      <c r="D360">
        <v>2.92</v>
      </c>
      <c r="E360">
        <v>0</v>
      </c>
      <c r="F360">
        <v>0</v>
      </c>
      <c r="G360">
        <v>0</v>
      </c>
      <c r="H360">
        <v>1.84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</v>
      </c>
      <c r="W360">
        <v>780</v>
      </c>
      <c r="X360">
        <v>45</v>
      </c>
      <c r="Y360">
        <v>0</v>
      </c>
      <c r="Z360">
        <v>1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300</v>
      </c>
      <c r="AI360">
        <v>8</v>
      </c>
      <c r="AJ360">
        <v>0</v>
      </c>
      <c r="AK360">
        <v>1</v>
      </c>
      <c r="AL360">
        <v>0</v>
      </c>
      <c r="AM360">
        <v>0</v>
      </c>
      <c r="AN360">
        <v>0</v>
      </c>
      <c r="AO360">
        <v>0</v>
      </c>
      <c r="AP360">
        <v>0</v>
      </c>
      <c r="AQ360">
        <v>0</v>
      </c>
      <c r="AR360">
        <v>0</v>
      </c>
      <c r="AS360">
        <v>0</v>
      </c>
      <c r="AT360">
        <f t="shared" si="17"/>
        <v>2.4160000000000004</v>
      </c>
      <c r="AU360">
        <f t="shared" si="15"/>
        <v>2.92</v>
      </c>
      <c r="AV360">
        <f t="shared" si="16"/>
        <v>859.79599999999994</v>
      </c>
      <c r="AX360">
        <v>1195</v>
      </c>
      <c r="AY360">
        <v>1230</v>
      </c>
      <c r="AZ360">
        <v>16</v>
      </c>
      <c r="BB360" t="s">
        <v>267</v>
      </c>
      <c r="BC360" t="s">
        <v>108</v>
      </c>
    </row>
    <row r="361" spans="3:55" x14ac:dyDescent="0.45">
      <c r="C361">
        <v>95.114999999999995</v>
      </c>
      <c r="D361">
        <v>2.92</v>
      </c>
      <c r="E361">
        <v>0</v>
      </c>
      <c r="F361">
        <v>0</v>
      </c>
      <c r="G361">
        <v>0</v>
      </c>
      <c r="H361">
        <v>1.84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845</v>
      </c>
      <c r="X361">
        <v>45</v>
      </c>
      <c r="Y361">
        <v>0</v>
      </c>
      <c r="Z361">
        <v>1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300</v>
      </c>
      <c r="AI361">
        <v>8</v>
      </c>
      <c r="AJ361">
        <v>0</v>
      </c>
      <c r="AK361">
        <v>1</v>
      </c>
      <c r="AL361">
        <v>0</v>
      </c>
      <c r="AM361">
        <v>0</v>
      </c>
      <c r="AN361">
        <v>0</v>
      </c>
      <c r="AO361">
        <v>0</v>
      </c>
      <c r="AP361">
        <v>0</v>
      </c>
      <c r="AQ361">
        <v>0</v>
      </c>
      <c r="AR361">
        <v>0</v>
      </c>
      <c r="AS361">
        <v>0</v>
      </c>
      <c r="AT361">
        <f t="shared" si="17"/>
        <v>2.4160000000000004</v>
      </c>
      <c r="AU361">
        <f t="shared" si="15"/>
        <v>2.92</v>
      </c>
      <c r="AV361">
        <f t="shared" si="16"/>
        <v>859.79599999999994</v>
      </c>
      <c r="AX361">
        <v>1265</v>
      </c>
      <c r="AY361">
        <v>1355</v>
      </c>
      <c r="AZ361">
        <v>2.8</v>
      </c>
      <c r="BB361" t="s">
        <v>268</v>
      </c>
      <c r="BC361" t="s">
        <v>108</v>
      </c>
    </row>
    <row r="362" spans="3:55" x14ac:dyDescent="0.45">
      <c r="C362">
        <v>95.114999999999995</v>
      </c>
      <c r="D362">
        <v>2.92</v>
      </c>
      <c r="E362">
        <v>0</v>
      </c>
      <c r="F362">
        <v>0</v>
      </c>
      <c r="G362">
        <v>0</v>
      </c>
      <c r="H362">
        <v>1.84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845</v>
      </c>
      <c r="X362">
        <v>45</v>
      </c>
      <c r="Y362">
        <v>0</v>
      </c>
      <c r="Z362">
        <v>1</v>
      </c>
      <c r="AA362">
        <v>0</v>
      </c>
      <c r="AB362">
        <v>0</v>
      </c>
      <c r="AC362">
        <v>780</v>
      </c>
      <c r="AD362">
        <v>1</v>
      </c>
      <c r="AE362">
        <v>1</v>
      </c>
      <c r="AF362">
        <v>0</v>
      </c>
      <c r="AG362">
        <v>0</v>
      </c>
      <c r="AH362">
        <v>520</v>
      </c>
      <c r="AI362">
        <v>8</v>
      </c>
      <c r="AJ362">
        <v>0</v>
      </c>
      <c r="AK362">
        <v>1</v>
      </c>
      <c r="AL362">
        <v>0</v>
      </c>
      <c r="AM362">
        <v>0</v>
      </c>
      <c r="AN362">
        <v>0</v>
      </c>
      <c r="AO362">
        <v>0</v>
      </c>
      <c r="AP362">
        <v>0</v>
      </c>
      <c r="AQ362">
        <v>0</v>
      </c>
      <c r="AR362">
        <v>0</v>
      </c>
      <c r="AS362">
        <v>0</v>
      </c>
      <c r="AT362">
        <f t="shared" si="17"/>
        <v>2.4160000000000004</v>
      </c>
      <c r="AU362">
        <f t="shared" si="15"/>
        <v>2.92</v>
      </c>
      <c r="AV362">
        <f t="shared" si="16"/>
        <v>859.79599999999994</v>
      </c>
      <c r="AX362">
        <v>1200</v>
      </c>
      <c r="AY362">
        <v>1250</v>
      </c>
      <c r="AZ362">
        <v>10.5</v>
      </c>
      <c r="BB362" t="s">
        <v>269</v>
      </c>
      <c r="BC362" t="s">
        <v>108</v>
      </c>
    </row>
    <row r="363" spans="3:55" x14ac:dyDescent="0.45">
      <c r="C363">
        <v>95.114999999999995</v>
      </c>
      <c r="D363">
        <v>2.92</v>
      </c>
      <c r="E363">
        <v>0</v>
      </c>
      <c r="F363">
        <v>0</v>
      </c>
      <c r="G363">
        <v>0</v>
      </c>
      <c r="H363">
        <v>1.84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845</v>
      </c>
      <c r="X363">
        <v>45</v>
      </c>
      <c r="Y363">
        <v>0</v>
      </c>
      <c r="Z363">
        <v>1</v>
      </c>
      <c r="AA363">
        <v>0</v>
      </c>
      <c r="AB363">
        <v>0</v>
      </c>
      <c r="AC363">
        <v>780</v>
      </c>
      <c r="AD363">
        <v>1</v>
      </c>
      <c r="AE363">
        <v>1</v>
      </c>
      <c r="AF363">
        <v>0</v>
      </c>
      <c r="AG363">
        <v>0</v>
      </c>
      <c r="AH363">
        <v>520</v>
      </c>
      <c r="AI363">
        <v>8</v>
      </c>
      <c r="AJ363">
        <v>0</v>
      </c>
      <c r="AK363">
        <v>1</v>
      </c>
      <c r="AL363">
        <v>0</v>
      </c>
      <c r="AM363">
        <v>0</v>
      </c>
      <c r="AN363">
        <v>0</v>
      </c>
      <c r="AO363">
        <v>0</v>
      </c>
      <c r="AP363">
        <v>0</v>
      </c>
      <c r="AQ363">
        <v>0</v>
      </c>
      <c r="AR363">
        <v>0</v>
      </c>
      <c r="AS363">
        <v>0</v>
      </c>
      <c r="AT363">
        <f t="shared" si="17"/>
        <v>2.4160000000000004</v>
      </c>
      <c r="AU363">
        <f t="shared" si="15"/>
        <v>2.92</v>
      </c>
      <c r="AV363">
        <f t="shared" si="16"/>
        <v>859.79599999999994</v>
      </c>
      <c r="AX363">
        <v>1203.3</v>
      </c>
      <c r="AY363">
        <v>1263.3</v>
      </c>
      <c r="AZ363">
        <v>10.199999999999999</v>
      </c>
      <c r="BC363" t="s">
        <v>108</v>
      </c>
    </row>
    <row r="364" spans="3:55" x14ac:dyDescent="0.45">
      <c r="C364">
        <v>95.114999999999995</v>
      </c>
      <c r="D364">
        <v>2.92</v>
      </c>
      <c r="E364">
        <v>0</v>
      </c>
      <c r="F364">
        <v>0</v>
      </c>
      <c r="G364">
        <v>0</v>
      </c>
      <c r="H364">
        <v>1.84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</v>
      </c>
      <c r="W364">
        <v>0</v>
      </c>
      <c r="X364">
        <v>45</v>
      </c>
      <c r="Y364">
        <v>0</v>
      </c>
      <c r="Z364">
        <v>0</v>
      </c>
      <c r="AA364">
        <v>0</v>
      </c>
      <c r="AB364">
        <v>0</v>
      </c>
      <c r="AC364">
        <v>780</v>
      </c>
      <c r="AD364">
        <v>1</v>
      </c>
      <c r="AE364">
        <v>0</v>
      </c>
      <c r="AF364">
        <v>1</v>
      </c>
      <c r="AG364">
        <v>0</v>
      </c>
      <c r="AH364">
        <v>520</v>
      </c>
      <c r="AI364">
        <v>8</v>
      </c>
      <c r="AJ364">
        <v>0</v>
      </c>
      <c r="AK364">
        <v>1</v>
      </c>
      <c r="AL364">
        <v>0</v>
      </c>
      <c r="AM364">
        <v>0</v>
      </c>
      <c r="AN364">
        <v>0</v>
      </c>
      <c r="AO364">
        <v>0</v>
      </c>
      <c r="AP364">
        <v>0</v>
      </c>
      <c r="AQ364">
        <v>0</v>
      </c>
      <c r="AR364">
        <v>0</v>
      </c>
      <c r="AS364">
        <v>0</v>
      </c>
      <c r="AT364">
        <f t="shared" si="17"/>
        <v>2.4160000000000004</v>
      </c>
      <c r="AU364">
        <f t="shared" si="15"/>
        <v>2.92</v>
      </c>
      <c r="AV364">
        <f t="shared" si="16"/>
        <v>859.79599999999994</v>
      </c>
      <c r="AX364">
        <v>1223.3</v>
      </c>
      <c r="AY364">
        <v>1280</v>
      </c>
      <c r="AZ364">
        <v>9.5</v>
      </c>
      <c r="BC364" t="s">
        <v>108</v>
      </c>
    </row>
    <row r="365" spans="3:55" x14ac:dyDescent="0.45">
      <c r="C365">
        <v>95.114999999999995</v>
      </c>
      <c r="D365">
        <v>2.92</v>
      </c>
      <c r="E365">
        <v>0</v>
      </c>
      <c r="F365">
        <v>0</v>
      </c>
      <c r="G365">
        <v>0</v>
      </c>
      <c r="H365">
        <v>1.84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45</v>
      </c>
      <c r="Y365">
        <v>0</v>
      </c>
      <c r="Z365">
        <v>0</v>
      </c>
      <c r="AA365">
        <v>0</v>
      </c>
      <c r="AB365">
        <v>0</v>
      </c>
      <c r="AC365">
        <v>760</v>
      </c>
      <c r="AD365">
        <v>2</v>
      </c>
      <c r="AE365">
        <v>1</v>
      </c>
      <c r="AF365">
        <v>0</v>
      </c>
      <c r="AG365">
        <v>0</v>
      </c>
      <c r="AH365">
        <v>520</v>
      </c>
      <c r="AI365">
        <v>8</v>
      </c>
      <c r="AJ365">
        <v>0</v>
      </c>
      <c r="AK365">
        <v>1</v>
      </c>
      <c r="AL365">
        <v>0</v>
      </c>
      <c r="AM365">
        <v>0</v>
      </c>
      <c r="AN365">
        <v>0</v>
      </c>
      <c r="AO365">
        <v>0</v>
      </c>
      <c r="AP365">
        <v>0</v>
      </c>
      <c r="AQ365">
        <v>0</v>
      </c>
      <c r="AR365">
        <v>0</v>
      </c>
      <c r="AS365">
        <v>0</v>
      </c>
      <c r="AT365">
        <f t="shared" si="17"/>
        <v>2.4160000000000004</v>
      </c>
      <c r="AU365">
        <f t="shared" si="15"/>
        <v>2.92</v>
      </c>
      <c r="AV365">
        <f t="shared" si="16"/>
        <v>859.79599999999994</v>
      </c>
      <c r="AX365">
        <v>1188</v>
      </c>
      <c r="AY365">
        <v>1245</v>
      </c>
      <c r="AZ365">
        <v>10.3</v>
      </c>
      <c r="BC365" t="s">
        <v>108</v>
      </c>
    </row>
    <row r="366" spans="3:55" x14ac:dyDescent="0.45">
      <c r="C366">
        <v>95.114999999999995</v>
      </c>
      <c r="D366">
        <v>2.92</v>
      </c>
      <c r="E366">
        <v>0</v>
      </c>
      <c r="F366">
        <v>0</v>
      </c>
      <c r="G366">
        <v>0</v>
      </c>
      <c r="H366">
        <v>1.84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1</v>
      </c>
      <c r="W366">
        <v>0</v>
      </c>
      <c r="X366">
        <v>45</v>
      </c>
      <c r="Y366">
        <v>0</v>
      </c>
      <c r="Z366">
        <v>0</v>
      </c>
      <c r="AA366">
        <v>0</v>
      </c>
      <c r="AB366">
        <v>0</v>
      </c>
      <c r="AC366">
        <v>760</v>
      </c>
      <c r="AD366">
        <v>2</v>
      </c>
      <c r="AE366">
        <v>1</v>
      </c>
      <c r="AF366">
        <v>0</v>
      </c>
      <c r="AG366">
        <v>0</v>
      </c>
      <c r="AH366">
        <v>540</v>
      </c>
      <c r="AI366">
        <v>8</v>
      </c>
      <c r="AJ366">
        <v>0</v>
      </c>
      <c r="AK366">
        <v>1</v>
      </c>
      <c r="AL366">
        <v>0</v>
      </c>
      <c r="AM366">
        <v>0</v>
      </c>
      <c r="AN366">
        <v>0</v>
      </c>
      <c r="AO366">
        <v>0</v>
      </c>
      <c r="AP366">
        <v>0</v>
      </c>
      <c r="AQ366">
        <v>0</v>
      </c>
      <c r="AR366">
        <v>0</v>
      </c>
      <c r="AS366">
        <v>0</v>
      </c>
      <c r="AT366">
        <f t="shared" si="17"/>
        <v>2.4160000000000004</v>
      </c>
      <c r="AU366">
        <f t="shared" si="15"/>
        <v>2.92</v>
      </c>
      <c r="AV366">
        <f t="shared" si="16"/>
        <v>859.79599999999994</v>
      </c>
      <c r="AX366">
        <v>1170</v>
      </c>
      <c r="AY366">
        <v>1222</v>
      </c>
      <c r="AZ366">
        <v>11.6</v>
      </c>
      <c r="BC366" t="s">
        <v>108</v>
      </c>
    </row>
    <row r="367" spans="3:55" x14ac:dyDescent="0.45">
      <c r="C367">
        <v>95.114999999999995</v>
      </c>
      <c r="D367">
        <v>2.92</v>
      </c>
      <c r="E367">
        <v>0</v>
      </c>
      <c r="F367">
        <v>0</v>
      </c>
      <c r="G367">
        <v>0</v>
      </c>
      <c r="H367">
        <v>1.84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45</v>
      </c>
      <c r="Y367">
        <v>0</v>
      </c>
      <c r="Z367">
        <v>0</v>
      </c>
      <c r="AA367">
        <v>0</v>
      </c>
      <c r="AB367">
        <v>0</v>
      </c>
      <c r="AC367">
        <v>760</v>
      </c>
      <c r="AD367">
        <v>2</v>
      </c>
      <c r="AE367">
        <v>1</v>
      </c>
      <c r="AF367">
        <v>0</v>
      </c>
      <c r="AG367">
        <v>0</v>
      </c>
      <c r="AH367">
        <v>580</v>
      </c>
      <c r="AI367">
        <v>8</v>
      </c>
      <c r="AJ367">
        <v>0</v>
      </c>
      <c r="AK367">
        <v>1</v>
      </c>
      <c r="AL367">
        <v>0</v>
      </c>
      <c r="AM367">
        <v>0</v>
      </c>
      <c r="AN367">
        <v>0</v>
      </c>
      <c r="AO367">
        <v>0</v>
      </c>
      <c r="AP367">
        <v>0</v>
      </c>
      <c r="AQ367">
        <v>0</v>
      </c>
      <c r="AR367">
        <v>0</v>
      </c>
      <c r="AS367">
        <v>0</v>
      </c>
      <c r="AT367">
        <f t="shared" si="17"/>
        <v>2.4160000000000004</v>
      </c>
      <c r="AU367">
        <f t="shared" si="15"/>
        <v>2.92</v>
      </c>
      <c r="AV367">
        <f t="shared" si="16"/>
        <v>859.79599999999994</v>
      </c>
      <c r="AX367">
        <v>1018</v>
      </c>
      <c r="AY367">
        <v>1048</v>
      </c>
      <c r="AZ367">
        <v>17.3</v>
      </c>
      <c r="BC367" t="s">
        <v>108</v>
      </c>
    </row>
    <row r="368" spans="3:55" x14ac:dyDescent="0.45">
      <c r="C368">
        <v>95.114999999999995</v>
      </c>
      <c r="D368">
        <v>2.92</v>
      </c>
      <c r="E368">
        <v>0</v>
      </c>
      <c r="F368">
        <v>0</v>
      </c>
      <c r="G368">
        <v>0</v>
      </c>
      <c r="H368">
        <v>1.84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1</v>
      </c>
      <c r="W368">
        <v>0</v>
      </c>
      <c r="X368">
        <v>45</v>
      </c>
      <c r="Y368">
        <v>0</v>
      </c>
      <c r="Z368">
        <v>0</v>
      </c>
      <c r="AA368">
        <v>0</v>
      </c>
      <c r="AB368">
        <v>0</v>
      </c>
      <c r="AC368">
        <v>760</v>
      </c>
      <c r="AD368">
        <v>2</v>
      </c>
      <c r="AE368">
        <v>1</v>
      </c>
      <c r="AF368">
        <v>0</v>
      </c>
      <c r="AG368">
        <v>0</v>
      </c>
      <c r="AH368">
        <v>620</v>
      </c>
      <c r="AI368">
        <v>8</v>
      </c>
      <c r="AJ368">
        <v>0</v>
      </c>
      <c r="AK368">
        <v>1</v>
      </c>
      <c r="AL368">
        <v>0</v>
      </c>
      <c r="AM368">
        <v>0</v>
      </c>
      <c r="AN368">
        <v>0</v>
      </c>
      <c r="AO368">
        <v>0</v>
      </c>
      <c r="AP368">
        <v>0</v>
      </c>
      <c r="AQ368">
        <v>0</v>
      </c>
      <c r="AR368">
        <v>0</v>
      </c>
      <c r="AS368">
        <v>0</v>
      </c>
      <c r="AT368">
        <f t="shared" si="17"/>
        <v>2.4160000000000004</v>
      </c>
      <c r="AU368">
        <f t="shared" si="15"/>
        <v>2.92</v>
      </c>
      <c r="AV368">
        <f t="shared" si="16"/>
        <v>859.79599999999994</v>
      </c>
      <c r="AX368">
        <v>986</v>
      </c>
      <c r="AY368">
        <v>1018</v>
      </c>
      <c r="AZ368">
        <v>20</v>
      </c>
      <c r="BB368" t="s">
        <v>270</v>
      </c>
      <c r="BC368" t="s">
        <v>108</v>
      </c>
    </row>
    <row r="369" spans="3:55" x14ac:dyDescent="0.45">
      <c r="C369">
        <v>87</v>
      </c>
      <c r="D369">
        <v>6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7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1</v>
      </c>
      <c r="W369">
        <v>0</v>
      </c>
      <c r="X369">
        <v>0</v>
      </c>
      <c r="Y369">
        <v>0</v>
      </c>
      <c r="Z369">
        <v>1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  <c r="AL369">
        <v>0</v>
      </c>
      <c r="AM369">
        <v>0</v>
      </c>
      <c r="AN369">
        <v>0</v>
      </c>
      <c r="AO369">
        <v>0</v>
      </c>
      <c r="AP369">
        <v>0</v>
      </c>
      <c r="AQ369">
        <v>0</v>
      </c>
      <c r="AR369">
        <v>0</v>
      </c>
      <c r="AS369">
        <v>0</v>
      </c>
      <c r="AT369">
        <f t="shared" si="17"/>
        <v>-4.04</v>
      </c>
      <c r="AU369">
        <f t="shared" si="15"/>
        <v>6</v>
      </c>
      <c r="AV369">
        <f t="shared" si="16"/>
        <v>894.6</v>
      </c>
      <c r="AY369">
        <v>933</v>
      </c>
      <c r="AZ369">
        <v>7.1</v>
      </c>
      <c r="BC369" t="s">
        <v>118</v>
      </c>
    </row>
    <row r="370" spans="3:55" x14ac:dyDescent="0.45">
      <c r="C370">
        <v>85.929999999999993</v>
      </c>
      <c r="D370">
        <v>10.51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3.56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1</v>
      </c>
      <c r="W370">
        <v>0</v>
      </c>
      <c r="X370">
        <v>0</v>
      </c>
      <c r="Y370">
        <v>0</v>
      </c>
      <c r="Z370">
        <v>1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1</v>
      </c>
      <c r="AG370">
        <v>0</v>
      </c>
      <c r="AH370">
        <v>0</v>
      </c>
      <c r="AI370">
        <v>0</v>
      </c>
      <c r="AJ370">
        <v>0</v>
      </c>
      <c r="AK370">
        <v>0</v>
      </c>
      <c r="AL370">
        <v>0</v>
      </c>
      <c r="AM370">
        <v>0</v>
      </c>
      <c r="AN370">
        <v>0</v>
      </c>
      <c r="AO370">
        <v>0</v>
      </c>
      <c r="AP370">
        <v>0</v>
      </c>
      <c r="AQ370">
        <v>0</v>
      </c>
      <c r="AR370">
        <v>0</v>
      </c>
      <c r="AS370">
        <v>0</v>
      </c>
      <c r="AT370">
        <f t="shared" si="17"/>
        <v>-9.5131999999999994</v>
      </c>
      <c r="AU370">
        <f t="shared" si="15"/>
        <v>10.51</v>
      </c>
      <c r="AV370">
        <f t="shared" si="16"/>
        <v>904.07100000000003</v>
      </c>
      <c r="AW370">
        <v>110</v>
      </c>
      <c r="AX370">
        <v>800</v>
      </c>
      <c r="BC370" t="s">
        <v>60</v>
      </c>
    </row>
    <row r="371" spans="3:55" x14ac:dyDescent="0.45">
      <c r="C371">
        <v>88</v>
      </c>
      <c r="D371">
        <v>0</v>
      </c>
      <c r="E371">
        <v>8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4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1</v>
      </c>
      <c r="W371">
        <v>20</v>
      </c>
      <c r="X371">
        <v>86</v>
      </c>
      <c r="Y371">
        <v>0</v>
      </c>
      <c r="Z371">
        <v>1</v>
      </c>
      <c r="AA371">
        <v>0</v>
      </c>
      <c r="AB371">
        <v>0</v>
      </c>
      <c r="AC371">
        <v>950</v>
      </c>
      <c r="AD371">
        <v>2.5</v>
      </c>
      <c r="AE371">
        <v>1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1</v>
      </c>
      <c r="AL371">
        <v>0</v>
      </c>
      <c r="AM371">
        <v>0</v>
      </c>
      <c r="AN371">
        <v>0</v>
      </c>
      <c r="AO371">
        <v>0</v>
      </c>
      <c r="AP371">
        <v>0</v>
      </c>
      <c r="AQ371">
        <v>0</v>
      </c>
      <c r="AR371">
        <v>0</v>
      </c>
      <c r="AS371">
        <v>0</v>
      </c>
      <c r="AT371">
        <f t="shared" si="17"/>
        <v>5.36</v>
      </c>
      <c r="AU371">
        <f t="shared" si="15"/>
        <v>1.3333333333333333</v>
      </c>
      <c r="AV371">
        <f t="shared" si="16"/>
        <v>804.4</v>
      </c>
      <c r="AY371">
        <v>1040</v>
      </c>
      <c r="AZ371">
        <v>6</v>
      </c>
      <c r="BC371" t="s">
        <v>120</v>
      </c>
    </row>
    <row r="372" spans="3:55" x14ac:dyDescent="0.45">
      <c r="C372">
        <v>88</v>
      </c>
      <c r="D372">
        <v>0</v>
      </c>
      <c r="E372">
        <v>8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4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1</v>
      </c>
      <c r="W372">
        <v>20</v>
      </c>
      <c r="X372">
        <v>86</v>
      </c>
      <c r="Y372">
        <v>0</v>
      </c>
      <c r="Z372">
        <v>1</v>
      </c>
      <c r="AA372">
        <v>0</v>
      </c>
      <c r="AB372">
        <v>0</v>
      </c>
      <c r="AC372">
        <v>950</v>
      </c>
      <c r="AD372">
        <v>2.5</v>
      </c>
      <c r="AE372">
        <v>1</v>
      </c>
      <c r="AF372">
        <v>0</v>
      </c>
      <c r="AG372">
        <v>0</v>
      </c>
      <c r="AH372">
        <v>250</v>
      </c>
      <c r="AI372">
        <v>1.5</v>
      </c>
      <c r="AJ372">
        <v>0</v>
      </c>
      <c r="AK372">
        <v>1</v>
      </c>
      <c r="AL372">
        <v>0</v>
      </c>
      <c r="AM372">
        <v>0</v>
      </c>
      <c r="AN372">
        <v>0</v>
      </c>
      <c r="AO372">
        <v>0</v>
      </c>
      <c r="AP372">
        <v>0</v>
      </c>
      <c r="AQ372">
        <v>0</v>
      </c>
      <c r="AR372">
        <v>0</v>
      </c>
      <c r="AS372">
        <v>0</v>
      </c>
      <c r="AT372">
        <f t="shared" si="17"/>
        <v>5.36</v>
      </c>
      <c r="AU372">
        <f t="shared" si="15"/>
        <v>1.3333333333333333</v>
      </c>
      <c r="AV372">
        <f t="shared" si="16"/>
        <v>804.4</v>
      </c>
      <c r="AY372">
        <v>1157.51</v>
      </c>
      <c r="AZ372">
        <v>4.79</v>
      </c>
      <c r="BC372" t="s">
        <v>120</v>
      </c>
    </row>
    <row r="373" spans="3:55" x14ac:dyDescent="0.45">
      <c r="C373">
        <v>75.3</v>
      </c>
      <c r="D373">
        <v>0</v>
      </c>
      <c r="E373">
        <v>20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4.7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1</v>
      </c>
      <c r="W373">
        <v>20</v>
      </c>
      <c r="X373">
        <v>86</v>
      </c>
      <c r="Y373">
        <v>0</v>
      </c>
      <c r="Z373">
        <v>1</v>
      </c>
      <c r="AA373">
        <v>0</v>
      </c>
      <c r="AB373">
        <v>0</v>
      </c>
      <c r="AC373">
        <v>950</v>
      </c>
      <c r="AD373">
        <v>2.5</v>
      </c>
      <c r="AE373">
        <v>1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1</v>
      </c>
      <c r="AL373">
        <v>0</v>
      </c>
      <c r="AM373">
        <v>0</v>
      </c>
      <c r="AN373">
        <v>0</v>
      </c>
      <c r="AO373">
        <v>0</v>
      </c>
      <c r="AP373">
        <v>0</v>
      </c>
      <c r="AQ373">
        <v>0</v>
      </c>
      <c r="AR373">
        <v>0</v>
      </c>
      <c r="AS373">
        <v>0</v>
      </c>
      <c r="AT373">
        <f t="shared" si="17"/>
        <v>13.4</v>
      </c>
      <c r="AU373">
        <f t="shared" si="15"/>
        <v>1.5666666666666667</v>
      </c>
      <c r="AV373">
        <f t="shared" si="16"/>
        <v>665.74</v>
      </c>
      <c r="AY373">
        <v>867.08</v>
      </c>
      <c r="AZ373">
        <v>8.2899999999999991</v>
      </c>
      <c r="BC373" t="s">
        <v>120</v>
      </c>
    </row>
    <row r="374" spans="3:55" x14ac:dyDescent="0.45">
      <c r="C374">
        <v>75.3</v>
      </c>
      <c r="D374">
        <v>0</v>
      </c>
      <c r="E374">
        <v>20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4.7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1</v>
      </c>
      <c r="W374">
        <v>20</v>
      </c>
      <c r="X374">
        <v>86</v>
      </c>
      <c r="Y374">
        <v>0</v>
      </c>
      <c r="Z374">
        <v>1</v>
      </c>
      <c r="AA374">
        <v>0</v>
      </c>
      <c r="AB374">
        <v>0</v>
      </c>
      <c r="AC374">
        <v>950</v>
      </c>
      <c r="AD374">
        <v>2.5</v>
      </c>
      <c r="AE374">
        <v>1</v>
      </c>
      <c r="AF374">
        <v>0</v>
      </c>
      <c r="AG374">
        <v>0</v>
      </c>
      <c r="AH374">
        <v>250</v>
      </c>
      <c r="AI374">
        <v>1.5</v>
      </c>
      <c r="AJ374">
        <v>0</v>
      </c>
      <c r="AK374">
        <v>1</v>
      </c>
      <c r="AL374">
        <v>0</v>
      </c>
      <c r="AM374">
        <v>0</v>
      </c>
      <c r="AN374">
        <v>0</v>
      </c>
      <c r="AO374">
        <v>0</v>
      </c>
      <c r="AP374">
        <v>0</v>
      </c>
      <c r="AQ374">
        <v>0</v>
      </c>
      <c r="AR374">
        <v>0</v>
      </c>
      <c r="AS374">
        <v>0</v>
      </c>
      <c r="AT374">
        <f t="shared" si="17"/>
        <v>13.4</v>
      </c>
      <c r="AU374">
        <f t="shared" si="15"/>
        <v>1.5666666666666667</v>
      </c>
      <c r="AV374">
        <f t="shared" si="16"/>
        <v>665.74</v>
      </c>
      <c r="AY374">
        <v>1264.1199999999999</v>
      </c>
      <c r="AZ374">
        <v>0.5</v>
      </c>
      <c r="BC374" t="s">
        <v>120</v>
      </c>
    </row>
    <row r="375" spans="3:55" x14ac:dyDescent="0.45">
      <c r="C375">
        <v>81.849999999999994</v>
      </c>
      <c r="D375">
        <v>4.4000000000000004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13.6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1</v>
      </c>
      <c r="Z375">
        <v>0</v>
      </c>
      <c r="AA375">
        <v>0</v>
      </c>
      <c r="AB375">
        <v>0</v>
      </c>
      <c r="AC375">
        <v>900</v>
      </c>
      <c r="AD375">
        <v>0.5</v>
      </c>
      <c r="AE375">
        <v>1</v>
      </c>
      <c r="AF375">
        <v>0</v>
      </c>
      <c r="AG375">
        <v>0</v>
      </c>
      <c r="AH375">
        <v>500</v>
      </c>
      <c r="AI375">
        <v>4</v>
      </c>
      <c r="AJ375">
        <v>0</v>
      </c>
      <c r="AK375">
        <v>1</v>
      </c>
      <c r="AL375">
        <v>0</v>
      </c>
      <c r="AM375">
        <v>0</v>
      </c>
      <c r="AN375">
        <v>0</v>
      </c>
      <c r="AO375">
        <v>0</v>
      </c>
      <c r="AP375">
        <v>0</v>
      </c>
      <c r="AQ375">
        <v>0</v>
      </c>
      <c r="AR375">
        <v>0</v>
      </c>
      <c r="AS375">
        <v>0</v>
      </c>
      <c r="AT375">
        <f t="shared" si="17"/>
        <v>9.1999999999999993</v>
      </c>
      <c r="AU375">
        <f t="shared" si="15"/>
        <v>4.4000000000000004</v>
      </c>
      <c r="AV375">
        <f t="shared" si="16"/>
        <v>762.04</v>
      </c>
      <c r="AX375">
        <v>1290</v>
      </c>
      <c r="AY375">
        <v>1393.33</v>
      </c>
      <c r="AZ375">
        <v>5.67</v>
      </c>
      <c r="BC375" t="s">
        <v>108</v>
      </c>
    </row>
    <row r="376" spans="3:55" x14ac:dyDescent="0.45">
      <c r="C376">
        <v>81.849999999999994</v>
      </c>
      <c r="D376">
        <v>4.4000000000000004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13.6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1</v>
      </c>
      <c r="Z376">
        <v>0</v>
      </c>
      <c r="AA376">
        <v>0</v>
      </c>
      <c r="AB376">
        <v>0</v>
      </c>
      <c r="AC376">
        <v>900</v>
      </c>
      <c r="AD376">
        <v>0.5</v>
      </c>
      <c r="AE376">
        <v>1</v>
      </c>
      <c r="AF376">
        <v>0</v>
      </c>
      <c r="AG376">
        <v>0</v>
      </c>
      <c r="AH376">
        <v>600</v>
      </c>
      <c r="AI376">
        <v>4</v>
      </c>
      <c r="AJ376">
        <v>0</v>
      </c>
      <c r="AK376">
        <v>1</v>
      </c>
      <c r="AL376">
        <v>0</v>
      </c>
      <c r="AM376">
        <v>0</v>
      </c>
      <c r="AN376">
        <v>0</v>
      </c>
      <c r="AO376">
        <v>0</v>
      </c>
      <c r="AP376">
        <v>0</v>
      </c>
      <c r="AQ376">
        <v>0</v>
      </c>
      <c r="AR376">
        <v>0</v>
      </c>
      <c r="AS376">
        <v>0</v>
      </c>
      <c r="AT376">
        <f t="shared" si="17"/>
        <v>9.1999999999999993</v>
      </c>
      <c r="AU376">
        <f t="shared" si="15"/>
        <v>4.4000000000000004</v>
      </c>
      <c r="AV376">
        <f t="shared" si="16"/>
        <v>762.04</v>
      </c>
      <c r="AX376">
        <v>1020</v>
      </c>
      <c r="AY376">
        <v>1116.67</v>
      </c>
      <c r="AZ376">
        <v>12.5</v>
      </c>
      <c r="BC376" t="s">
        <v>108</v>
      </c>
    </row>
    <row r="377" spans="3:55" x14ac:dyDescent="0.45">
      <c r="C377">
        <v>81.849999999999994</v>
      </c>
      <c r="D377">
        <v>4.4000000000000004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13.6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1</v>
      </c>
      <c r="Z377">
        <v>0</v>
      </c>
      <c r="AA377">
        <v>0</v>
      </c>
      <c r="AB377">
        <v>0</v>
      </c>
      <c r="AC377">
        <v>900</v>
      </c>
      <c r="AD377">
        <v>0.5</v>
      </c>
      <c r="AE377">
        <v>1</v>
      </c>
      <c r="AF377">
        <v>0</v>
      </c>
      <c r="AG377">
        <v>0</v>
      </c>
      <c r="AH377">
        <v>700</v>
      </c>
      <c r="AI377">
        <v>4</v>
      </c>
      <c r="AJ377">
        <v>0</v>
      </c>
      <c r="AK377">
        <v>1</v>
      </c>
      <c r="AL377">
        <v>0</v>
      </c>
      <c r="AM377">
        <v>0</v>
      </c>
      <c r="AN377">
        <v>0</v>
      </c>
      <c r="AO377">
        <v>0</v>
      </c>
      <c r="AP377">
        <v>0</v>
      </c>
      <c r="AQ377">
        <v>0</v>
      </c>
      <c r="AR377">
        <v>0</v>
      </c>
      <c r="AS377">
        <v>0</v>
      </c>
      <c r="AT377">
        <f t="shared" si="17"/>
        <v>9.1999999999999993</v>
      </c>
      <c r="AU377">
        <f t="shared" si="15"/>
        <v>4.4000000000000004</v>
      </c>
      <c r="AV377">
        <f t="shared" si="16"/>
        <v>762.04</v>
      </c>
      <c r="AX377">
        <v>898.33</v>
      </c>
      <c r="AY377">
        <v>945</v>
      </c>
      <c r="AZ377">
        <v>18.670000000000002</v>
      </c>
      <c r="BC377" t="s">
        <v>108</v>
      </c>
    </row>
    <row r="378" spans="3:55" x14ac:dyDescent="0.45">
      <c r="C378">
        <v>93.61</v>
      </c>
      <c r="D378">
        <v>0</v>
      </c>
      <c r="E378">
        <v>0</v>
      </c>
      <c r="F378">
        <v>0</v>
      </c>
      <c r="G378">
        <v>0</v>
      </c>
      <c r="H378">
        <v>3.9800000000000004</v>
      </c>
      <c r="I378">
        <v>0</v>
      </c>
      <c r="J378">
        <v>0</v>
      </c>
      <c r="K378">
        <v>0</v>
      </c>
      <c r="L378">
        <v>2.42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1</v>
      </c>
      <c r="W378">
        <v>0</v>
      </c>
      <c r="X378">
        <v>0</v>
      </c>
      <c r="Y378">
        <v>0</v>
      </c>
      <c r="Z378">
        <v>1</v>
      </c>
      <c r="AA378">
        <v>0</v>
      </c>
      <c r="AB378">
        <v>0</v>
      </c>
      <c r="AC378">
        <v>0</v>
      </c>
      <c r="AD378">
        <v>0</v>
      </c>
      <c r="AE378">
        <v>1</v>
      </c>
      <c r="AF378">
        <v>0</v>
      </c>
      <c r="AG378">
        <v>0</v>
      </c>
      <c r="AH378">
        <v>0</v>
      </c>
      <c r="AI378">
        <v>0</v>
      </c>
      <c r="AJ378">
        <v>0</v>
      </c>
      <c r="AK378">
        <v>0</v>
      </c>
      <c r="AL378">
        <v>0</v>
      </c>
      <c r="AM378">
        <v>0</v>
      </c>
      <c r="AN378">
        <v>0</v>
      </c>
      <c r="AO378">
        <v>0</v>
      </c>
      <c r="AP378">
        <v>0</v>
      </c>
      <c r="AQ378">
        <v>0</v>
      </c>
      <c r="AR378">
        <v>0</v>
      </c>
      <c r="AS378">
        <v>0</v>
      </c>
      <c r="AT378">
        <f t="shared" si="17"/>
        <v>13.962000000000002</v>
      </c>
      <c r="AU378">
        <f t="shared" si="15"/>
        <v>0</v>
      </c>
      <c r="AV378">
        <f t="shared" si="16"/>
        <v>797.71799999999996</v>
      </c>
      <c r="AW378">
        <v>83</v>
      </c>
      <c r="AX378">
        <v>936</v>
      </c>
      <c r="BC378" t="s">
        <v>60</v>
      </c>
    </row>
    <row r="379" spans="3:55" x14ac:dyDescent="0.45">
      <c r="C379">
        <v>93.44</v>
      </c>
      <c r="D379">
        <v>0</v>
      </c>
      <c r="E379">
        <v>0</v>
      </c>
      <c r="F379">
        <v>0</v>
      </c>
      <c r="G379">
        <v>0</v>
      </c>
      <c r="H379">
        <v>0.02</v>
      </c>
      <c r="I379">
        <v>0</v>
      </c>
      <c r="J379">
        <v>0</v>
      </c>
      <c r="K379">
        <v>0</v>
      </c>
      <c r="L379">
        <v>6.54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1</v>
      </c>
      <c r="W379">
        <v>0</v>
      </c>
      <c r="X379">
        <v>0</v>
      </c>
      <c r="Y379">
        <v>0</v>
      </c>
      <c r="Z379">
        <v>1</v>
      </c>
      <c r="AA379">
        <v>0</v>
      </c>
      <c r="AB379">
        <v>0</v>
      </c>
      <c r="AC379">
        <v>0</v>
      </c>
      <c r="AD379">
        <v>0</v>
      </c>
      <c r="AE379">
        <v>1</v>
      </c>
      <c r="AF379">
        <v>0</v>
      </c>
      <c r="AG379">
        <v>0</v>
      </c>
      <c r="AH379">
        <v>0</v>
      </c>
      <c r="AI379">
        <v>0</v>
      </c>
      <c r="AJ379">
        <v>0</v>
      </c>
      <c r="AK379">
        <v>0</v>
      </c>
      <c r="AL379">
        <v>0</v>
      </c>
      <c r="AM379">
        <v>0</v>
      </c>
      <c r="AN379">
        <v>0</v>
      </c>
      <c r="AO379">
        <v>0</v>
      </c>
      <c r="AP379">
        <v>0</v>
      </c>
      <c r="AQ379">
        <v>0</v>
      </c>
      <c r="AR379">
        <v>0</v>
      </c>
      <c r="AS379">
        <v>0</v>
      </c>
      <c r="AT379">
        <f t="shared" si="17"/>
        <v>6.5979999999999999</v>
      </c>
      <c r="AU379">
        <f t="shared" si="15"/>
        <v>0</v>
      </c>
      <c r="AV379">
        <f t="shared" si="16"/>
        <v>819.56200000000001</v>
      </c>
      <c r="AW379">
        <v>78</v>
      </c>
      <c r="AX379">
        <v>481</v>
      </c>
      <c r="BC379" t="s">
        <v>60</v>
      </c>
    </row>
    <row r="380" spans="3:55" x14ac:dyDescent="0.45">
      <c r="C380">
        <v>93.61</v>
      </c>
      <c r="D380">
        <v>0</v>
      </c>
      <c r="E380">
        <v>0</v>
      </c>
      <c r="F380">
        <v>0</v>
      </c>
      <c r="G380">
        <v>0</v>
      </c>
      <c r="H380">
        <v>0.02</v>
      </c>
      <c r="I380">
        <v>0</v>
      </c>
      <c r="J380">
        <v>0</v>
      </c>
      <c r="K380">
        <v>0</v>
      </c>
      <c r="L380">
        <v>6.370000000000001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1</v>
      </c>
      <c r="W380">
        <v>0</v>
      </c>
      <c r="X380">
        <v>0</v>
      </c>
      <c r="Y380">
        <v>0</v>
      </c>
      <c r="Z380">
        <v>1</v>
      </c>
      <c r="AA380">
        <v>0</v>
      </c>
      <c r="AB380">
        <v>0</v>
      </c>
      <c r="AC380">
        <v>0</v>
      </c>
      <c r="AD380">
        <v>0</v>
      </c>
      <c r="AE380">
        <v>1</v>
      </c>
      <c r="AF380">
        <v>0</v>
      </c>
      <c r="AG380">
        <v>0</v>
      </c>
      <c r="AH380">
        <v>0</v>
      </c>
      <c r="AI380">
        <v>0</v>
      </c>
      <c r="AJ380">
        <v>0</v>
      </c>
      <c r="AK380">
        <v>0</v>
      </c>
      <c r="AL380">
        <v>0</v>
      </c>
      <c r="AM380">
        <v>0</v>
      </c>
      <c r="AN380">
        <v>0</v>
      </c>
      <c r="AO380">
        <v>0</v>
      </c>
      <c r="AP380">
        <v>0</v>
      </c>
      <c r="AQ380">
        <v>0</v>
      </c>
      <c r="AR380">
        <v>0</v>
      </c>
      <c r="AS380">
        <v>0</v>
      </c>
      <c r="AT380">
        <f t="shared" si="17"/>
        <v>6.4280000000000008</v>
      </c>
      <c r="AU380">
        <f t="shared" si="15"/>
        <v>0</v>
      </c>
      <c r="AV380">
        <f t="shared" si="16"/>
        <v>821.17700000000002</v>
      </c>
      <c r="AW380">
        <v>84</v>
      </c>
      <c r="AX380">
        <v>480</v>
      </c>
      <c r="BC380" t="s">
        <v>60</v>
      </c>
    </row>
    <row r="381" spans="3:55" x14ac:dyDescent="0.45">
      <c r="C381">
        <v>85.11</v>
      </c>
      <c r="D381">
        <v>5.0599999999999996</v>
      </c>
      <c r="E381">
        <v>0</v>
      </c>
      <c r="F381">
        <v>9.68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0</v>
      </c>
      <c r="AA381">
        <v>0</v>
      </c>
      <c r="AB381">
        <v>0</v>
      </c>
      <c r="AC381">
        <v>900</v>
      </c>
      <c r="AD381">
        <v>0.5</v>
      </c>
      <c r="AE381">
        <v>1</v>
      </c>
      <c r="AF381">
        <v>0</v>
      </c>
      <c r="AG381">
        <v>0</v>
      </c>
      <c r="AH381">
        <v>600</v>
      </c>
      <c r="AI381">
        <v>4</v>
      </c>
      <c r="AJ381">
        <v>0</v>
      </c>
      <c r="AK381">
        <v>1</v>
      </c>
      <c r="AL381">
        <v>0</v>
      </c>
      <c r="AM381">
        <v>0</v>
      </c>
      <c r="AN381">
        <v>0</v>
      </c>
      <c r="AO381">
        <v>0</v>
      </c>
      <c r="AP381">
        <v>0</v>
      </c>
      <c r="AQ381">
        <v>0</v>
      </c>
      <c r="AR381">
        <v>0</v>
      </c>
      <c r="AS381">
        <v>0</v>
      </c>
      <c r="AT381">
        <f t="shared" si="17"/>
        <v>10.428000000000001</v>
      </c>
      <c r="AU381">
        <f t="shared" si="15"/>
        <v>5.0599999999999996</v>
      </c>
      <c r="AV381">
        <f t="shared" si="16"/>
        <v>775.49799999999993</v>
      </c>
      <c r="AY381">
        <v>1043.33</v>
      </c>
      <c r="BC381" t="s">
        <v>108</v>
      </c>
    </row>
    <row r="382" spans="3:55" x14ac:dyDescent="0.45">
      <c r="C382">
        <v>85.11</v>
      </c>
      <c r="D382">
        <v>5.0599999999999996</v>
      </c>
      <c r="E382">
        <v>0</v>
      </c>
      <c r="F382">
        <v>9.68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1</v>
      </c>
      <c r="Z382">
        <v>0</v>
      </c>
      <c r="AA382">
        <v>0</v>
      </c>
      <c r="AB382">
        <v>0</v>
      </c>
      <c r="AC382">
        <v>900</v>
      </c>
      <c r="AD382">
        <v>0.5</v>
      </c>
      <c r="AE382">
        <v>1</v>
      </c>
      <c r="AF382">
        <v>0</v>
      </c>
      <c r="AG382">
        <v>0</v>
      </c>
      <c r="AH382">
        <v>700</v>
      </c>
      <c r="AI382">
        <v>4</v>
      </c>
      <c r="AJ382">
        <v>0</v>
      </c>
      <c r="AK382">
        <v>1</v>
      </c>
      <c r="AL382">
        <v>0</v>
      </c>
      <c r="AM382">
        <v>0</v>
      </c>
      <c r="AN382">
        <v>0</v>
      </c>
      <c r="AO382">
        <v>0</v>
      </c>
      <c r="AP382">
        <v>0</v>
      </c>
      <c r="AQ382">
        <v>0</v>
      </c>
      <c r="AR382">
        <v>0</v>
      </c>
      <c r="AS382">
        <v>0</v>
      </c>
      <c r="AT382">
        <f t="shared" si="17"/>
        <v>10.428000000000001</v>
      </c>
      <c r="AU382">
        <f t="shared" si="15"/>
        <v>5.0599999999999996</v>
      </c>
      <c r="AV382">
        <f t="shared" si="16"/>
        <v>775.49799999999993</v>
      </c>
      <c r="AY382">
        <v>1143.3</v>
      </c>
      <c r="BC382" t="s">
        <v>108</v>
      </c>
    </row>
    <row r="383" spans="3:55" x14ac:dyDescent="0.45">
      <c r="C383">
        <v>94.64</v>
      </c>
      <c r="D383">
        <v>0</v>
      </c>
      <c r="E383">
        <v>0</v>
      </c>
      <c r="F383">
        <v>0</v>
      </c>
      <c r="G383">
        <v>0</v>
      </c>
      <c r="H383">
        <v>3.2800000000000002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2.08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1</v>
      </c>
      <c r="W383">
        <v>0</v>
      </c>
      <c r="X383">
        <v>0</v>
      </c>
      <c r="Y383">
        <v>0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1</v>
      </c>
      <c r="AF383">
        <v>0</v>
      </c>
      <c r="AG383">
        <v>0</v>
      </c>
      <c r="AH383">
        <v>0</v>
      </c>
      <c r="AI383">
        <v>0</v>
      </c>
      <c r="AJ383">
        <v>0</v>
      </c>
      <c r="AK383">
        <v>0</v>
      </c>
      <c r="AL383">
        <v>0</v>
      </c>
      <c r="AM383">
        <v>0</v>
      </c>
      <c r="AN383">
        <v>0</v>
      </c>
      <c r="AO383">
        <v>0</v>
      </c>
      <c r="AP383">
        <v>0</v>
      </c>
      <c r="AQ383">
        <v>0</v>
      </c>
      <c r="AR383">
        <v>0</v>
      </c>
      <c r="AS383">
        <v>0</v>
      </c>
      <c r="AT383">
        <f t="shared" si="17"/>
        <v>9.9695999999999998</v>
      </c>
      <c r="AU383">
        <f t="shared" si="15"/>
        <v>0</v>
      </c>
      <c r="AV383">
        <f t="shared" si="16"/>
        <v>831.48799999999994</v>
      </c>
      <c r="AW383">
        <v>110</v>
      </c>
      <c r="AX383">
        <v>1250</v>
      </c>
      <c r="BC383" t="s">
        <v>60</v>
      </c>
    </row>
    <row r="384" spans="3:55" x14ac:dyDescent="0.45">
      <c r="C384">
        <v>93.820000000000007</v>
      </c>
      <c r="D384">
        <v>0</v>
      </c>
      <c r="E384">
        <v>0</v>
      </c>
      <c r="F384">
        <v>0</v>
      </c>
      <c r="G384">
        <v>0</v>
      </c>
      <c r="H384">
        <v>3.4299999999999997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2.75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1</v>
      </c>
      <c r="W384">
        <v>0</v>
      </c>
      <c r="X384">
        <v>0</v>
      </c>
      <c r="Y384">
        <v>0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1</v>
      </c>
      <c r="AF384">
        <v>0</v>
      </c>
      <c r="AG384">
        <v>0</v>
      </c>
      <c r="AH384">
        <v>0</v>
      </c>
      <c r="AI384">
        <v>0</v>
      </c>
      <c r="AJ384">
        <v>0</v>
      </c>
      <c r="AK384">
        <v>0</v>
      </c>
      <c r="AL384">
        <v>0</v>
      </c>
      <c r="AM384">
        <v>0</v>
      </c>
      <c r="AN384">
        <v>0</v>
      </c>
      <c r="AO384">
        <v>0</v>
      </c>
      <c r="AP384">
        <v>0</v>
      </c>
      <c r="AQ384">
        <v>0</v>
      </c>
      <c r="AR384">
        <v>0</v>
      </c>
      <c r="AS384">
        <v>0</v>
      </c>
      <c r="AT384">
        <f t="shared" si="17"/>
        <v>10.552</v>
      </c>
      <c r="AU384">
        <f t="shared" si="15"/>
        <v>0</v>
      </c>
      <c r="AV384">
        <f t="shared" si="16"/>
        <v>829.178</v>
      </c>
      <c r="AW384">
        <v>121</v>
      </c>
      <c r="AX384">
        <v>1360</v>
      </c>
      <c r="BC384" t="s">
        <v>60</v>
      </c>
    </row>
    <row r="385" spans="3:55" x14ac:dyDescent="0.45">
      <c r="C385">
        <v>91.41</v>
      </c>
      <c r="D385">
        <v>0</v>
      </c>
      <c r="E385">
        <v>0</v>
      </c>
      <c r="F385">
        <v>0</v>
      </c>
      <c r="G385">
        <v>0</v>
      </c>
      <c r="H385">
        <v>7.1999999999999993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1.39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1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0</v>
      </c>
      <c r="AJ385">
        <v>0</v>
      </c>
      <c r="AK385">
        <v>0</v>
      </c>
      <c r="AL385">
        <v>0</v>
      </c>
      <c r="AM385">
        <v>0</v>
      </c>
      <c r="AN385">
        <v>0</v>
      </c>
      <c r="AO385">
        <v>0</v>
      </c>
      <c r="AP385">
        <v>0</v>
      </c>
      <c r="AQ385">
        <v>0</v>
      </c>
      <c r="AR385">
        <v>0</v>
      </c>
      <c r="AS385">
        <v>0</v>
      </c>
      <c r="AT385">
        <f t="shared" si="17"/>
        <v>21.1858</v>
      </c>
      <c r="AU385">
        <f t="shared" si="15"/>
        <v>0</v>
      </c>
      <c r="AV385">
        <f t="shared" si="16"/>
        <v>771.12</v>
      </c>
      <c r="AW385">
        <v>120</v>
      </c>
      <c r="AX385">
        <v>1103</v>
      </c>
      <c r="BC385" t="s">
        <v>60</v>
      </c>
    </row>
    <row r="386" spans="3:55" x14ac:dyDescent="0.45">
      <c r="C386">
        <v>90.35</v>
      </c>
      <c r="D386">
        <v>0</v>
      </c>
      <c r="E386">
        <v>0</v>
      </c>
      <c r="F386">
        <v>0</v>
      </c>
      <c r="G386">
        <v>0</v>
      </c>
      <c r="H386">
        <v>7.3800000000000008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2.2800000000000002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1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0</v>
      </c>
      <c r="AJ386">
        <v>0</v>
      </c>
      <c r="AK386">
        <v>0</v>
      </c>
      <c r="AL386">
        <v>0</v>
      </c>
      <c r="AM386">
        <v>0</v>
      </c>
      <c r="AN386">
        <v>0</v>
      </c>
      <c r="AO386">
        <v>0</v>
      </c>
      <c r="AP386">
        <v>0</v>
      </c>
      <c r="AQ386">
        <v>0</v>
      </c>
      <c r="AR386">
        <v>0</v>
      </c>
      <c r="AS386">
        <v>0</v>
      </c>
      <c r="AT386">
        <f t="shared" si="17"/>
        <v>21.903600000000001</v>
      </c>
      <c r="AU386">
        <f t="shared" ref="AU386:AU449" si="18">D386+J386/6+M386/3+(T386+S386)/10</f>
        <v>0</v>
      </c>
      <c r="AV386">
        <f t="shared" ref="AV386:AV449" si="19">882+2.1*D386-9.5*L386+4.2*M386-6.9*J386-11.8*E386-12.1*F386-15.4*H386+23.3*Q386+123*T386</f>
        <v>768.34799999999996</v>
      </c>
      <c r="AW386">
        <v>106</v>
      </c>
      <c r="AX386">
        <v>1050</v>
      </c>
      <c r="BC386" t="s">
        <v>60</v>
      </c>
    </row>
    <row r="387" spans="3:55" x14ac:dyDescent="0.45">
      <c r="C387">
        <v>91.52</v>
      </c>
      <c r="D387">
        <v>0</v>
      </c>
      <c r="E387">
        <v>0</v>
      </c>
      <c r="F387">
        <v>0</v>
      </c>
      <c r="G387">
        <v>0</v>
      </c>
      <c r="H387">
        <v>7.93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0.54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1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>
        <v>0</v>
      </c>
      <c r="AI387">
        <v>0</v>
      </c>
      <c r="AJ387">
        <v>0</v>
      </c>
      <c r="AK387">
        <v>0</v>
      </c>
      <c r="AL387">
        <v>0</v>
      </c>
      <c r="AM387">
        <v>0</v>
      </c>
      <c r="AN387">
        <v>0</v>
      </c>
      <c r="AO387">
        <v>0</v>
      </c>
      <c r="AP387">
        <v>0</v>
      </c>
      <c r="AQ387">
        <v>0</v>
      </c>
      <c r="AR387">
        <v>0</v>
      </c>
      <c r="AS387">
        <v>0</v>
      </c>
      <c r="AT387">
        <f t="shared" ref="AT387:AT450" si="20">L387+0.67*E387+0.44*P387+0.28*K387+0.22*O387+2.9*H387+1.6*F387+1.7*G387-D387</f>
        <v>23.1158</v>
      </c>
      <c r="AU387">
        <f t="shared" si="18"/>
        <v>0</v>
      </c>
      <c r="AV387">
        <f t="shared" si="19"/>
        <v>759.87800000000004</v>
      </c>
      <c r="AW387">
        <v>110</v>
      </c>
      <c r="AX387">
        <v>1143</v>
      </c>
      <c r="BC387" t="s">
        <v>60</v>
      </c>
    </row>
    <row r="388" spans="3:55" x14ac:dyDescent="0.45">
      <c r="C388">
        <v>90.490000000000009</v>
      </c>
      <c r="D388">
        <v>0</v>
      </c>
      <c r="E388">
        <v>0</v>
      </c>
      <c r="F388">
        <v>0</v>
      </c>
      <c r="G388">
        <v>0</v>
      </c>
      <c r="H388">
        <v>8.1199999999999992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1.39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1</v>
      </c>
      <c r="Z388">
        <v>0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  <c r="AL388">
        <v>0</v>
      </c>
      <c r="AM388">
        <v>0</v>
      </c>
      <c r="AN388">
        <v>0</v>
      </c>
      <c r="AO388">
        <v>0</v>
      </c>
      <c r="AP388">
        <v>0</v>
      </c>
      <c r="AQ388">
        <v>0</v>
      </c>
      <c r="AR388">
        <v>0</v>
      </c>
      <c r="AS388">
        <v>0</v>
      </c>
      <c r="AT388">
        <f t="shared" si="20"/>
        <v>23.8538</v>
      </c>
      <c r="AU388">
        <f t="shared" si="18"/>
        <v>0</v>
      </c>
      <c r="AV388">
        <f t="shared" si="19"/>
        <v>756.952</v>
      </c>
      <c r="AW388">
        <v>103</v>
      </c>
      <c r="AX388">
        <v>1079</v>
      </c>
      <c r="BC388" t="s">
        <v>60</v>
      </c>
    </row>
    <row r="389" spans="3:55" x14ac:dyDescent="0.45">
      <c r="C389">
        <v>89.039999999999992</v>
      </c>
      <c r="D389">
        <v>0</v>
      </c>
      <c r="E389">
        <v>0</v>
      </c>
      <c r="F389">
        <v>0</v>
      </c>
      <c r="G389">
        <v>0</v>
      </c>
      <c r="H389">
        <v>8.3800000000000008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2.59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1</v>
      </c>
      <c r="Z389">
        <v>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  <c r="AL389">
        <v>0</v>
      </c>
      <c r="AM389">
        <v>0</v>
      </c>
      <c r="AN389">
        <v>0</v>
      </c>
      <c r="AO389">
        <v>0</v>
      </c>
      <c r="AP389">
        <v>0</v>
      </c>
      <c r="AQ389">
        <v>0</v>
      </c>
      <c r="AR389">
        <v>0</v>
      </c>
      <c r="AS389">
        <v>0</v>
      </c>
      <c r="AT389">
        <f t="shared" si="20"/>
        <v>24.871800000000004</v>
      </c>
      <c r="AU389">
        <f t="shared" si="18"/>
        <v>0</v>
      </c>
      <c r="AV389">
        <f t="shared" si="19"/>
        <v>752.94799999999998</v>
      </c>
      <c r="AW389">
        <v>99</v>
      </c>
      <c r="AX389">
        <v>1016</v>
      </c>
      <c r="BC389" t="s">
        <v>60</v>
      </c>
    </row>
    <row r="390" spans="3:55" x14ac:dyDescent="0.45">
      <c r="C390">
        <v>87.7</v>
      </c>
      <c r="D390">
        <v>0</v>
      </c>
      <c r="E390">
        <v>0</v>
      </c>
      <c r="F390">
        <v>0</v>
      </c>
      <c r="G390">
        <v>0</v>
      </c>
      <c r="H390">
        <v>9.4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2.9000000000000004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1</v>
      </c>
      <c r="Z390">
        <v>0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  <c r="AL390">
        <v>0</v>
      </c>
      <c r="AM390">
        <v>0</v>
      </c>
      <c r="AN390">
        <v>0</v>
      </c>
      <c r="AO390">
        <v>0</v>
      </c>
      <c r="AP390">
        <v>0</v>
      </c>
      <c r="AQ390">
        <v>0</v>
      </c>
      <c r="AR390">
        <v>0</v>
      </c>
      <c r="AS390">
        <v>0</v>
      </c>
      <c r="AT390">
        <f t="shared" si="20"/>
        <v>27.898000000000003</v>
      </c>
      <c r="AU390">
        <f t="shared" si="18"/>
        <v>0</v>
      </c>
      <c r="AV390">
        <f t="shared" si="19"/>
        <v>737.24</v>
      </c>
      <c r="AW390">
        <v>92</v>
      </c>
      <c r="AX390">
        <v>1008</v>
      </c>
      <c r="BB390" t="s">
        <v>271</v>
      </c>
      <c r="BC390" t="s">
        <v>60</v>
      </c>
    </row>
    <row r="391" spans="3:55" x14ac:dyDescent="0.45">
      <c r="C391">
        <v>75.94</v>
      </c>
      <c r="D391">
        <v>0</v>
      </c>
      <c r="E391">
        <v>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19.559999999999999</v>
      </c>
      <c r="L391">
        <v>0</v>
      </c>
      <c r="M391">
        <v>0</v>
      </c>
      <c r="N391">
        <v>0</v>
      </c>
      <c r="O391">
        <v>4.5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1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1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0</v>
      </c>
      <c r="AL391">
        <v>0</v>
      </c>
      <c r="AM391">
        <v>0</v>
      </c>
      <c r="AN391">
        <v>0</v>
      </c>
      <c r="AO391">
        <v>0</v>
      </c>
      <c r="AP391">
        <v>0</v>
      </c>
      <c r="AQ391">
        <v>0</v>
      </c>
      <c r="AR391">
        <v>0</v>
      </c>
      <c r="AS391">
        <v>0</v>
      </c>
      <c r="AT391">
        <f t="shared" si="20"/>
        <v>6.4668000000000001</v>
      </c>
      <c r="AU391">
        <f t="shared" si="18"/>
        <v>0</v>
      </c>
      <c r="AV391">
        <f t="shared" si="19"/>
        <v>882</v>
      </c>
      <c r="AW391">
        <v>66</v>
      </c>
      <c r="AX391">
        <v>213</v>
      </c>
      <c r="BC391" t="s">
        <v>60</v>
      </c>
    </row>
    <row r="392" spans="3:55" x14ac:dyDescent="0.45">
      <c r="C392">
        <v>71.95</v>
      </c>
      <c r="D392">
        <v>0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18.529999999999998</v>
      </c>
      <c r="L392">
        <v>0</v>
      </c>
      <c r="M392">
        <v>0</v>
      </c>
      <c r="N392">
        <v>0</v>
      </c>
      <c r="O392">
        <v>9.5200000000000014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1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1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  <c r="AL392">
        <v>0</v>
      </c>
      <c r="AM392">
        <v>0</v>
      </c>
      <c r="AN392">
        <v>0</v>
      </c>
      <c r="AO392">
        <v>0</v>
      </c>
      <c r="AP392">
        <v>0</v>
      </c>
      <c r="AQ392">
        <v>0</v>
      </c>
      <c r="AR392">
        <v>0</v>
      </c>
      <c r="AS392">
        <v>0</v>
      </c>
      <c r="AT392">
        <f t="shared" si="20"/>
        <v>7.2827999999999999</v>
      </c>
      <c r="AU392">
        <f t="shared" si="18"/>
        <v>0</v>
      </c>
      <c r="AV392">
        <f t="shared" si="19"/>
        <v>882</v>
      </c>
      <c r="AW392">
        <v>55</v>
      </c>
      <c r="AX392">
        <v>200</v>
      </c>
      <c r="BC392" t="s">
        <v>60</v>
      </c>
    </row>
    <row r="393" spans="3:55" x14ac:dyDescent="0.45">
      <c r="C393">
        <v>84.26</v>
      </c>
      <c r="D393">
        <v>0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14.97</v>
      </c>
      <c r="L393">
        <v>0</v>
      </c>
      <c r="M393">
        <v>0</v>
      </c>
      <c r="N393">
        <v>0</v>
      </c>
      <c r="O393">
        <v>0.77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1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1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0</v>
      </c>
      <c r="AL393">
        <v>0</v>
      </c>
      <c r="AM393">
        <v>0</v>
      </c>
      <c r="AN393">
        <v>0</v>
      </c>
      <c r="AO393">
        <v>0</v>
      </c>
      <c r="AP393">
        <v>0</v>
      </c>
      <c r="AQ393">
        <v>0</v>
      </c>
      <c r="AR393">
        <v>0</v>
      </c>
      <c r="AS393">
        <v>0</v>
      </c>
      <c r="AT393">
        <f t="shared" si="20"/>
        <v>4.3610000000000007</v>
      </c>
      <c r="AU393">
        <f t="shared" si="18"/>
        <v>0</v>
      </c>
      <c r="AV393">
        <f t="shared" si="19"/>
        <v>882</v>
      </c>
      <c r="AW393">
        <v>71</v>
      </c>
      <c r="AX393">
        <v>374</v>
      </c>
      <c r="BB393" t="s">
        <v>272</v>
      </c>
      <c r="BC393" t="s">
        <v>60</v>
      </c>
    </row>
    <row r="394" spans="3:55" x14ac:dyDescent="0.45">
      <c r="C394">
        <v>83.13000000000001</v>
      </c>
      <c r="D394">
        <v>0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15.299999999999999</v>
      </c>
      <c r="L394">
        <v>0</v>
      </c>
      <c r="M394">
        <v>0</v>
      </c>
      <c r="N394">
        <v>0</v>
      </c>
      <c r="O394">
        <v>1.5699999999999998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1</v>
      </c>
      <c r="W394">
        <v>0</v>
      </c>
      <c r="X394">
        <v>0</v>
      </c>
      <c r="Y394">
        <v>0</v>
      </c>
      <c r="Z394">
        <v>1</v>
      </c>
      <c r="AA394">
        <v>0</v>
      </c>
      <c r="AB394">
        <v>0</v>
      </c>
      <c r="AC394">
        <v>0</v>
      </c>
      <c r="AD394">
        <v>0</v>
      </c>
      <c r="AE394">
        <v>1</v>
      </c>
      <c r="AF394">
        <v>0</v>
      </c>
      <c r="AG394">
        <v>0</v>
      </c>
      <c r="AH394">
        <v>0</v>
      </c>
      <c r="AI394">
        <v>0</v>
      </c>
      <c r="AJ394">
        <v>0</v>
      </c>
      <c r="AK394">
        <v>0</v>
      </c>
      <c r="AL394">
        <v>0</v>
      </c>
      <c r="AM394">
        <v>0</v>
      </c>
      <c r="AN394">
        <v>0</v>
      </c>
      <c r="AO394">
        <v>0</v>
      </c>
      <c r="AP394">
        <v>0</v>
      </c>
      <c r="AQ394">
        <v>0</v>
      </c>
      <c r="AR394">
        <v>0</v>
      </c>
      <c r="AS394">
        <v>0</v>
      </c>
      <c r="AT394">
        <f t="shared" si="20"/>
        <v>4.6293999999999995</v>
      </c>
      <c r="AU394">
        <f t="shared" si="18"/>
        <v>0</v>
      </c>
      <c r="AV394">
        <f t="shared" si="19"/>
        <v>882</v>
      </c>
      <c r="AW394">
        <v>78</v>
      </c>
      <c r="AX394">
        <v>433</v>
      </c>
      <c r="BB394" t="s">
        <v>273</v>
      </c>
      <c r="BC394" t="s">
        <v>60</v>
      </c>
    </row>
    <row r="395" spans="3:55" x14ac:dyDescent="0.45">
      <c r="C395">
        <v>81.95</v>
      </c>
      <c r="D395">
        <v>0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15.64</v>
      </c>
      <c r="L395">
        <v>0</v>
      </c>
      <c r="M395">
        <v>0</v>
      </c>
      <c r="N395">
        <v>0</v>
      </c>
      <c r="O395">
        <v>2.41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1</v>
      </c>
      <c r="W395">
        <v>0</v>
      </c>
      <c r="X395">
        <v>0</v>
      </c>
      <c r="Y395">
        <v>0</v>
      </c>
      <c r="Z395">
        <v>1</v>
      </c>
      <c r="AA395">
        <v>0</v>
      </c>
      <c r="AB395">
        <v>0</v>
      </c>
      <c r="AC395">
        <v>0</v>
      </c>
      <c r="AD395">
        <v>0</v>
      </c>
      <c r="AE395">
        <v>1</v>
      </c>
      <c r="AF395">
        <v>0</v>
      </c>
      <c r="AG395">
        <v>0</v>
      </c>
      <c r="AH395">
        <v>0</v>
      </c>
      <c r="AI395">
        <v>0</v>
      </c>
      <c r="AJ395">
        <v>0</v>
      </c>
      <c r="AK395">
        <v>0</v>
      </c>
      <c r="AL395">
        <v>0</v>
      </c>
      <c r="AM395">
        <v>0</v>
      </c>
      <c r="AN395">
        <v>0</v>
      </c>
      <c r="AO395">
        <v>0</v>
      </c>
      <c r="AP395">
        <v>0</v>
      </c>
      <c r="AQ395">
        <v>0</v>
      </c>
      <c r="AR395">
        <v>0</v>
      </c>
      <c r="AS395">
        <v>0</v>
      </c>
      <c r="AT395">
        <f t="shared" si="20"/>
        <v>4.9094000000000007</v>
      </c>
      <c r="AU395">
        <f t="shared" si="18"/>
        <v>0</v>
      </c>
      <c r="AV395">
        <f t="shared" si="19"/>
        <v>882</v>
      </c>
      <c r="AW395">
        <v>78</v>
      </c>
      <c r="AX395">
        <v>376</v>
      </c>
      <c r="BB395" t="s">
        <v>274</v>
      </c>
      <c r="BC395" t="s">
        <v>60</v>
      </c>
    </row>
    <row r="396" spans="3:55" x14ac:dyDescent="0.45">
      <c r="C396">
        <v>80.72</v>
      </c>
      <c r="D396">
        <v>0</v>
      </c>
      <c r="E396">
        <v>0</v>
      </c>
      <c r="F396">
        <v>0</v>
      </c>
      <c r="G396">
        <v>0</v>
      </c>
      <c r="H396">
        <v>0</v>
      </c>
      <c r="I396">
        <v>0</v>
      </c>
      <c r="J396">
        <v>0</v>
      </c>
      <c r="K396">
        <v>18.48</v>
      </c>
      <c r="L396">
        <v>0</v>
      </c>
      <c r="M396">
        <v>0</v>
      </c>
      <c r="N396">
        <v>0</v>
      </c>
      <c r="O396">
        <v>0.79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1</v>
      </c>
      <c r="W396">
        <v>0</v>
      </c>
      <c r="X396">
        <v>0</v>
      </c>
      <c r="Y396">
        <v>0</v>
      </c>
      <c r="Z396">
        <v>1</v>
      </c>
      <c r="AA396">
        <v>0</v>
      </c>
      <c r="AB396">
        <v>0</v>
      </c>
      <c r="AC396">
        <v>0</v>
      </c>
      <c r="AD396">
        <v>0</v>
      </c>
      <c r="AE396">
        <v>1</v>
      </c>
      <c r="AF396">
        <v>0</v>
      </c>
      <c r="AG396">
        <v>0</v>
      </c>
      <c r="AH396">
        <v>0</v>
      </c>
      <c r="AI396">
        <v>0</v>
      </c>
      <c r="AJ396">
        <v>0</v>
      </c>
      <c r="AK396">
        <v>0</v>
      </c>
      <c r="AL396">
        <v>0</v>
      </c>
      <c r="AM396">
        <v>0</v>
      </c>
      <c r="AN396">
        <v>0</v>
      </c>
      <c r="AO396">
        <v>0</v>
      </c>
      <c r="AP396">
        <v>0</v>
      </c>
      <c r="AQ396">
        <v>0</v>
      </c>
      <c r="AR396">
        <v>0</v>
      </c>
      <c r="AS396">
        <v>0</v>
      </c>
      <c r="AT396">
        <f t="shared" si="20"/>
        <v>5.3482000000000003</v>
      </c>
      <c r="AU396">
        <f t="shared" si="18"/>
        <v>0</v>
      </c>
      <c r="AV396">
        <f t="shared" si="19"/>
        <v>882</v>
      </c>
      <c r="AW396">
        <v>81</v>
      </c>
      <c r="AX396">
        <v>411</v>
      </c>
      <c r="BB396" t="s">
        <v>275</v>
      </c>
      <c r="BC396" t="s">
        <v>60</v>
      </c>
    </row>
    <row r="397" spans="3:55" x14ac:dyDescent="0.45">
      <c r="C397">
        <v>79.47999999999999</v>
      </c>
      <c r="D397">
        <v>0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18.899999999999999</v>
      </c>
      <c r="L397">
        <v>0</v>
      </c>
      <c r="M397">
        <v>0</v>
      </c>
      <c r="N397">
        <v>0</v>
      </c>
      <c r="O397">
        <v>1.6199999999999999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1</v>
      </c>
      <c r="W397">
        <v>0</v>
      </c>
      <c r="X397">
        <v>0</v>
      </c>
      <c r="Y397">
        <v>0</v>
      </c>
      <c r="Z397">
        <v>1</v>
      </c>
      <c r="AA397">
        <v>0</v>
      </c>
      <c r="AB397">
        <v>0</v>
      </c>
      <c r="AC397">
        <v>0</v>
      </c>
      <c r="AD397">
        <v>0</v>
      </c>
      <c r="AE397">
        <v>1</v>
      </c>
      <c r="AF397">
        <v>0</v>
      </c>
      <c r="AG397">
        <v>0</v>
      </c>
      <c r="AH397">
        <v>0</v>
      </c>
      <c r="AI397">
        <v>0</v>
      </c>
      <c r="AJ397">
        <v>0</v>
      </c>
      <c r="AK397">
        <v>0</v>
      </c>
      <c r="AL397">
        <v>0</v>
      </c>
      <c r="AM397">
        <v>0</v>
      </c>
      <c r="AN397">
        <v>0</v>
      </c>
      <c r="AO397">
        <v>0</v>
      </c>
      <c r="AP397">
        <v>0</v>
      </c>
      <c r="AQ397">
        <v>0</v>
      </c>
      <c r="AR397">
        <v>0</v>
      </c>
      <c r="AS397">
        <v>0</v>
      </c>
      <c r="AT397">
        <f t="shared" si="20"/>
        <v>5.6483999999999996</v>
      </c>
      <c r="AU397">
        <f t="shared" si="18"/>
        <v>0</v>
      </c>
      <c r="AV397">
        <f t="shared" si="19"/>
        <v>882</v>
      </c>
      <c r="AW397">
        <v>80</v>
      </c>
      <c r="AX397">
        <v>377</v>
      </c>
      <c r="BC397" t="s">
        <v>60</v>
      </c>
    </row>
    <row r="398" spans="3:55" x14ac:dyDescent="0.45">
      <c r="C398">
        <v>78.180000000000007</v>
      </c>
      <c r="D398">
        <v>0</v>
      </c>
      <c r="E398">
        <v>0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19.34</v>
      </c>
      <c r="L398">
        <v>0</v>
      </c>
      <c r="M398">
        <v>0</v>
      </c>
      <c r="N398">
        <v>0</v>
      </c>
      <c r="O398">
        <v>2.48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1</v>
      </c>
      <c r="W398">
        <v>0</v>
      </c>
      <c r="X398">
        <v>0</v>
      </c>
      <c r="Y398">
        <v>0</v>
      </c>
      <c r="Z398">
        <v>1</v>
      </c>
      <c r="AA398">
        <v>0</v>
      </c>
      <c r="AB398">
        <v>0</v>
      </c>
      <c r="AC398">
        <v>0</v>
      </c>
      <c r="AD398">
        <v>0</v>
      </c>
      <c r="AE398">
        <v>1</v>
      </c>
      <c r="AF398">
        <v>0</v>
      </c>
      <c r="AG398">
        <v>0</v>
      </c>
      <c r="AH398">
        <v>0</v>
      </c>
      <c r="AI398">
        <v>0</v>
      </c>
      <c r="AJ398">
        <v>0</v>
      </c>
      <c r="AK398">
        <v>0</v>
      </c>
      <c r="AL398">
        <v>0</v>
      </c>
      <c r="AM398">
        <v>0</v>
      </c>
      <c r="AN398">
        <v>0</v>
      </c>
      <c r="AO398">
        <v>0</v>
      </c>
      <c r="AP398">
        <v>0</v>
      </c>
      <c r="AQ398">
        <v>0</v>
      </c>
      <c r="AR398">
        <v>0</v>
      </c>
      <c r="AS398">
        <v>0</v>
      </c>
      <c r="AT398">
        <f t="shared" si="20"/>
        <v>5.9608000000000008</v>
      </c>
      <c r="AU398">
        <f t="shared" si="18"/>
        <v>0</v>
      </c>
      <c r="AV398">
        <f t="shared" si="19"/>
        <v>882</v>
      </c>
      <c r="AW398">
        <v>81</v>
      </c>
      <c r="AX398">
        <v>395</v>
      </c>
      <c r="BC398" t="s">
        <v>60</v>
      </c>
    </row>
    <row r="399" spans="3:55" x14ac:dyDescent="0.45">
      <c r="C399">
        <v>76.98</v>
      </c>
      <c r="D399">
        <v>0</v>
      </c>
      <c r="E399">
        <v>0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22.21</v>
      </c>
      <c r="L399">
        <v>0</v>
      </c>
      <c r="M399">
        <v>0</v>
      </c>
      <c r="N399">
        <v>0</v>
      </c>
      <c r="O399">
        <v>0.80999999999999994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1</v>
      </c>
      <c r="W399">
        <v>0</v>
      </c>
      <c r="X399">
        <v>0</v>
      </c>
      <c r="Y399">
        <v>0</v>
      </c>
      <c r="Z399">
        <v>1</v>
      </c>
      <c r="AA399">
        <v>0</v>
      </c>
      <c r="AB399">
        <v>0</v>
      </c>
      <c r="AC399">
        <v>0</v>
      </c>
      <c r="AD399">
        <v>0</v>
      </c>
      <c r="AE399">
        <v>1</v>
      </c>
      <c r="AF399">
        <v>0</v>
      </c>
      <c r="AG399">
        <v>0</v>
      </c>
      <c r="AH399">
        <v>0</v>
      </c>
      <c r="AI399">
        <v>0</v>
      </c>
      <c r="AJ399">
        <v>0</v>
      </c>
      <c r="AK399">
        <v>0</v>
      </c>
      <c r="AL399">
        <v>0</v>
      </c>
      <c r="AM399">
        <v>0</v>
      </c>
      <c r="AN399">
        <v>0</v>
      </c>
      <c r="AO399">
        <v>0</v>
      </c>
      <c r="AP399">
        <v>0</v>
      </c>
      <c r="AQ399">
        <v>0</v>
      </c>
      <c r="AR399">
        <v>0</v>
      </c>
      <c r="AS399">
        <v>0</v>
      </c>
      <c r="AT399">
        <f t="shared" si="20"/>
        <v>6.3970000000000011</v>
      </c>
      <c r="AU399">
        <f t="shared" si="18"/>
        <v>0</v>
      </c>
      <c r="AV399">
        <f t="shared" si="19"/>
        <v>882</v>
      </c>
      <c r="AW399">
        <v>85</v>
      </c>
      <c r="AX399">
        <v>303</v>
      </c>
      <c r="BC399" t="s">
        <v>60</v>
      </c>
    </row>
    <row r="400" spans="3:55" x14ac:dyDescent="0.45">
      <c r="C400">
        <v>75.61</v>
      </c>
      <c r="D400">
        <v>0</v>
      </c>
      <c r="E400">
        <v>0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22.720000000000002</v>
      </c>
      <c r="L400">
        <v>0</v>
      </c>
      <c r="M400">
        <v>0</v>
      </c>
      <c r="N400">
        <v>0</v>
      </c>
      <c r="O400">
        <v>1.67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1</v>
      </c>
      <c r="W400">
        <v>0</v>
      </c>
      <c r="X400">
        <v>0</v>
      </c>
      <c r="Y400">
        <v>0</v>
      </c>
      <c r="Z400">
        <v>1</v>
      </c>
      <c r="AA400">
        <v>0</v>
      </c>
      <c r="AB400">
        <v>0</v>
      </c>
      <c r="AC400">
        <v>0</v>
      </c>
      <c r="AD400">
        <v>0</v>
      </c>
      <c r="AE400">
        <v>1</v>
      </c>
      <c r="AF400">
        <v>0</v>
      </c>
      <c r="AG400">
        <v>0</v>
      </c>
      <c r="AH400">
        <v>0</v>
      </c>
      <c r="AI400">
        <v>0</v>
      </c>
      <c r="AJ400">
        <v>0</v>
      </c>
      <c r="AK400">
        <v>0</v>
      </c>
      <c r="AL400">
        <v>0</v>
      </c>
      <c r="AM400">
        <v>0</v>
      </c>
      <c r="AN400">
        <v>0</v>
      </c>
      <c r="AO400">
        <v>0</v>
      </c>
      <c r="AP400">
        <v>0</v>
      </c>
      <c r="AQ400">
        <v>0</v>
      </c>
      <c r="AR400">
        <v>0</v>
      </c>
      <c r="AS400">
        <v>0</v>
      </c>
      <c r="AT400">
        <f t="shared" si="20"/>
        <v>6.729000000000001</v>
      </c>
      <c r="AU400">
        <f t="shared" si="18"/>
        <v>0</v>
      </c>
      <c r="AV400">
        <f t="shared" si="19"/>
        <v>882</v>
      </c>
      <c r="AW400">
        <v>84</v>
      </c>
      <c r="AX400">
        <v>340</v>
      </c>
      <c r="BC400" t="s">
        <v>60</v>
      </c>
    </row>
    <row r="401" spans="3:55" x14ac:dyDescent="0.45">
      <c r="C401">
        <v>74.180000000000007</v>
      </c>
      <c r="D401">
        <v>0</v>
      </c>
      <c r="E401">
        <v>0</v>
      </c>
      <c r="F401">
        <v>0</v>
      </c>
      <c r="G401">
        <v>0</v>
      </c>
      <c r="H401">
        <v>0</v>
      </c>
      <c r="I401">
        <v>0</v>
      </c>
      <c r="J401">
        <v>0</v>
      </c>
      <c r="K401">
        <v>23.26</v>
      </c>
      <c r="L401">
        <v>0</v>
      </c>
      <c r="M401">
        <v>0</v>
      </c>
      <c r="N401">
        <v>0</v>
      </c>
      <c r="O401">
        <v>2.56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1</v>
      </c>
      <c r="W401">
        <v>0</v>
      </c>
      <c r="X401">
        <v>0</v>
      </c>
      <c r="Y401">
        <v>0</v>
      </c>
      <c r="Z401">
        <v>1</v>
      </c>
      <c r="AA401">
        <v>0</v>
      </c>
      <c r="AB401">
        <v>0</v>
      </c>
      <c r="AC401">
        <v>0</v>
      </c>
      <c r="AD401">
        <v>0</v>
      </c>
      <c r="AE401">
        <v>1</v>
      </c>
      <c r="AF401">
        <v>0</v>
      </c>
      <c r="AG401">
        <v>0</v>
      </c>
      <c r="AH401">
        <v>0</v>
      </c>
      <c r="AI401">
        <v>0</v>
      </c>
      <c r="AJ401">
        <v>0</v>
      </c>
      <c r="AK401">
        <v>0</v>
      </c>
      <c r="AL401">
        <v>0</v>
      </c>
      <c r="AM401">
        <v>0</v>
      </c>
      <c r="AN401">
        <v>0</v>
      </c>
      <c r="AO401">
        <v>0</v>
      </c>
      <c r="AP401">
        <v>0</v>
      </c>
      <c r="AQ401">
        <v>0</v>
      </c>
      <c r="AR401">
        <v>0</v>
      </c>
      <c r="AS401">
        <v>0</v>
      </c>
      <c r="AT401">
        <f t="shared" si="20"/>
        <v>7.0760000000000014</v>
      </c>
      <c r="AU401">
        <f t="shared" si="18"/>
        <v>0</v>
      </c>
      <c r="AV401">
        <f t="shared" si="19"/>
        <v>882</v>
      </c>
      <c r="AW401">
        <v>90</v>
      </c>
      <c r="AX401">
        <v>314</v>
      </c>
      <c r="BC401" t="s">
        <v>60</v>
      </c>
    </row>
    <row r="402" spans="3:55" x14ac:dyDescent="0.45">
      <c r="C402">
        <v>77</v>
      </c>
      <c r="D402">
        <v>0</v>
      </c>
      <c r="E402">
        <v>0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22</v>
      </c>
      <c r="L402">
        <v>0</v>
      </c>
      <c r="M402">
        <v>0</v>
      </c>
      <c r="N402">
        <v>0</v>
      </c>
      <c r="O402">
        <v>1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1</v>
      </c>
      <c r="W402">
        <v>0</v>
      </c>
      <c r="X402">
        <v>0</v>
      </c>
      <c r="Y402">
        <v>0</v>
      </c>
      <c r="Z402">
        <v>1</v>
      </c>
      <c r="AA402">
        <v>0</v>
      </c>
      <c r="AB402">
        <v>0</v>
      </c>
      <c r="AC402">
        <v>0</v>
      </c>
      <c r="AD402">
        <v>0</v>
      </c>
      <c r="AE402">
        <v>1</v>
      </c>
      <c r="AF402">
        <v>0</v>
      </c>
      <c r="AG402">
        <v>0</v>
      </c>
      <c r="AH402">
        <v>0</v>
      </c>
      <c r="AI402">
        <v>0</v>
      </c>
      <c r="AJ402">
        <v>0</v>
      </c>
      <c r="AK402">
        <v>0</v>
      </c>
      <c r="AL402">
        <v>0</v>
      </c>
      <c r="AM402">
        <v>0</v>
      </c>
      <c r="AN402">
        <v>0</v>
      </c>
      <c r="AO402">
        <v>0</v>
      </c>
      <c r="AP402">
        <v>0</v>
      </c>
      <c r="AQ402">
        <v>0</v>
      </c>
      <c r="AR402">
        <v>0</v>
      </c>
      <c r="AS402">
        <v>0</v>
      </c>
      <c r="AT402">
        <f t="shared" si="20"/>
        <v>6.38</v>
      </c>
      <c r="AU402">
        <f t="shared" si="18"/>
        <v>0</v>
      </c>
      <c r="AV402">
        <f t="shared" si="19"/>
        <v>882</v>
      </c>
      <c r="AW402">
        <v>72</v>
      </c>
      <c r="AX402">
        <v>401</v>
      </c>
      <c r="BC402" t="s">
        <v>60</v>
      </c>
    </row>
    <row r="403" spans="3:55" x14ac:dyDescent="0.45">
      <c r="C403">
        <v>71.95</v>
      </c>
      <c r="D403">
        <v>0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18.53</v>
      </c>
      <c r="L403">
        <v>0</v>
      </c>
      <c r="M403">
        <v>0</v>
      </c>
      <c r="N403">
        <v>0</v>
      </c>
      <c r="O403">
        <v>9.52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>
        <v>0</v>
      </c>
      <c r="AI403">
        <v>0</v>
      </c>
      <c r="AJ403">
        <v>0</v>
      </c>
      <c r="AK403">
        <v>0</v>
      </c>
      <c r="AL403">
        <v>0</v>
      </c>
      <c r="AM403">
        <v>0</v>
      </c>
      <c r="AN403">
        <v>0</v>
      </c>
      <c r="AO403">
        <v>0</v>
      </c>
      <c r="AP403">
        <v>0</v>
      </c>
      <c r="AQ403">
        <v>0</v>
      </c>
      <c r="AR403">
        <v>0</v>
      </c>
      <c r="AS403">
        <v>0</v>
      </c>
      <c r="AT403">
        <f t="shared" si="20"/>
        <v>7.2827999999999999</v>
      </c>
      <c r="AU403">
        <f t="shared" si="18"/>
        <v>0</v>
      </c>
      <c r="AV403">
        <f t="shared" si="19"/>
        <v>882</v>
      </c>
      <c r="AW403">
        <v>55</v>
      </c>
    </row>
    <row r="404" spans="3:55" x14ac:dyDescent="0.45">
      <c r="C404">
        <v>75.94</v>
      </c>
      <c r="D404">
        <v>0</v>
      </c>
      <c r="E404">
        <v>0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19.559999999999999</v>
      </c>
      <c r="L404">
        <v>0</v>
      </c>
      <c r="M404">
        <v>0</v>
      </c>
      <c r="N404">
        <v>0</v>
      </c>
      <c r="O404">
        <v>4.5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>
        <v>0</v>
      </c>
      <c r="AI404">
        <v>0</v>
      </c>
      <c r="AJ404">
        <v>0</v>
      </c>
      <c r="AK404">
        <v>0</v>
      </c>
      <c r="AL404">
        <v>0</v>
      </c>
      <c r="AM404">
        <v>0</v>
      </c>
      <c r="AN404">
        <v>0</v>
      </c>
      <c r="AO404">
        <v>0</v>
      </c>
      <c r="AP404">
        <v>0</v>
      </c>
      <c r="AQ404">
        <v>0</v>
      </c>
      <c r="AR404">
        <v>0</v>
      </c>
      <c r="AS404">
        <v>0</v>
      </c>
      <c r="AT404">
        <f t="shared" si="20"/>
        <v>6.4668000000000001</v>
      </c>
      <c r="AU404">
        <f t="shared" si="18"/>
        <v>0</v>
      </c>
      <c r="AV404">
        <f t="shared" si="19"/>
        <v>882</v>
      </c>
      <c r="AW404">
        <v>63</v>
      </c>
    </row>
    <row r="405" spans="3:55" x14ac:dyDescent="0.45">
      <c r="C405">
        <v>58.430000000000007</v>
      </c>
      <c r="D405">
        <v>10.91</v>
      </c>
      <c r="E405">
        <v>0</v>
      </c>
      <c r="F405">
        <v>0</v>
      </c>
      <c r="G405">
        <v>0</v>
      </c>
      <c r="H405">
        <v>0</v>
      </c>
      <c r="I405">
        <v>0</v>
      </c>
      <c r="J405">
        <v>30.659999999999997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0</v>
      </c>
      <c r="Y405">
        <v>0</v>
      </c>
      <c r="Z405">
        <v>1</v>
      </c>
      <c r="AA405">
        <v>0</v>
      </c>
      <c r="AB405">
        <v>0</v>
      </c>
      <c r="AC405">
        <v>0</v>
      </c>
      <c r="AD405">
        <v>0</v>
      </c>
      <c r="AE405">
        <v>1</v>
      </c>
      <c r="AF405">
        <v>0</v>
      </c>
      <c r="AG405">
        <v>0</v>
      </c>
      <c r="AH405">
        <v>0</v>
      </c>
      <c r="AI405">
        <v>0</v>
      </c>
      <c r="AJ405">
        <v>0</v>
      </c>
      <c r="AK405">
        <v>0</v>
      </c>
      <c r="AL405">
        <v>0</v>
      </c>
      <c r="AM405">
        <v>0</v>
      </c>
      <c r="AN405">
        <v>0</v>
      </c>
      <c r="AO405">
        <v>0</v>
      </c>
      <c r="AP405">
        <v>0</v>
      </c>
      <c r="AQ405">
        <v>0</v>
      </c>
      <c r="AR405">
        <v>0</v>
      </c>
      <c r="AS405">
        <v>0</v>
      </c>
      <c r="AT405">
        <f t="shared" si="20"/>
        <v>-10.91</v>
      </c>
      <c r="AU405">
        <f t="shared" si="18"/>
        <v>16.02</v>
      </c>
      <c r="AV405">
        <f t="shared" si="19"/>
        <v>693.35700000000008</v>
      </c>
      <c r="AW405">
        <v>100</v>
      </c>
      <c r="AX405">
        <v>1710</v>
      </c>
      <c r="BC405" t="s">
        <v>60</v>
      </c>
    </row>
    <row r="406" spans="3:55" x14ac:dyDescent="0.45">
      <c r="C406">
        <v>91.91</v>
      </c>
      <c r="D406">
        <v>0</v>
      </c>
      <c r="E406">
        <v>0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6.63</v>
      </c>
      <c r="M406">
        <v>0</v>
      </c>
      <c r="N406">
        <v>0</v>
      </c>
      <c r="O406">
        <v>1.46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1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  <c r="AL406">
        <v>0</v>
      </c>
      <c r="AM406">
        <v>0</v>
      </c>
      <c r="AN406">
        <v>0</v>
      </c>
      <c r="AO406">
        <v>0</v>
      </c>
      <c r="AP406">
        <v>0</v>
      </c>
      <c r="AQ406">
        <v>0</v>
      </c>
      <c r="AR406">
        <v>0</v>
      </c>
      <c r="AS406">
        <v>0</v>
      </c>
      <c r="AT406">
        <f t="shared" si="20"/>
        <v>6.9512</v>
      </c>
      <c r="AU406">
        <f t="shared" si="18"/>
        <v>0</v>
      </c>
      <c r="AV406">
        <f t="shared" si="19"/>
        <v>819.01499999999999</v>
      </c>
      <c r="AW406">
        <v>74</v>
      </c>
    </row>
    <row r="407" spans="3:55" x14ac:dyDescent="0.45">
      <c r="C407">
        <v>53.4</v>
      </c>
      <c r="D407">
        <v>0</v>
      </c>
      <c r="E407">
        <v>0</v>
      </c>
      <c r="F407">
        <v>0</v>
      </c>
      <c r="G407">
        <v>0</v>
      </c>
      <c r="H407">
        <v>0</v>
      </c>
      <c r="I407">
        <v>0</v>
      </c>
      <c r="J407">
        <v>4.5999999999999996</v>
      </c>
      <c r="K407">
        <v>29</v>
      </c>
      <c r="L407">
        <v>0</v>
      </c>
      <c r="M407">
        <v>0</v>
      </c>
      <c r="N407">
        <v>0</v>
      </c>
      <c r="O407">
        <v>13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1</v>
      </c>
      <c r="Z407">
        <v>0</v>
      </c>
      <c r="AA407">
        <v>0</v>
      </c>
      <c r="AB407">
        <v>0</v>
      </c>
      <c r="AC407">
        <v>800</v>
      </c>
      <c r="AD407">
        <v>1</v>
      </c>
      <c r="AE407">
        <v>1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0</v>
      </c>
      <c r="AL407">
        <v>0</v>
      </c>
      <c r="AM407">
        <v>0</v>
      </c>
      <c r="AN407">
        <v>0</v>
      </c>
      <c r="AO407">
        <v>0</v>
      </c>
      <c r="AP407">
        <v>0</v>
      </c>
      <c r="AQ407">
        <v>0</v>
      </c>
      <c r="AR407">
        <v>0</v>
      </c>
      <c r="AS407">
        <v>0</v>
      </c>
      <c r="AT407">
        <f t="shared" si="20"/>
        <v>10.98</v>
      </c>
      <c r="AU407">
        <f t="shared" si="18"/>
        <v>0.76666666666666661</v>
      </c>
      <c r="AV407">
        <f t="shared" si="19"/>
        <v>850.26</v>
      </c>
      <c r="AW407">
        <v>42</v>
      </c>
      <c r="AX407">
        <v>88</v>
      </c>
      <c r="AY407">
        <v>421</v>
      </c>
      <c r="AZ407">
        <v>80.34</v>
      </c>
      <c r="BC407" t="s">
        <v>121</v>
      </c>
    </row>
    <row r="408" spans="3:55" x14ac:dyDescent="0.45">
      <c r="C408">
        <v>53.4</v>
      </c>
      <c r="D408">
        <v>0</v>
      </c>
      <c r="E408">
        <v>0</v>
      </c>
      <c r="F408">
        <v>0</v>
      </c>
      <c r="G408">
        <v>0</v>
      </c>
      <c r="H408">
        <v>0</v>
      </c>
      <c r="I408">
        <v>0</v>
      </c>
      <c r="J408">
        <v>4.5999999999999996</v>
      </c>
      <c r="K408">
        <v>29</v>
      </c>
      <c r="L408">
        <v>0</v>
      </c>
      <c r="M408">
        <v>0</v>
      </c>
      <c r="N408">
        <v>0</v>
      </c>
      <c r="O408">
        <v>13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20</v>
      </c>
      <c r="X408">
        <v>88.75</v>
      </c>
      <c r="Y408">
        <v>0</v>
      </c>
      <c r="Z408">
        <v>1</v>
      </c>
      <c r="AA408">
        <v>0</v>
      </c>
      <c r="AB408">
        <v>0</v>
      </c>
      <c r="AC408">
        <v>800</v>
      </c>
      <c r="AD408">
        <v>1</v>
      </c>
      <c r="AE408">
        <v>1</v>
      </c>
      <c r="AF408">
        <v>0</v>
      </c>
      <c r="AG408">
        <v>0</v>
      </c>
      <c r="AH408">
        <v>0</v>
      </c>
      <c r="AI408">
        <v>0</v>
      </c>
      <c r="AJ408">
        <v>0</v>
      </c>
      <c r="AK408">
        <v>0</v>
      </c>
      <c r="AL408">
        <v>0</v>
      </c>
      <c r="AM408">
        <v>0</v>
      </c>
      <c r="AN408">
        <v>0</v>
      </c>
      <c r="AO408">
        <v>0</v>
      </c>
      <c r="AP408">
        <v>0</v>
      </c>
      <c r="AQ408">
        <v>0</v>
      </c>
      <c r="AR408">
        <v>0</v>
      </c>
      <c r="AS408">
        <v>0</v>
      </c>
      <c r="AT408">
        <f t="shared" si="20"/>
        <v>10.98</v>
      </c>
      <c r="AU408">
        <f t="shared" si="18"/>
        <v>0.76666666666666661</v>
      </c>
      <c r="AV408">
        <f t="shared" si="19"/>
        <v>850.26</v>
      </c>
      <c r="AW408">
        <v>46</v>
      </c>
      <c r="AX408">
        <v>356</v>
      </c>
      <c r="AY408">
        <v>686</v>
      </c>
      <c r="AZ408">
        <v>4.7300000000000004</v>
      </c>
      <c r="BC408" t="s">
        <v>121</v>
      </c>
    </row>
    <row r="409" spans="3:55" x14ac:dyDescent="0.45">
      <c r="C409">
        <v>53.4</v>
      </c>
      <c r="D409">
        <v>0</v>
      </c>
      <c r="E409">
        <v>0</v>
      </c>
      <c r="F409">
        <v>0</v>
      </c>
      <c r="G409">
        <v>0</v>
      </c>
      <c r="H409">
        <v>0</v>
      </c>
      <c r="I409">
        <v>0</v>
      </c>
      <c r="J409">
        <v>4.5999999999999996</v>
      </c>
      <c r="K409">
        <v>29</v>
      </c>
      <c r="L409">
        <v>0</v>
      </c>
      <c r="M409">
        <v>0</v>
      </c>
      <c r="N409">
        <v>0</v>
      </c>
      <c r="O409">
        <v>13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20</v>
      </c>
      <c r="X409">
        <v>88.75</v>
      </c>
      <c r="Y409">
        <v>0</v>
      </c>
      <c r="Z409">
        <v>1</v>
      </c>
      <c r="AA409">
        <v>0</v>
      </c>
      <c r="AB409">
        <v>0</v>
      </c>
      <c r="AC409">
        <v>800</v>
      </c>
      <c r="AD409">
        <v>1</v>
      </c>
      <c r="AE409">
        <v>1</v>
      </c>
      <c r="AF409">
        <v>0</v>
      </c>
      <c r="AG409">
        <v>0</v>
      </c>
      <c r="AH409">
        <v>400</v>
      </c>
      <c r="AI409">
        <v>0.33</v>
      </c>
      <c r="AJ409">
        <v>1</v>
      </c>
      <c r="AK409">
        <v>0</v>
      </c>
      <c r="AL409">
        <v>0</v>
      </c>
      <c r="AM409">
        <v>0</v>
      </c>
      <c r="AN409">
        <v>0</v>
      </c>
      <c r="AO409">
        <v>0</v>
      </c>
      <c r="AP409">
        <v>0</v>
      </c>
      <c r="AQ409">
        <v>0</v>
      </c>
      <c r="AR409">
        <v>0</v>
      </c>
      <c r="AS409">
        <v>0</v>
      </c>
      <c r="AT409">
        <f t="shared" si="20"/>
        <v>10.98</v>
      </c>
      <c r="AU409">
        <f t="shared" si="18"/>
        <v>0.76666666666666661</v>
      </c>
      <c r="AV409">
        <f t="shared" si="19"/>
        <v>850.26</v>
      </c>
      <c r="AW409">
        <v>48</v>
      </c>
      <c r="AX409">
        <v>920</v>
      </c>
      <c r="AY409">
        <v>967</v>
      </c>
      <c r="AZ409">
        <v>2.91</v>
      </c>
      <c r="BC409" t="s">
        <v>121</v>
      </c>
    </row>
    <row r="410" spans="3:55" x14ac:dyDescent="0.45">
      <c r="C410">
        <v>53.4</v>
      </c>
      <c r="D410">
        <v>0</v>
      </c>
      <c r="E410">
        <v>0</v>
      </c>
      <c r="F410">
        <v>0</v>
      </c>
      <c r="G410">
        <v>0</v>
      </c>
      <c r="H410">
        <v>0</v>
      </c>
      <c r="I410">
        <v>0</v>
      </c>
      <c r="J410">
        <v>4.5999999999999996</v>
      </c>
      <c r="K410">
        <v>29</v>
      </c>
      <c r="L410">
        <v>0</v>
      </c>
      <c r="M410">
        <v>0</v>
      </c>
      <c r="N410">
        <v>0</v>
      </c>
      <c r="O410">
        <v>13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1</v>
      </c>
      <c r="W410">
        <v>20</v>
      </c>
      <c r="X410">
        <v>88.75</v>
      </c>
      <c r="Y410">
        <v>0</v>
      </c>
      <c r="Z410">
        <v>1</v>
      </c>
      <c r="AA410">
        <v>0</v>
      </c>
      <c r="AB410">
        <v>0</v>
      </c>
      <c r="AC410">
        <v>800</v>
      </c>
      <c r="AD410">
        <v>1</v>
      </c>
      <c r="AE410">
        <v>1</v>
      </c>
      <c r="AF410">
        <v>0</v>
      </c>
      <c r="AG410">
        <v>0</v>
      </c>
      <c r="AH410">
        <v>400</v>
      </c>
      <c r="AI410">
        <v>1.67</v>
      </c>
      <c r="AJ410">
        <v>1</v>
      </c>
      <c r="AK410">
        <v>0</v>
      </c>
      <c r="AL410">
        <v>0</v>
      </c>
      <c r="AM410">
        <v>0</v>
      </c>
      <c r="AN410">
        <v>0</v>
      </c>
      <c r="AO410">
        <v>0</v>
      </c>
      <c r="AP410">
        <v>0</v>
      </c>
      <c r="AQ410">
        <v>0</v>
      </c>
      <c r="AR410">
        <v>0</v>
      </c>
      <c r="AS410">
        <v>0</v>
      </c>
      <c r="AT410">
        <f t="shared" si="20"/>
        <v>10.98</v>
      </c>
      <c r="AU410">
        <f t="shared" si="18"/>
        <v>0.76666666666666661</v>
      </c>
      <c r="AV410">
        <f t="shared" si="19"/>
        <v>850.26</v>
      </c>
      <c r="AW410">
        <v>83</v>
      </c>
      <c r="AX410">
        <v>1180</v>
      </c>
      <c r="AY410">
        <v>1192</v>
      </c>
      <c r="AZ410">
        <v>1.66</v>
      </c>
      <c r="BC410" t="s">
        <v>121</v>
      </c>
    </row>
    <row r="411" spans="3:55" x14ac:dyDescent="0.45">
      <c r="C411">
        <v>53</v>
      </c>
      <c r="D411">
        <v>0</v>
      </c>
      <c r="E411">
        <v>0</v>
      </c>
      <c r="F411">
        <v>0</v>
      </c>
      <c r="G411">
        <v>0</v>
      </c>
      <c r="H411">
        <v>0</v>
      </c>
      <c r="I411">
        <v>0</v>
      </c>
      <c r="J411">
        <v>7</v>
      </c>
      <c r="K411">
        <v>35</v>
      </c>
      <c r="L411">
        <v>0</v>
      </c>
      <c r="M411">
        <v>0</v>
      </c>
      <c r="N411">
        <v>0</v>
      </c>
      <c r="O411">
        <v>5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1</v>
      </c>
      <c r="Z411">
        <v>0</v>
      </c>
      <c r="AA411">
        <v>0</v>
      </c>
      <c r="AB411">
        <v>0</v>
      </c>
      <c r="AC411">
        <v>850</v>
      </c>
      <c r="AD411">
        <v>0.5</v>
      </c>
      <c r="AE411">
        <v>1</v>
      </c>
      <c r="AF411">
        <v>0</v>
      </c>
      <c r="AG411">
        <v>0</v>
      </c>
      <c r="AH411">
        <v>0</v>
      </c>
      <c r="AI411">
        <v>0</v>
      </c>
      <c r="AJ411">
        <v>0</v>
      </c>
      <c r="AK411">
        <v>0</v>
      </c>
      <c r="AL411">
        <v>0</v>
      </c>
      <c r="AM411">
        <v>0</v>
      </c>
      <c r="AN411">
        <v>0</v>
      </c>
      <c r="AO411">
        <v>0</v>
      </c>
      <c r="AP411">
        <v>0</v>
      </c>
      <c r="AQ411">
        <v>0</v>
      </c>
      <c r="AR411">
        <v>0</v>
      </c>
      <c r="AS411">
        <v>0</v>
      </c>
      <c r="AT411">
        <f t="shared" si="20"/>
        <v>10.9</v>
      </c>
      <c r="AU411">
        <f t="shared" si="18"/>
        <v>1.1666666666666667</v>
      </c>
      <c r="AV411">
        <f t="shared" si="19"/>
        <v>833.7</v>
      </c>
      <c r="AY411">
        <v>480</v>
      </c>
      <c r="AZ411">
        <v>22.13</v>
      </c>
      <c r="BC411" t="s">
        <v>122</v>
      </c>
    </row>
    <row r="412" spans="3:55" x14ac:dyDescent="0.45">
      <c r="C412">
        <v>53</v>
      </c>
      <c r="D412">
        <v>0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7</v>
      </c>
      <c r="K412">
        <v>35</v>
      </c>
      <c r="L412">
        <v>0</v>
      </c>
      <c r="M412">
        <v>0</v>
      </c>
      <c r="N412">
        <v>0</v>
      </c>
      <c r="O412">
        <v>5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1</v>
      </c>
      <c r="Z412">
        <v>0</v>
      </c>
      <c r="AA412">
        <v>0</v>
      </c>
      <c r="AB412">
        <v>0</v>
      </c>
      <c r="AC412">
        <v>850</v>
      </c>
      <c r="AD412">
        <v>0.5</v>
      </c>
      <c r="AE412">
        <v>1</v>
      </c>
      <c r="AF412">
        <v>0</v>
      </c>
      <c r="AG412">
        <v>0</v>
      </c>
      <c r="AH412">
        <v>400</v>
      </c>
      <c r="AI412">
        <v>12</v>
      </c>
      <c r="AJ412">
        <v>1</v>
      </c>
      <c r="AK412">
        <v>0</v>
      </c>
      <c r="AL412">
        <v>0</v>
      </c>
      <c r="AM412">
        <v>0</v>
      </c>
      <c r="AN412">
        <v>0</v>
      </c>
      <c r="AO412">
        <v>0</v>
      </c>
      <c r="AP412">
        <v>0</v>
      </c>
      <c r="AQ412">
        <v>0</v>
      </c>
      <c r="AR412">
        <v>0</v>
      </c>
      <c r="AS412">
        <v>0</v>
      </c>
      <c r="AT412">
        <f t="shared" si="20"/>
        <v>10.9</v>
      </c>
      <c r="AU412">
        <f t="shared" si="18"/>
        <v>1.1666666666666667</v>
      </c>
      <c r="AV412">
        <f t="shared" si="19"/>
        <v>833.7</v>
      </c>
      <c r="AY412">
        <v>492</v>
      </c>
      <c r="AZ412">
        <v>6.17</v>
      </c>
      <c r="BC412" t="s">
        <v>122</v>
      </c>
    </row>
    <row r="413" spans="3:55" x14ac:dyDescent="0.45">
      <c r="C413">
        <v>53</v>
      </c>
      <c r="D413">
        <v>0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7</v>
      </c>
      <c r="K413">
        <v>35</v>
      </c>
      <c r="L413">
        <v>0</v>
      </c>
      <c r="M413">
        <v>0</v>
      </c>
      <c r="N413">
        <v>0</v>
      </c>
      <c r="O413">
        <v>5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1</v>
      </c>
      <c r="Z413">
        <v>0</v>
      </c>
      <c r="AA413">
        <v>0</v>
      </c>
      <c r="AB413">
        <v>0</v>
      </c>
      <c r="AC413">
        <v>850</v>
      </c>
      <c r="AD413">
        <v>0.5</v>
      </c>
      <c r="AE413">
        <v>1</v>
      </c>
      <c r="AF413">
        <v>0</v>
      </c>
      <c r="AG413">
        <v>0</v>
      </c>
      <c r="AH413">
        <v>450</v>
      </c>
      <c r="AI413">
        <v>12</v>
      </c>
      <c r="AJ413">
        <v>1</v>
      </c>
      <c r="AK413">
        <v>0</v>
      </c>
      <c r="AL413">
        <v>0</v>
      </c>
      <c r="AM413">
        <v>0</v>
      </c>
      <c r="AN413">
        <v>0</v>
      </c>
      <c r="AO413">
        <v>0</v>
      </c>
      <c r="AP413">
        <v>0</v>
      </c>
      <c r="AQ413">
        <v>0</v>
      </c>
      <c r="AR413">
        <v>0</v>
      </c>
      <c r="AS413">
        <v>0</v>
      </c>
      <c r="AT413">
        <f t="shared" si="20"/>
        <v>10.9</v>
      </c>
      <c r="AU413">
        <f t="shared" si="18"/>
        <v>1.1666666666666667</v>
      </c>
      <c r="AV413">
        <f t="shared" si="19"/>
        <v>833.7</v>
      </c>
      <c r="AY413">
        <v>854</v>
      </c>
      <c r="AZ413">
        <v>6.66</v>
      </c>
      <c r="BC413" t="s">
        <v>122</v>
      </c>
    </row>
    <row r="414" spans="3:55" x14ac:dyDescent="0.45">
      <c r="C414">
        <v>53</v>
      </c>
      <c r="D414">
        <v>0</v>
      </c>
      <c r="E414">
        <v>0</v>
      </c>
      <c r="F414">
        <v>0</v>
      </c>
      <c r="G414">
        <v>0</v>
      </c>
      <c r="H414">
        <v>0</v>
      </c>
      <c r="I414">
        <v>0</v>
      </c>
      <c r="J414">
        <v>7</v>
      </c>
      <c r="K414">
        <v>35</v>
      </c>
      <c r="L414">
        <v>0</v>
      </c>
      <c r="M414">
        <v>0</v>
      </c>
      <c r="N414">
        <v>0</v>
      </c>
      <c r="O414">
        <v>5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1</v>
      </c>
      <c r="Z414">
        <v>0</v>
      </c>
      <c r="AA414">
        <v>0</v>
      </c>
      <c r="AB414">
        <v>0</v>
      </c>
      <c r="AC414">
        <v>850</v>
      </c>
      <c r="AD414">
        <v>0.5</v>
      </c>
      <c r="AE414">
        <v>1</v>
      </c>
      <c r="AF414">
        <v>0</v>
      </c>
      <c r="AG414">
        <v>0</v>
      </c>
      <c r="AH414">
        <v>500</v>
      </c>
      <c r="AI414">
        <v>12</v>
      </c>
      <c r="AJ414">
        <v>1</v>
      </c>
      <c r="AK414">
        <v>0</v>
      </c>
      <c r="AL414">
        <v>0</v>
      </c>
      <c r="AM414">
        <v>0</v>
      </c>
      <c r="AN414">
        <v>0</v>
      </c>
      <c r="AO414">
        <v>0</v>
      </c>
      <c r="AP414">
        <v>0</v>
      </c>
      <c r="AQ414">
        <v>0</v>
      </c>
      <c r="AR414">
        <v>0</v>
      </c>
      <c r="AS414">
        <v>0</v>
      </c>
      <c r="AT414">
        <f t="shared" si="20"/>
        <v>10.9</v>
      </c>
      <c r="AU414">
        <f t="shared" si="18"/>
        <v>1.1666666666666667</v>
      </c>
      <c r="AV414">
        <f t="shared" si="19"/>
        <v>833.7</v>
      </c>
      <c r="AY414">
        <v>613</v>
      </c>
      <c r="AZ414">
        <v>11.31</v>
      </c>
      <c r="BC414" t="s">
        <v>122</v>
      </c>
    </row>
    <row r="415" spans="3:55" x14ac:dyDescent="0.45">
      <c r="C415">
        <v>53</v>
      </c>
      <c r="D415">
        <v>0</v>
      </c>
      <c r="E415">
        <v>0</v>
      </c>
      <c r="F415">
        <v>0</v>
      </c>
      <c r="G415">
        <v>0</v>
      </c>
      <c r="H415">
        <v>0</v>
      </c>
      <c r="I415">
        <v>0</v>
      </c>
      <c r="J415">
        <v>7</v>
      </c>
      <c r="K415">
        <v>35</v>
      </c>
      <c r="L415">
        <v>0</v>
      </c>
      <c r="M415">
        <v>0</v>
      </c>
      <c r="N415">
        <v>0</v>
      </c>
      <c r="O415">
        <v>5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1</v>
      </c>
      <c r="Z415">
        <v>0</v>
      </c>
      <c r="AA415">
        <v>0</v>
      </c>
      <c r="AB415">
        <v>0</v>
      </c>
      <c r="AC415">
        <v>850</v>
      </c>
      <c r="AD415">
        <v>0.5</v>
      </c>
      <c r="AE415">
        <v>1</v>
      </c>
      <c r="AF415">
        <v>0</v>
      </c>
      <c r="AG415">
        <v>0</v>
      </c>
      <c r="AH415">
        <v>550</v>
      </c>
      <c r="AI415">
        <v>12</v>
      </c>
      <c r="AJ415">
        <v>1</v>
      </c>
      <c r="AK415">
        <v>0</v>
      </c>
      <c r="AL415">
        <v>0</v>
      </c>
      <c r="AM415">
        <v>0</v>
      </c>
      <c r="AN415">
        <v>0</v>
      </c>
      <c r="AO415">
        <v>0</v>
      </c>
      <c r="AP415">
        <v>0</v>
      </c>
      <c r="AQ415">
        <v>0</v>
      </c>
      <c r="AR415">
        <v>0</v>
      </c>
      <c r="AS415">
        <v>0</v>
      </c>
      <c r="AT415">
        <f t="shared" si="20"/>
        <v>10.9</v>
      </c>
      <c r="AU415">
        <f t="shared" si="18"/>
        <v>1.1666666666666667</v>
      </c>
      <c r="AV415">
        <f t="shared" si="19"/>
        <v>833.7</v>
      </c>
      <c r="AY415">
        <v>529</v>
      </c>
      <c r="AZ415">
        <v>17.440000000000001</v>
      </c>
      <c r="BC415" t="s">
        <v>122</v>
      </c>
    </row>
    <row r="416" spans="3:55" x14ac:dyDescent="0.45">
      <c r="C416">
        <v>60</v>
      </c>
      <c r="D416">
        <v>0</v>
      </c>
      <c r="E416">
        <v>0</v>
      </c>
      <c r="F416">
        <v>0</v>
      </c>
      <c r="G416">
        <v>0</v>
      </c>
      <c r="H416">
        <v>0</v>
      </c>
      <c r="I416">
        <v>0</v>
      </c>
      <c r="J416">
        <v>3</v>
      </c>
      <c r="K416">
        <v>35</v>
      </c>
      <c r="L416">
        <v>0</v>
      </c>
      <c r="M416">
        <v>0</v>
      </c>
      <c r="N416">
        <v>0</v>
      </c>
      <c r="O416">
        <v>2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20</v>
      </c>
      <c r="X416">
        <v>90</v>
      </c>
      <c r="Y416">
        <v>0</v>
      </c>
      <c r="Z416">
        <v>1</v>
      </c>
      <c r="AA416">
        <v>0</v>
      </c>
      <c r="AB416">
        <v>0</v>
      </c>
      <c r="AC416">
        <v>450</v>
      </c>
      <c r="AD416">
        <v>0.16700000000000001</v>
      </c>
      <c r="AE416">
        <v>0</v>
      </c>
      <c r="AF416">
        <v>1</v>
      </c>
      <c r="AG416">
        <v>0</v>
      </c>
      <c r="AH416">
        <v>0</v>
      </c>
      <c r="AI416">
        <v>0</v>
      </c>
      <c r="AJ416">
        <v>0</v>
      </c>
      <c r="AK416">
        <v>0</v>
      </c>
      <c r="AL416">
        <v>0</v>
      </c>
      <c r="AM416">
        <v>0</v>
      </c>
      <c r="AN416">
        <v>0</v>
      </c>
      <c r="AO416">
        <v>0</v>
      </c>
      <c r="AP416">
        <v>0</v>
      </c>
      <c r="AQ416">
        <v>0</v>
      </c>
      <c r="AR416">
        <v>0</v>
      </c>
      <c r="AS416">
        <v>0</v>
      </c>
      <c r="AT416">
        <f t="shared" si="20"/>
        <v>10.24</v>
      </c>
      <c r="AU416">
        <f t="shared" si="18"/>
        <v>0.5</v>
      </c>
      <c r="AV416">
        <f t="shared" si="19"/>
        <v>861.3</v>
      </c>
      <c r="AY416">
        <v>864</v>
      </c>
      <c r="AZ416">
        <v>1.55</v>
      </c>
      <c r="BC416" t="s">
        <v>123</v>
      </c>
    </row>
    <row r="417" spans="3:55" x14ac:dyDescent="0.45">
      <c r="C417">
        <v>60</v>
      </c>
      <c r="D417">
        <v>0</v>
      </c>
      <c r="E417">
        <v>0</v>
      </c>
      <c r="F417">
        <v>0</v>
      </c>
      <c r="G417">
        <v>0</v>
      </c>
      <c r="H417">
        <v>0</v>
      </c>
      <c r="I417">
        <v>0</v>
      </c>
      <c r="J417">
        <v>3</v>
      </c>
      <c r="K417">
        <v>35</v>
      </c>
      <c r="L417">
        <v>0</v>
      </c>
      <c r="M417">
        <v>0</v>
      </c>
      <c r="N417">
        <v>0</v>
      </c>
      <c r="O417">
        <v>2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20</v>
      </c>
      <c r="X417">
        <v>90</v>
      </c>
      <c r="Y417">
        <v>0</v>
      </c>
      <c r="Z417">
        <v>1</v>
      </c>
      <c r="AA417">
        <v>0</v>
      </c>
      <c r="AB417">
        <v>0</v>
      </c>
      <c r="AC417">
        <v>550</v>
      </c>
      <c r="AD417">
        <v>0.16700000000000001</v>
      </c>
      <c r="AE417">
        <v>0</v>
      </c>
      <c r="AF417">
        <v>1</v>
      </c>
      <c r="AG417">
        <v>0</v>
      </c>
      <c r="AH417">
        <v>0</v>
      </c>
      <c r="AI417">
        <v>0</v>
      </c>
      <c r="AJ417">
        <v>0</v>
      </c>
      <c r="AK417">
        <v>0</v>
      </c>
      <c r="AL417">
        <v>0</v>
      </c>
      <c r="AM417">
        <v>0</v>
      </c>
      <c r="AN417">
        <v>0</v>
      </c>
      <c r="AO417">
        <v>0</v>
      </c>
      <c r="AP417">
        <v>0</v>
      </c>
      <c r="AQ417">
        <v>0</v>
      </c>
      <c r="AR417">
        <v>0</v>
      </c>
      <c r="AS417">
        <v>0</v>
      </c>
      <c r="AT417">
        <f t="shared" si="20"/>
        <v>10.24</v>
      </c>
      <c r="AU417">
        <f t="shared" si="18"/>
        <v>0.5</v>
      </c>
      <c r="AV417">
        <f t="shared" si="19"/>
        <v>861.3</v>
      </c>
      <c r="AY417">
        <v>780</v>
      </c>
      <c r="AZ417">
        <v>17.399999999999999</v>
      </c>
      <c r="BC417" t="s">
        <v>123</v>
      </c>
    </row>
    <row r="418" spans="3:55" x14ac:dyDescent="0.45">
      <c r="C418">
        <v>60</v>
      </c>
      <c r="D418">
        <v>0</v>
      </c>
      <c r="E418">
        <v>0</v>
      </c>
      <c r="F418">
        <v>0</v>
      </c>
      <c r="G418">
        <v>0</v>
      </c>
      <c r="H418">
        <v>0</v>
      </c>
      <c r="I418">
        <v>0</v>
      </c>
      <c r="J418">
        <v>3</v>
      </c>
      <c r="K418">
        <v>35</v>
      </c>
      <c r="L418">
        <v>0</v>
      </c>
      <c r="M418">
        <v>0</v>
      </c>
      <c r="N418">
        <v>0</v>
      </c>
      <c r="O418">
        <v>2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20</v>
      </c>
      <c r="X418">
        <v>90</v>
      </c>
      <c r="Y418">
        <v>0</v>
      </c>
      <c r="Z418">
        <v>1</v>
      </c>
      <c r="AA418">
        <v>0</v>
      </c>
      <c r="AB418">
        <v>0</v>
      </c>
      <c r="AC418">
        <v>650</v>
      </c>
      <c r="AD418">
        <v>0.16700000000000001</v>
      </c>
      <c r="AE418">
        <v>0</v>
      </c>
      <c r="AF418">
        <v>1</v>
      </c>
      <c r="AG418">
        <v>0</v>
      </c>
      <c r="AH418">
        <v>0</v>
      </c>
      <c r="AI418">
        <v>0</v>
      </c>
      <c r="AJ418">
        <v>0</v>
      </c>
      <c r="AK418">
        <v>0</v>
      </c>
      <c r="AL418">
        <v>0</v>
      </c>
      <c r="AM418">
        <v>0</v>
      </c>
      <c r="AN418">
        <v>0</v>
      </c>
      <c r="AO418">
        <v>0</v>
      </c>
      <c r="AP418">
        <v>0</v>
      </c>
      <c r="AQ418">
        <v>0</v>
      </c>
      <c r="AR418">
        <v>0</v>
      </c>
      <c r="AS418">
        <v>0</v>
      </c>
      <c r="AT418">
        <f t="shared" si="20"/>
        <v>10.24</v>
      </c>
      <c r="AU418">
        <f t="shared" si="18"/>
        <v>0.5</v>
      </c>
      <c r="AV418">
        <f t="shared" si="19"/>
        <v>861.3</v>
      </c>
      <c r="AY418">
        <v>456</v>
      </c>
      <c r="AZ418">
        <v>25.44</v>
      </c>
      <c r="BC418" t="s">
        <v>123</v>
      </c>
    </row>
    <row r="419" spans="3:55" x14ac:dyDescent="0.45">
      <c r="C419">
        <v>60</v>
      </c>
      <c r="D419">
        <v>0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3</v>
      </c>
      <c r="K419">
        <v>35</v>
      </c>
      <c r="L419">
        <v>0</v>
      </c>
      <c r="M419">
        <v>0</v>
      </c>
      <c r="N419">
        <v>0</v>
      </c>
      <c r="O419">
        <v>2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1</v>
      </c>
      <c r="W419">
        <v>20</v>
      </c>
      <c r="X419">
        <v>90</v>
      </c>
      <c r="Y419">
        <v>0</v>
      </c>
      <c r="Z419">
        <v>1</v>
      </c>
      <c r="AA419">
        <v>0</v>
      </c>
      <c r="AB419">
        <v>0</v>
      </c>
      <c r="AC419">
        <v>750</v>
      </c>
      <c r="AD419">
        <v>0.16700000000000001</v>
      </c>
      <c r="AE419">
        <v>0</v>
      </c>
      <c r="AF419">
        <v>1</v>
      </c>
      <c r="AG419">
        <v>0</v>
      </c>
      <c r="AH419">
        <v>0</v>
      </c>
      <c r="AI419">
        <v>0</v>
      </c>
      <c r="AJ419">
        <v>0</v>
      </c>
      <c r="AK419">
        <v>0</v>
      </c>
      <c r="AL419">
        <v>0</v>
      </c>
      <c r="AM419">
        <v>0</v>
      </c>
      <c r="AN419">
        <v>0</v>
      </c>
      <c r="AO419">
        <v>0</v>
      </c>
      <c r="AP419">
        <v>0</v>
      </c>
      <c r="AQ419">
        <v>0</v>
      </c>
      <c r="AR419">
        <v>0</v>
      </c>
      <c r="AS419">
        <v>0</v>
      </c>
      <c r="AT419">
        <f t="shared" si="20"/>
        <v>10.24</v>
      </c>
      <c r="AU419">
        <f t="shared" si="18"/>
        <v>0.5</v>
      </c>
      <c r="AV419">
        <f t="shared" si="19"/>
        <v>861.3</v>
      </c>
      <c r="AY419">
        <v>589</v>
      </c>
      <c r="AZ419">
        <v>18.579999999999998</v>
      </c>
      <c r="BC419" t="s">
        <v>123</v>
      </c>
    </row>
    <row r="420" spans="3:55" x14ac:dyDescent="0.45">
      <c r="C420">
        <v>55.010000000000005</v>
      </c>
      <c r="D420">
        <v>0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20.09</v>
      </c>
      <c r="K420">
        <v>7.26</v>
      </c>
      <c r="L420">
        <v>0</v>
      </c>
      <c r="M420">
        <v>0</v>
      </c>
      <c r="N420">
        <v>0</v>
      </c>
      <c r="O420">
        <v>17.64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1</v>
      </c>
      <c r="W420">
        <v>0</v>
      </c>
      <c r="X420">
        <v>0</v>
      </c>
      <c r="Y420">
        <v>0</v>
      </c>
      <c r="Z420">
        <v>1</v>
      </c>
      <c r="AA420">
        <v>0</v>
      </c>
      <c r="AB420">
        <v>0</v>
      </c>
      <c r="AC420">
        <v>0</v>
      </c>
      <c r="AD420">
        <v>0</v>
      </c>
      <c r="AE420">
        <v>1</v>
      </c>
      <c r="AF420">
        <v>0</v>
      </c>
      <c r="AG420">
        <v>0</v>
      </c>
      <c r="AH420">
        <v>0</v>
      </c>
      <c r="AI420">
        <v>0</v>
      </c>
      <c r="AJ420">
        <v>0</v>
      </c>
      <c r="AK420">
        <v>0</v>
      </c>
      <c r="AL420">
        <v>0</v>
      </c>
      <c r="AM420">
        <v>0</v>
      </c>
      <c r="AN420">
        <v>0</v>
      </c>
      <c r="AO420">
        <v>0</v>
      </c>
      <c r="AP420">
        <v>0</v>
      </c>
      <c r="AQ420">
        <v>0</v>
      </c>
      <c r="AR420">
        <v>0</v>
      </c>
      <c r="AS420">
        <v>0</v>
      </c>
      <c r="AT420">
        <f t="shared" si="20"/>
        <v>5.9136000000000006</v>
      </c>
      <c r="AU420">
        <f t="shared" si="18"/>
        <v>3.3483333333333332</v>
      </c>
      <c r="AV420">
        <f t="shared" si="19"/>
        <v>743.37900000000002</v>
      </c>
      <c r="AW420">
        <v>73</v>
      </c>
      <c r="AX420">
        <v>1107</v>
      </c>
      <c r="BC420" t="s">
        <v>60</v>
      </c>
    </row>
    <row r="421" spans="3:55" x14ac:dyDescent="0.45">
      <c r="C421">
        <v>54.48</v>
      </c>
      <c r="D421">
        <v>0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22.98</v>
      </c>
      <c r="K421">
        <v>4.51</v>
      </c>
      <c r="L421">
        <v>0</v>
      </c>
      <c r="M421">
        <v>0</v>
      </c>
      <c r="N421">
        <v>0</v>
      </c>
      <c r="O421">
        <v>18.029999999999998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1</v>
      </c>
      <c r="W421">
        <v>0</v>
      </c>
      <c r="X421">
        <v>0</v>
      </c>
      <c r="Y421">
        <v>0</v>
      </c>
      <c r="Z421">
        <v>1</v>
      </c>
      <c r="AA421">
        <v>0</v>
      </c>
      <c r="AB421">
        <v>0</v>
      </c>
      <c r="AC421">
        <v>0</v>
      </c>
      <c r="AD421">
        <v>0</v>
      </c>
      <c r="AE421">
        <v>1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0</v>
      </c>
      <c r="AL421">
        <v>0</v>
      </c>
      <c r="AM421">
        <v>0</v>
      </c>
      <c r="AN421">
        <v>0</v>
      </c>
      <c r="AO421">
        <v>0</v>
      </c>
      <c r="AP421">
        <v>0</v>
      </c>
      <c r="AQ421">
        <v>0</v>
      </c>
      <c r="AR421">
        <v>0</v>
      </c>
      <c r="AS421">
        <v>0</v>
      </c>
      <c r="AT421">
        <f t="shared" si="20"/>
        <v>5.2294</v>
      </c>
      <c r="AU421">
        <f t="shared" si="18"/>
        <v>3.83</v>
      </c>
      <c r="AV421">
        <f t="shared" si="19"/>
        <v>723.43799999999999</v>
      </c>
      <c r="AW421">
        <v>75</v>
      </c>
      <c r="AX421">
        <v>932</v>
      </c>
      <c r="BC421" t="s">
        <v>60</v>
      </c>
    </row>
    <row r="422" spans="3:55" x14ac:dyDescent="0.45">
      <c r="C422">
        <v>53.16</v>
      </c>
      <c r="D422">
        <v>0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26.040000000000003</v>
      </c>
      <c r="K422">
        <v>2.2800000000000002</v>
      </c>
      <c r="L422">
        <v>0</v>
      </c>
      <c r="M422">
        <v>0</v>
      </c>
      <c r="N422">
        <v>0</v>
      </c>
      <c r="O422">
        <v>18.52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1</v>
      </c>
      <c r="W422">
        <v>0</v>
      </c>
      <c r="X422">
        <v>0</v>
      </c>
      <c r="Y422">
        <v>0</v>
      </c>
      <c r="Z422">
        <v>1</v>
      </c>
      <c r="AA422">
        <v>0</v>
      </c>
      <c r="AB422">
        <v>0</v>
      </c>
      <c r="AC422">
        <v>0</v>
      </c>
      <c r="AD422">
        <v>0</v>
      </c>
      <c r="AE422">
        <v>1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  <c r="AL422">
        <v>0</v>
      </c>
      <c r="AM422">
        <v>0</v>
      </c>
      <c r="AN422">
        <v>0</v>
      </c>
      <c r="AO422">
        <v>0</v>
      </c>
      <c r="AP422">
        <v>0</v>
      </c>
      <c r="AQ422">
        <v>0</v>
      </c>
      <c r="AR422">
        <v>0</v>
      </c>
      <c r="AS422">
        <v>0</v>
      </c>
      <c r="AT422">
        <f t="shared" si="20"/>
        <v>4.7127999999999997</v>
      </c>
      <c r="AU422">
        <f t="shared" si="18"/>
        <v>4.3400000000000007</v>
      </c>
      <c r="AV422">
        <f t="shared" si="19"/>
        <v>702.32399999999996</v>
      </c>
      <c r="AW422">
        <v>77</v>
      </c>
      <c r="AX422">
        <v>953</v>
      </c>
      <c r="BC422" t="s">
        <v>60</v>
      </c>
    </row>
    <row r="423" spans="3:55" x14ac:dyDescent="0.45">
      <c r="C423">
        <v>71.97</v>
      </c>
      <c r="D423">
        <v>0</v>
      </c>
      <c r="E423">
        <v>0</v>
      </c>
      <c r="F423">
        <v>0</v>
      </c>
      <c r="G423">
        <v>0</v>
      </c>
      <c r="H423">
        <v>0</v>
      </c>
      <c r="I423">
        <v>0</v>
      </c>
      <c r="J423">
        <v>3.25</v>
      </c>
      <c r="K423">
        <v>20.14</v>
      </c>
      <c r="L423">
        <v>0</v>
      </c>
      <c r="M423">
        <v>0</v>
      </c>
      <c r="N423">
        <v>0</v>
      </c>
      <c r="O423">
        <v>4.6399999999999997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1</v>
      </c>
      <c r="W423">
        <v>0</v>
      </c>
      <c r="X423">
        <v>0</v>
      </c>
      <c r="Y423">
        <v>0</v>
      </c>
      <c r="Z423">
        <v>1</v>
      </c>
      <c r="AA423">
        <v>0</v>
      </c>
      <c r="AB423">
        <v>0</v>
      </c>
      <c r="AC423">
        <v>0</v>
      </c>
      <c r="AD423">
        <v>0</v>
      </c>
      <c r="AE423">
        <v>1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  <c r="AL423">
        <v>0</v>
      </c>
      <c r="AM423">
        <v>0</v>
      </c>
      <c r="AN423">
        <v>0</v>
      </c>
      <c r="AO423">
        <v>0</v>
      </c>
      <c r="AP423">
        <v>0</v>
      </c>
      <c r="AQ423">
        <v>0</v>
      </c>
      <c r="AR423">
        <v>0</v>
      </c>
      <c r="AS423">
        <v>0</v>
      </c>
      <c r="AT423">
        <f t="shared" si="20"/>
        <v>6.66</v>
      </c>
      <c r="AU423">
        <f t="shared" si="18"/>
        <v>0.54166666666666663</v>
      </c>
      <c r="AV423">
        <f t="shared" si="19"/>
        <v>859.57500000000005</v>
      </c>
      <c r="AW423">
        <v>65</v>
      </c>
      <c r="AX423">
        <v>600</v>
      </c>
      <c r="BC423" t="s">
        <v>60</v>
      </c>
    </row>
    <row r="424" spans="3:55" x14ac:dyDescent="0.45">
      <c r="C424">
        <v>71.97</v>
      </c>
      <c r="D424">
        <v>0</v>
      </c>
      <c r="E424">
        <v>0</v>
      </c>
      <c r="F424">
        <v>0</v>
      </c>
      <c r="G424">
        <v>0</v>
      </c>
      <c r="H424">
        <v>0</v>
      </c>
      <c r="I424">
        <v>0</v>
      </c>
      <c r="J424">
        <v>3.25</v>
      </c>
      <c r="K424">
        <v>20.14</v>
      </c>
      <c r="L424">
        <v>0</v>
      </c>
      <c r="M424">
        <v>0</v>
      </c>
      <c r="N424">
        <v>0</v>
      </c>
      <c r="O424">
        <v>4.6399999999999997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1</v>
      </c>
      <c r="W424">
        <v>0</v>
      </c>
      <c r="X424">
        <v>0</v>
      </c>
      <c r="Y424">
        <v>0</v>
      </c>
      <c r="Z424">
        <v>1</v>
      </c>
      <c r="AA424">
        <v>0</v>
      </c>
      <c r="AB424">
        <v>0</v>
      </c>
      <c r="AC424">
        <v>0</v>
      </c>
      <c r="AD424">
        <v>0</v>
      </c>
      <c r="AE424">
        <v>1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0</v>
      </c>
      <c r="AL424">
        <v>0</v>
      </c>
      <c r="AM424">
        <v>0</v>
      </c>
      <c r="AN424">
        <v>0</v>
      </c>
      <c r="AO424">
        <v>0</v>
      </c>
      <c r="AP424">
        <v>0</v>
      </c>
      <c r="AQ424">
        <v>0</v>
      </c>
      <c r="AR424">
        <v>0</v>
      </c>
      <c r="AS424">
        <v>0</v>
      </c>
      <c r="AT424">
        <f t="shared" si="20"/>
        <v>6.66</v>
      </c>
      <c r="AU424">
        <f t="shared" si="18"/>
        <v>0.54166666666666663</v>
      </c>
      <c r="AV424">
        <f t="shared" si="19"/>
        <v>859.57500000000005</v>
      </c>
      <c r="AW424">
        <v>55</v>
      </c>
      <c r="AX424">
        <v>257</v>
      </c>
      <c r="BC424" t="s">
        <v>60</v>
      </c>
    </row>
    <row r="425" spans="3:55" x14ac:dyDescent="0.45">
      <c r="C425">
        <v>74.739999999999995</v>
      </c>
      <c r="D425">
        <v>0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2.0299999999999998</v>
      </c>
      <c r="K425">
        <v>22.54</v>
      </c>
      <c r="L425">
        <v>0</v>
      </c>
      <c r="M425">
        <v>0</v>
      </c>
      <c r="N425">
        <v>0</v>
      </c>
      <c r="O425">
        <v>0.69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1</v>
      </c>
      <c r="W425">
        <v>0</v>
      </c>
      <c r="X425">
        <v>0</v>
      </c>
      <c r="Y425">
        <v>0</v>
      </c>
      <c r="Z425">
        <v>1</v>
      </c>
      <c r="AA425">
        <v>0</v>
      </c>
      <c r="AB425">
        <v>0</v>
      </c>
      <c r="AC425">
        <v>0</v>
      </c>
      <c r="AD425">
        <v>0</v>
      </c>
      <c r="AE425">
        <v>1</v>
      </c>
      <c r="AF425">
        <v>0</v>
      </c>
      <c r="AG425">
        <v>0</v>
      </c>
      <c r="AH425">
        <v>0</v>
      </c>
      <c r="AI425">
        <v>0</v>
      </c>
      <c r="AJ425">
        <v>0</v>
      </c>
      <c r="AK425">
        <v>0</v>
      </c>
      <c r="AL425">
        <v>0</v>
      </c>
      <c r="AM425">
        <v>0</v>
      </c>
      <c r="AN425">
        <v>0</v>
      </c>
      <c r="AO425">
        <v>0</v>
      </c>
      <c r="AP425">
        <v>0</v>
      </c>
      <c r="AQ425">
        <v>0</v>
      </c>
      <c r="AR425">
        <v>0</v>
      </c>
      <c r="AS425">
        <v>0</v>
      </c>
      <c r="AT425">
        <f t="shared" si="20"/>
        <v>6.4630000000000001</v>
      </c>
      <c r="AU425">
        <f t="shared" si="18"/>
        <v>0.33833333333333332</v>
      </c>
      <c r="AV425">
        <f t="shared" si="19"/>
        <v>867.99300000000005</v>
      </c>
      <c r="AW425">
        <v>64.5</v>
      </c>
      <c r="AX425">
        <v>700</v>
      </c>
      <c r="BC425" t="s">
        <v>60</v>
      </c>
    </row>
    <row r="426" spans="3:55" x14ac:dyDescent="0.45">
      <c r="C426">
        <v>72.740000000000009</v>
      </c>
      <c r="D426">
        <v>0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3.46</v>
      </c>
      <c r="K426">
        <v>20.27</v>
      </c>
      <c r="L426">
        <v>0</v>
      </c>
      <c r="M426">
        <v>0</v>
      </c>
      <c r="N426">
        <v>0</v>
      </c>
      <c r="O426">
        <v>3.53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1</v>
      </c>
      <c r="W426">
        <v>0</v>
      </c>
      <c r="X426">
        <v>0</v>
      </c>
      <c r="Y426">
        <v>0</v>
      </c>
      <c r="Z426">
        <v>1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1</v>
      </c>
      <c r="AG426">
        <v>0</v>
      </c>
      <c r="AH426">
        <v>0</v>
      </c>
      <c r="AI426">
        <v>0</v>
      </c>
      <c r="AJ426">
        <v>0</v>
      </c>
      <c r="AK426">
        <v>0</v>
      </c>
      <c r="AL426">
        <v>0</v>
      </c>
      <c r="AM426">
        <v>0</v>
      </c>
      <c r="AN426">
        <v>0</v>
      </c>
      <c r="AO426">
        <v>0</v>
      </c>
      <c r="AP426">
        <v>0</v>
      </c>
      <c r="AQ426">
        <v>0</v>
      </c>
      <c r="AR426">
        <v>0</v>
      </c>
      <c r="AS426">
        <v>0</v>
      </c>
      <c r="AT426">
        <f t="shared" si="20"/>
        <v>6.4522000000000004</v>
      </c>
      <c r="AU426">
        <f t="shared" si="18"/>
        <v>0.57666666666666666</v>
      </c>
      <c r="AV426">
        <f t="shared" si="19"/>
        <v>858.12599999999998</v>
      </c>
      <c r="AW426">
        <v>57.1</v>
      </c>
      <c r="AX426">
        <v>400</v>
      </c>
      <c r="BC426" t="s">
        <v>60</v>
      </c>
    </row>
    <row r="427" spans="3:55" x14ac:dyDescent="0.45">
      <c r="C427">
        <v>74.13</v>
      </c>
      <c r="D427">
        <v>0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3.2300000000000004</v>
      </c>
      <c r="K427">
        <v>19.86</v>
      </c>
      <c r="L427">
        <v>0</v>
      </c>
      <c r="M427">
        <v>0</v>
      </c>
      <c r="N427">
        <v>0</v>
      </c>
      <c r="O427">
        <v>2.78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1</v>
      </c>
      <c r="W427">
        <v>0</v>
      </c>
      <c r="X427">
        <v>0</v>
      </c>
      <c r="Y427">
        <v>0</v>
      </c>
      <c r="Z427">
        <v>1</v>
      </c>
      <c r="AA427">
        <v>0</v>
      </c>
      <c r="AB427">
        <v>0</v>
      </c>
      <c r="AC427">
        <v>0</v>
      </c>
      <c r="AD427">
        <v>0</v>
      </c>
      <c r="AE427">
        <v>0</v>
      </c>
      <c r="AF427">
        <v>1</v>
      </c>
      <c r="AG427">
        <v>0</v>
      </c>
      <c r="AH427">
        <v>0</v>
      </c>
      <c r="AI427">
        <v>0</v>
      </c>
      <c r="AJ427">
        <v>0</v>
      </c>
      <c r="AK427">
        <v>0</v>
      </c>
      <c r="AL427">
        <v>0</v>
      </c>
      <c r="AM427">
        <v>0</v>
      </c>
      <c r="AN427">
        <v>0</v>
      </c>
      <c r="AO427">
        <v>0</v>
      </c>
      <c r="AP427">
        <v>0</v>
      </c>
      <c r="AQ427">
        <v>0</v>
      </c>
      <c r="AR427">
        <v>0</v>
      </c>
      <c r="AS427">
        <v>0</v>
      </c>
      <c r="AT427">
        <f t="shared" si="20"/>
        <v>6.1724000000000006</v>
      </c>
      <c r="AU427">
        <f t="shared" si="18"/>
        <v>0.53833333333333344</v>
      </c>
      <c r="AV427">
        <f t="shared" si="19"/>
        <v>859.71299999999997</v>
      </c>
      <c r="AW427">
        <v>53.7</v>
      </c>
      <c r="AX427">
        <v>435</v>
      </c>
      <c r="BC427" t="s">
        <v>60</v>
      </c>
    </row>
    <row r="428" spans="3:55" x14ac:dyDescent="0.45">
      <c r="C428">
        <v>74.3</v>
      </c>
      <c r="D428">
        <v>0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2</v>
      </c>
      <c r="K428">
        <v>23</v>
      </c>
      <c r="L428">
        <v>0</v>
      </c>
      <c r="M428">
        <v>0</v>
      </c>
      <c r="N428">
        <v>0</v>
      </c>
      <c r="O428">
        <v>0.70000000000000007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1</v>
      </c>
      <c r="W428">
        <v>0</v>
      </c>
      <c r="X428">
        <v>0</v>
      </c>
      <c r="Y428">
        <v>0</v>
      </c>
      <c r="Z428">
        <v>1</v>
      </c>
      <c r="AA428">
        <v>0</v>
      </c>
      <c r="AB428">
        <v>0</v>
      </c>
      <c r="AC428">
        <v>0</v>
      </c>
      <c r="AD428">
        <v>0</v>
      </c>
      <c r="AE428">
        <v>1</v>
      </c>
      <c r="AF428">
        <v>0</v>
      </c>
      <c r="AG428">
        <v>0</v>
      </c>
      <c r="AH428">
        <v>0</v>
      </c>
      <c r="AI428">
        <v>0</v>
      </c>
      <c r="AJ428">
        <v>0</v>
      </c>
      <c r="AK428">
        <v>0</v>
      </c>
      <c r="AL428">
        <v>0</v>
      </c>
      <c r="AM428">
        <v>0</v>
      </c>
      <c r="AN428">
        <v>0</v>
      </c>
      <c r="AO428">
        <v>0</v>
      </c>
      <c r="AP428">
        <v>0</v>
      </c>
      <c r="AQ428">
        <v>0</v>
      </c>
      <c r="AR428">
        <v>0</v>
      </c>
      <c r="AS428">
        <v>0</v>
      </c>
      <c r="AT428">
        <f t="shared" si="20"/>
        <v>6.5940000000000003</v>
      </c>
      <c r="AU428">
        <f t="shared" si="18"/>
        <v>0.33333333333333331</v>
      </c>
      <c r="AV428">
        <f t="shared" si="19"/>
        <v>868.2</v>
      </c>
      <c r="AW428">
        <v>55</v>
      </c>
      <c r="AX428">
        <v>280</v>
      </c>
      <c r="BC428" t="s">
        <v>60</v>
      </c>
    </row>
    <row r="429" spans="3:55" x14ac:dyDescent="0.45">
      <c r="C429">
        <v>70.45</v>
      </c>
      <c r="D429">
        <v>0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3.44</v>
      </c>
      <c r="K429">
        <v>21.42</v>
      </c>
      <c r="L429">
        <v>0</v>
      </c>
      <c r="M429">
        <v>0</v>
      </c>
      <c r="N429">
        <v>0</v>
      </c>
      <c r="O429">
        <v>4.6899999999999995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1</v>
      </c>
      <c r="W429">
        <v>0</v>
      </c>
      <c r="X429">
        <v>0</v>
      </c>
      <c r="Y429">
        <v>0</v>
      </c>
      <c r="Z429">
        <v>1</v>
      </c>
      <c r="AA429">
        <v>0</v>
      </c>
      <c r="AB429">
        <v>0</v>
      </c>
      <c r="AC429">
        <v>0</v>
      </c>
      <c r="AD429">
        <v>0</v>
      </c>
      <c r="AE429">
        <v>1</v>
      </c>
      <c r="AF429">
        <v>0</v>
      </c>
      <c r="AG429">
        <v>0</v>
      </c>
      <c r="AH429">
        <v>0</v>
      </c>
      <c r="AI429">
        <v>0</v>
      </c>
      <c r="AJ429">
        <v>0</v>
      </c>
      <c r="AK429">
        <v>0</v>
      </c>
      <c r="AL429">
        <v>0</v>
      </c>
      <c r="AM429">
        <v>0</v>
      </c>
      <c r="AN429">
        <v>0</v>
      </c>
      <c r="AO429">
        <v>0</v>
      </c>
      <c r="AP429">
        <v>0</v>
      </c>
      <c r="AQ429">
        <v>0</v>
      </c>
      <c r="AR429">
        <v>0</v>
      </c>
      <c r="AS429">
        <v>0</v>
      </c>
      <c r="AT429">
        <f t="shared" si="20"/>
        <v>7.0294000000000008</v>
      </c>
      <c r="AU429">
        <f t="shared" si="18"/>
        <v>0.57333333333333336</v>
      </c>
      <c r="AV429">
        <f t="shared" si="19"/>
        <v>858.26400000000001</v>
      </c>
      <c r="AW429">
        <v>61</v>
      </c>
      <c r="AX429">
        <v>521</v>
      </c>
      <c r="BC429" t="s">
        <v>60</v>
      </c>
    </row>
    <row r="430" spans="3:55" x14ac:dyDescent="0.45">
      <c r="C430">
        <v>72.06</v>
      </c>
      <c r="D430">
        <v>0</v>
      </c>
      <c r="E430">
        <v>0</v>
      </c>
      <c r="F430">
        <v>0</v>
      </c>
      <c r="G430">
        <v>0</v>
      </c>
      <c r="H430">
        <v>0</v>
      </c>
      <c r="I430">
        <v>0</v>
      </c>
      <c r="J430">
        <v>3.18</v>
      </c>
      <c r="K430">
        <v>20.13</v>
      </c>
      <c r="L430">
        <v>0</v>
      </c>
      <c r="M430">
        <v>0</v>
      </c>
      <c r="N430">
        <v>0</v>
      </c>
      <c r="O430">
        <v>4.63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1</v>
      </c>
      <c r="Z430">
        <v>0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0</v>
      </c>
      <c r="AK430">
        <v>0</v>
      </c>
      <c r="AL430">
        <v>0</v>
      </c>
      <c r="AM430">
        <v>0</v>
      </c>
      <c r="AN430">
        <v>0</v>
      </c>
      <c r="AO430">
        <v>0</v>
      </c>
      <c r="AP430">
        <v>0</v>
      </c>
      <c r="AQ430">
        <v>0</v>
      </c>
      <c r="AR430">
        <v>0</v>
      </c>
      <c r="AS430">
        <v>0</v>
      </c>
      <c r="AT430">
        <f t="shared" si="20"/>
        <v>6.6550000000000002</v>
      </c>
      <c r="AU430">
        <f t="shared" si="18"/>
        <v>0.53</v>
      </c>
      <c r="AV430">
        <f t="shared" si="19"/>
        <v>860.05799999999999</v>
      </c>
      <c r="AW430">
        <v>65</v>
      </c>
      <c r="BB430" t="s">
        <v>346</v>
      </c>
    </row>
    <row r="431" spans="3:55" x14ac:dyDescent="0.45">
      <c r="C431">
        <v>69.3</v>
      </c>
      <c r="D431">
        <v>0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4.9000000000000004</v>
      </c>
      <c r="K431">
        <v>24</v>
      </c>
      <c r="L431">
        <v>0</v>
      </c>
      <c r="M431">
        <v>0</v>
      </c>
      <c r="N431">
        <v>0</v>
      </c>
      <c r="O431">
        <v>1.8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1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0</v>
      </c>
      <c r="AL431">
        <v>0</v>
      </c>
      <c r="AM431">
        <v>0</v>
      </c>
      <c r="AN431">
        <v>0</v>
      </c>
      <c r="AO431">
        <v>0</v>
      </c>
      <c r="AP431">
        <v>0</v>
      </c>
      <c r="AQ431">
        <v>0</v>
      </c>
      <c r="AR431">
        <v>0</v>
      </c>
      <c r="AS431">
        <v>0</v>
      </c>
      <c r="AT431">
        <f t="shared" si="20"/>
        <v>7.1160000000000005</v>
      </c>
      <c r="AU431">
        <f t="shared" si="18"/>
        <v>0.81666666666666676</v>
      </c>
      <c r="AV431">
        <f t="shared" si="19"/>
        <v>848.19</v>
      </c>
      <c r="AW431">
        <v>55</v>
      </c>
      <c r="BB431" t="s">
        <v>346</v>
      </c>
    </row>
    <row r="432" spans="3:55" x14ac:dyDescent="0.45">
      <c r="C432">
        <v>74.3</v>
      </c>
      <c r="D432">
        <v>0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2</v>
      </c>
      <c r="K432">
        <v>23</v>
      </c>
      <c r="L432">
        <v>0</v>
      </c>
      <c r="M432">
        <v>0</v>
      </c>
      <c r="N432">
        <v>0</v>
      </c>
      <c r="O432">
        <v>0.7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1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0</v>
      </c>
      <c r="AI432">
        <v>0</v>
      </c>
      <c r="AJ432">
        <v>0</v>
      </c>
      <c r="AK432">
        <v>0</v>
      </c>
      <c r="AL432">
        <v>0</v>
      </c>
      <c r="AM432">
        <v>0</v>
      </c>
      <c r="AN432">
        <v>0</v>
      </c>
      <c r="AO432">
        <v>0</v>
      </c>
      <c r="AP432">
        <v>0</v>
      </c>
      <c r="AQ432">
        <v>0</v>
      </c>
      <c r="AR432">
        <v>0</v>
      </c>
      <c r="AS432">
        <v>0</v>
      </c>
      <c r="AT432">
        <f t="shared" si="20"/>
        <v>6.5940000000000003</v>
      </c>
      <c r="AU432">
        <f t="shared" si="18"/>
        <v>0.33333333333333331</v>
      </c>
      <c r="AV432">
        <f t="shared" si="19"/>
        <v>868.2</v>
      </c>
      <c r="AW432">
        <v>56</v>
      </c>
      <c r="BB432" t="s">
        <v>346</v>
      </c>
    </row>
    <row r="433" spans="3:54" x14ac:dyDescent="0.45">
      <c r="C433">
        <v>83.67</v>
      </c>
      <c r="D433">
        <v>0</v>
      </c>
      <c r="E433">
        <v>0</v>
      </c>
      <c r="F433">
        <v>0</v>
      </c>
      <c r="G433">
        <v>0</v>
      </c>
      <c r="H433">
        <v>0</v>
      </c>
      <c r="I433">
        <v>0</v>
      </c>
      <c r="J433">
        <v>7.93</v>
      </c>
      <c r="K433">
        <v>7.78</v>
      </c>
      <c r="L433">
        <v>0</v>
      </c>
      <c r="M433">
        <v>0</v>
      </c>
      <c r="N433">
        <v>0</v>
      </c>
      <c r="O433">
        <v>0.62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1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0</v>
      </c>
      <c r="AH433">
        <v>0</v>
      </c>
      <c r="AI433">
        <v>0</v>
      </c>
      <c r="AJ433">
        <v>0</v>
      </c>
      <c r="AK433">
        <v>0</v>
      </c>
      <c r="AL433">
        <v>0</v>
      </c>
      <c r="AM433">
        <v>0</v>
      </c>
      <c r="AN433">
        <v>0</v>
      </c>
      <c r="AO433">
        <v>0</v>
      </c>
      <c r="AP433">
        <v>0</v>
      </c>
      <c r="AQ433">
        <v>0</v>
      </c>
      <c r="AR433">
        <v>0</v>
      </c>
      <c r="AS433">
        <v>0</v>
      </c>
      <c r="AT433">
        <f t="shared" si="20"/>
        <v>2.3148000000000004</v>
      </c>
      <c r="AU433">
        <f t="shared" si="18"/>
        <v>1.3216666666666665</v>
      </c>
      <c r="AV433">
        <f t="shared" si="19"/>
        <v>827.28300000000002</v>
      </c>
      <c r="AW433">
        <v>90</v>
      </c>
      <c r="BB433" t="s">
        <v>346</v>
      </c>
    </row>
    <row r="434" spans="3:54" x14ac:dyDescent="0.45">
      <c r="C434">
        <v>82.76</v>
      </c>
      <c r="D434">
        <v>0</v>
      </c>
      <c r="E434">
        <v>0</v>
      </c>
      <c r="F434">
        <v>0</v>
      </c>
      <c r="G434">
        <v>0</v>
      </c>
      <c r="H434">
        <v>0</v>
      </c>
      <c r="I434">
        <v>0</v>
      </c>
      <c r="J434">
        <v>8.07</v>
      </c>
      <c r="K434">
        <v>7.92</v>
      </c>
      <c r="L434">
        <v>0</v>
      </c>
      <c r="M434">
        <v>0</v>
      </c>
      <c r="N434">
        <v>0</v>
      </c>
      <c r="O434">
        <v>1.25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1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  <c r="AG434">
        <v>0</v>
      </c>
      <c r="AH434">
        <v>0</v>
      </c>
      <c r="AI434">
        <v>0</v>
      </c>
      <c r="AJ434">
        <v>0</v>
      </c>
      <c r="AK434">
        <v>0</v>
      </c>
      <c r="AL434">
        <v>0</v>
      </c>
      <c r="AM434">
        <v>0</v>
      </c>
      <c r="AN434">
        <v>0</v>
      </c>
      <c r="AO434">
        <v>0</v>
      </c>
      <c r="AP434">
        <v>0</v>
      </c>
      <c r="AQ434">
        <v>0</v>
      </c>
      <c r="AR434">
        <v>0</v>
      </c>
      <c r="AS434">
        <v>0</v>
      </c>
      <c r="AT434">
        <f t="shared" si="20"/>
        <v>2.4925999999999999</v>
      </c>
      <c r="AU434">
        <f t="shared" si="18"/>
        <v>1.345</v>
      </c>
      <c r="AV434">
        <f t="shared" si="19"/>
        <v>826.31700000000001</v>
      </c>
      <c r="AW434">
        <v>92.54</v>
      </c>
      <c r="BB434" t="s">
        <v>347</v>
      </c>
    </row>
    <row r="435" spans="3:54" x14ac:dyDescent="0.45">
      <c r="C435">
        <v>81.819999999999993</v>
      </c>
      <c r="D435">
        <v>0</v>
      </c>
      <c r="E435">
        <v>0</v>
      </c>
      <c r="F435">
        <v>0</v>
      </c>
      <c r="G435">
        <v>0</v>
      </c>
      <c r="H435">
        <v>0</v>
      </c>
      <c r="I435">
        <v>0</v>
      </c>
      <c r="J435">
        <v>8.2100000000000009</v>
      </c>
      <c r="K435">
        <v>8.06</v>
      </c>
      <c r="L435">
        <v>0</v>
      </c>
      <c r="M435">
        <v>0</v>
      </c>
      <c r="N435">
        <v>0</v>
      </c>
      <c r="O435">
        <v>1.91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1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0</v>
      </c>
      <c r="AI435">
        <v>0</v>
      </c>
      <c r="AJ435">
        <v>0</v>
      </c>
      <c r="AK435">
        <v>0</v>
      </c>
      <c r="AL435">
        <v>0</v>
      </c>
      <c r="AM435">
        <v>0</v>
      </c>
      <c r="AN435">
        <v>0</v>
      </c>
      <c r="AO435">
        <v>0</v>
      </c>
      <c r="AP435">
        <v>0</v>
      </c>
      <c r="AQ435">
        <v>0</v>
      </c>
      <c r="AR435">
        <v>0</v>
      </c>
      <c r="AS435">
        <v>0</v>
      </c>
      <c r="AT435">
        <f t="shared" si="20"/>
        <v>2.677</v>
      </c>
      <c r="AU435">
        <f t="shared" si="18"/>
        <v>1.3683333333333334</v>
      </c>
      <c r="AV435">
        <f t="shared" si="19"/>
        <v>825.351</v>
      </c>
      <c r="AW435">
        <v>93.66</v>
      </c>
      <c r="BB435" t="s">
        <v>347</v>
      </c>
    </row>
    <row r="436" spans="3:54" x14ac:dyDescent="0.45">
      <c r="C436">
        <v>80.849999999999994</v>
      </c>
      <c r="D436">
        <v>0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8.36</v>
      </c>
      <c r="K436">
        <v>8.1999999999999993</v>
      </c>
      <c r="L436">
        <v>0</v>
      </c>
      <c r="M436">
        <v>0</v>
      </c>
      <c r="N436">
        <v>0</v>
      </c>
      <c r="O436">
        <v>2.59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1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0</v>
      </c>
      <c r="AH436">
        <v>0</v>
      </c>
      <c r="AI436">
        <v>0</v>
      </c>
      <c r="AJ436">
        <v>0</v>
      </c>
      <c r="AK436">
        <v>0</v>
      </c>
      <c r="AL436">
        <v>0</v>
      </c>
      <c r="AM436">
        <v>0</v>
      </c>
      <c r="AN436">
        <v>0</v>
      </c>
      <c r="AO436">
        <v>0</v>
      </c>
      <c r="AP436">
        <v>0</v>
      </c>
      <c r="AQ436">
        <v>0</v>
      </c>
      <c r="AR436">
        <v>0</v>
      </c>
      <c r="AS436">
        <v>0</v>
      </c>
      <c r="AT436">
        <f t="shared" si="20"/>
        <v>2.8657999999999997</v>
      </c>
      <c r="AU436">
        <f t="shared" si="18"/>
        <v>1.3933333333333333</v>
      </c>
      <c r="AV436">
        <f t="shared" si="19"/>
        <v>824.31600000000003</v>
      </c>
      <c r="AW436">
        <v>83.52</v>
      </c>
      <c r="BB436" t="s">
        <v>347</v>
      </c>
    </row>
    <row r="437" spans="3:54" x14ac:dyDescent="0.45">
      <c r="C437">
        <v>69.290000000000006</v>
      </c>
      <c r="D437">
        <v>0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4.92</v>
      </c>
      <c r="K437">
        <v>24.01</v>
      </c>
      <c r="L437">
        <v>0</v>
      </c>
      <c r="M437">
        <v>0</v>
      </c>
      <c r="N437">
        <v>0</v>
      </c>
      <c r="O437">
        <v>1.78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1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0</v>
      </c>
      <c r="AJ437">
        <v>0</v>
      </c>
      <c r="AK437">
        <v>0</v>
      </c>
      <c r="AL437">
        <v>0</v>
      </c>
      <c r="AM437">
        <v>0</v>
      </c>
      <c r="AN437">
        <v>0</v>
      </c>
      <c r="AO437">
        <v>0</v>
      </c>
      <c r="AP437">
        <v>0</v>
      </c>
      <c r="AQ437">
        <v>0</v>
      </c>
      <c r="AR437">
        <v>0</v>
      </c>
      <c r="AS437">
        <v>0</v>
      </c>
      <c r="AT437">
        <f t="shared" si="20"/>
        <v>7.1144000000000016</v>
      </c>
      <c r="AU437">
        <f t="shared" si="18"/>
        <v>0.82</v>
      </c>
      <c r="AV437">
        <f t="shared" si="19"/>
        <v>848.05200000000002</v>
      </c>
      <c r="AW437">
        <v>55</v>
      </c>
      <c r="BB437" t="s">
        <v>347</v>
      </c>
    </row>
    <row r="438" spans="3:54" x14ac:dyDescent="0.45">
      <c r="C438">
        <v>34.6</v>
      </c>
      <c r="D438">
        <v>0</v>
      </c>
      <c r="E438">
        <v>0</v>
      </c>
      <c r="F438">
        <v>0</v>
      </c>
      <c r="G438">
        <v>0</v>
      </c>
      <c r="H438">
        <v>0</v>
      </c>
      <c r="I438">
        <v>0</v>
      </c>
      <c r="J438">
        <v>8.7100000000000009</v>
      </c>
      <c r="K438">
        <v>44.35</v>
      </c>
      <c r="L438">
        <v>0</v>
      </c>
      <c r="M438">
        <v>0</v>
      </c>
      <c r="N438">
        <v>0</v>
      </c>
      <c r="O438">
        <v>12.34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1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0</v>
      </c>
      <c r="AJ438">
        <v>0</v>
      </c>
      <c r="AK438">
        <v>0</v>
      </c>
      <c r="AL438">
        <v>0</v>
      </c>
      <c r="AM438">
        <v>0</v>
      </c>
      <c r="AN438">
        <v>0</v>
      </c>
      <c r="AO438">
        <v>0</v>
      </c>
      <c r="AP438">
        <v>0</v>
      </c>
      <c r="AQ438">
        <v>0</v>
      </c>
      <c r="AR438">
        <v>0</v>
      </c>
      <c r="AS438">
        <v>0</v>
      </c>
      <c r="AT438">
        <f t="shared" si="20"/>
        <v>15.132800000000001</v>
      </c>
      <c r="AU438">
        <f t="shared" si="18"/>
        <v>1.4516666666666669</v>
      </c>
      <c r="AV438">
        <f t="shared" si="19"/>
        <v>821.90099999999995</v>
      </c>
      <c r="AW438">
        <v>64</v>
      </c>
      <c r="BB438" t="s">
        <v>347</v>
      </c>
    </row>
    <row r="439" spans="3:54" x14ac:dyDescent="0.45">
      <c r="C439">
        <v>55.01</v>
      </c>
      <c r="D439">
        <v>0</v>
      </c>
      <c r="E439">
        <v>0</v>
      </c>
      <c r="F439">
        <v>0</v>
      </c>
      <c r="G439">
        <v>0</v>
      </c>
      <c r="H439">
        <v>0</v>
      </c>
      <c r="I439">
        <v>0</v>
      </c>
      <c r="J439">
        <v>20.09</v>
      </c>
      <c r="K439">
        <v>7.26</v>
      </c>
      <c r="L439">
        <v>0</v>
      </c>
      <c r="M439">
        <v>0</v>
      </c>
      <c r="N439">
        <v>0</v>
      </c>
      <c r="O439">
        <v>17.64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1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0</v>
      </c>
      <c r="AJ439">
        <v>0</v>
      </c>
      <c r="AK439">
        <v>0</v>
      </c>
      <c r="AL439">
        <v>0</v>
      </c>
      <c r="AM439">
        <v>0</v>
      </c>
      <c r="AN439">
        <v>0</v>
      </c>
      <c r="AO439">
        <v>0</v>
      </c>
      <c r="AP439">
        <v>0</v>
      </c>
      <c r="AQ439">
        <v>0</v>
      </c>
      <c r="AR439">
        <v>0</v>
      </c>
      <c r="AS439">
        <v>0</v>
      </c>
      <c r="AT439">
        <f t="shared" si="20"/>
        <v>5.9136000000000006</v>
      </c>
      <c r="AU439">
        <f t="shared" si="18"/>
        <v>3.3483333333333332</v>
      </c>
      <c r="AV439">
        <f t="shared" si="19"/>
        <v>743.37900000000002</v>
      </c>
      <c r="AW439">
        <v>73.12</v>
      </c>
      <c r="BB439" t="s">
        <v>243</v>
      </c>
    </row>
    <row r="440" spans="3:54" x14ac:dyDescent="0.45">
      <c r="C440">
        <v>54.48</v>
      </c>
      <c r="D440">
        <v>0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22.98</v>
      </c>
      <c r="K440">
        <v>4.51</v>
      </c>
      <c r="L440">
        <v>0</v>
      </c>
      <c r="M440">
        <v>0</v>
      </c>
      <c r="N440">
        <v>0</v>
      </c>
      <c r="O440">
        <v>18.03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1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0</v>
      </c>
      <c r="AJ440">
        <v>0</v>
      </c>
      <c r="AK440">
        <v>0</v>
      </c>
      <c r="AL440">
        <v>0</v>
      </c>
      <c r="AM440">
        <v>0</v>
      </c>
      <c r="AN440">
        <v>0</v>
      </c>
      <c r="AO440">
        <v>0</v>
      </c>
      <c r="AP440">
        <v>0</v>
      </c>
      <c r="AQ440">
        <v>0</v>
      </c>
      <c r="AR440">
        <v>0</v>
      </c>
      <c r="AS440">
        <v>0</v>
      </c>
      <c r="AT440">
        <f t="shared" si="20"/>
        <v>5.2294</v>
      </c>
      <c r="AU440">
        <f t="shared" si="18"/>
        <v>3.83</v>
      </c>
      <c r="AV440">
        <f t="shared" si="19"/>
        <v>723.43799999999999</v>
      </c>
      <c r="AW440">
        <v>74.98</v>
      </c>
      <c r="BB440" t="s">
        <v>276</v>
      </c>
    </row>
    <row r="441" spans="3:54" x14ac:dyDescent="0.45">
      <c r="C441">
        <v>53.16</v>
      </c>
      <c r="D441">
        <v>0</v>
      </c>
      <c r="E441">
        <v>0</v>
      </c>
      <c r="F441">
        <v>0</v>
      </c>
      <c r="G441">
        <v>0</v>
      </c>
      <c r="H441">
        <v>0</v>
      </c>
      <c r="I441">
        <v>0</v>
      </c>
      <c r="J441">
        <v>26.04</v>
      </c>
      <c r="K441">
        <v>2.2799999999999998</v>
      </c>
      <c r="L441">
        <v>0</v>
      </c>
      <c r="M441">
        <v>0</v>
      </c>
      <c r="N441">
        <v>0</v>
      </c>
      <c r="O441">
        <v>18.52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1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  <c r="AK441">
        <v>0</v>
      </c>
      <c r="AL441">
        <v>0</v>
      </c>
      <c r="AM441">
        <v>0</v>
      </c>
      <c r="AN441">
        <v>0</v>
      </c>
      <c r="AO441">
        <v>0</v>
      </c>
      <c r="AP441">
        <v>0</v>
      </c>
      <c r="AQ441">
        <v>0</v>
      </c>
      <c r="AR441">
        <v>0</v>
      </c>
      <c r="AS441">
        <v>0</v>
      </c>
      <c r="AT441">
        <f t="shared" si="20"/>
        <v>4.7127999999999997</v>
      </c>
      <c r="AU441">
        <f t="shared" si="18"/>
        <v>4.34</v>
      </c>
      <c r="AV441">
        <f t="shared" si="19"/>
        <v>702.32399999999996</v>
      </c>
      <c r="AW441">
        <v>76.62</v>
      </c>
      <c r="BB441" t="s">
        <v>276</v>
      </c>
    </row>
    <row r="442" spans="3:54" x14ac:dyDescent="0.45">
      <c r="C442">
        <v>67.8</v>
      </c>
      <c r="D442">
        <v>0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3.6</v>
      </c>
      <c r="K442">
        <v>24.8</v>
      </c>
      <c r="L442">
        <v>0</v>
      </c>
      <c r="M442">
        <v>0</v>
      </c>
      <c r="N442">
        <v>0</v>
      </c>
      <c r="O442">
        <v>3.8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1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0</v>
      </c>
      <c r="AJ442">
        <v>0</v>
      </c>
      <c r="AK442">
        <v>0</v>
      </c>
      <c r="AL442">
        <v>0</v>
      </c>
      <c r="AM442">
        <v>0</v>
      </c>
      <c r="AN442">
        <v>0</v>
      </c>
      <c r="AO442">
        <v>0</v>
      </c>
      <c r="AP442">
        <v>0</v>
      </c>
      <c r="AQ442">
        <v>0</v>
      </c>
      <c r="AR442">
        <v>0</v>
      </c>
      <c r="AS442">
        <v>0</v>
      </c>
      <c r="AT442">
        <f t="shared" si="20"/>
        <v>7.7800000000000011</v>
      </c>
      <c r="AU442">
        <f t="shared" si="18"/>
        <v>0.6</v>
      </c>
      <c r="AV442">
        <f t="shared" si="19"/>
        <v>857.16</v>
      </c>
      <c r="AW442">
        <v>65.8</v>
      </c>
      <c r="BB442" t="s">
        <v>276</v>
      </c>
    </row>
    <row r="443" spans="3:54" x14ac:dyDescent="0.45">
      <c r="C443">
        <v>69.7</v>
      </c>
      <c r="D443">
        <v>0</v>
      </c>
      <c r="E443">
        <v>0</v>
      </c>
      <c r="F443">
        <v>0</v>
      </c>
      <c r="G443">
        <v>0</v>
      </c>
      <c r="H443">
        <v>0</v>
      </c>
      <c r="I443">
        <v>0</v>
      </c>
      <c r="J443">
        <v>3.2</v>
      </c>
      <c r="K443">
        <v>22.9</v>
      </c>
      <c r="L443">
        <v>0</v>
      </c>
      <c r="M443">
        <v>0</v>
      </c>
      <c r="N443">
        <v>0</v>
      </c>
      <c r="O443">
        <v>4.2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1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0</v>
      </c>
      <c r="AL443">
        <v>0</v>
      </c>
      <c r="AM443">
        <v>0</v>
      </c>
      <c r="AN443">
        <v>0</v>
      </c>
      <c r="AO443">
        <v>0</v>
      </c>
      <c r="AP443">
        <v>0</v>
      </c>
      <c r="AQ443">
        <v>0</v>
      </c>
      <c r="AR443">
        <v>0</v>
      </c>
      <c r="AS443">
        <v>0</v>
      </c>
      <c r="AT443">
        <f t="shared" si="20"/>
        <v>7.3360000000000003</v>
      </c>
      <c r="AU443">
        <f t="shared" si="18"/>
        <v>0.53333333333333333</v>
      </c>
      <c r="AV443">
        <f t="shared" si="19"/>
        <v>859.92</v>
      </c>
      <c r="AW443">
        <v>64.2</v>
      </c>
      <c r="BB443" t="s">
        <v>276</v>
      </c>
    </row>
    <row r="444" spans="3:54" x14ac:dyDescent="0.45">
      <c r="C444">
        <v>70.599999999999994</v>
      </c>
      <c r="D444">
        <v>0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3.4</v>
      </c>
      <c r="K444">
        <v>20.9</v>
      </c>
      <c r="L444">
        <v>0</v>
      </c>
      <c r="M444">
        <v>0</v>
      </c>
      <c r="N444">
        <v>0</v>
      </c>
      <c r="O444">
        <v>5.0999999999999996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1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</v>
      </c>
      <c r="AL444">
        <v>0</v>
      </c>
      <c r="AM444">
        <v>0</v>
      </c>
      <c r="AN444">
        <v>0</v>
      </c>
      <c r="AO444">
        <v>0</v>
      </c>
      <c r="AP444">
        <v>0</v>
      </c>
      <c r="AQ444">
        <v>0</v>
      </c>
      <c r="AR444">
        <v>0</v>
      </c>
      <c r="AS444">
        <v>0</v>
      </c>
      <c r="AT444">
        <f t="shared" si="20"/>
        <v>6.9740000000000002</v>
      </c>
      <c r="AU444">
        <f t="shared" si="18"/>
        <v>0.56666666666666665</v>
      </c>
      <c r="AV444">
        <f t="shared" si="19"/>
        <v>858.54</v>
      </c>
      <c r="AW444">
        <v>63</v>
      </c>
    </row>
    <row r="445" spans="3:54" x14ac:dyDescent="0.45">
      <c r="C445">
        <v>74.8</v>
      </c>
      <c r="D445">
        <v>0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2</v>
      </c>
      <c r="K445">
        <v>22.5</v>
      </c>
      <c r="L445">
        <v>0</v>
      </c>
      <c r="M445">
        <v>0</v>
      </c>
      <c r="N445">
        <v>0</v>
      </c>
      <c r="O445">
        <v>0.7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1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</v>
      </c>
      <c r="AL445">
        <v>0</v>
      </c>
      <c r="AM445">
        <v>0</v>
      </c>
      <c r="AN445">
        <v>0</v>
      </c>
      <c r="AO445">
        <v>0</v>
      </c>
      <c r="AP445">
        <v>0</v>
      </c>
      <c r="AQ445">
        <v>0</v>
      </c>
      <c r="AR445">
        <v>0</v>
      </c>
      <c r="AS445">
        <v>0</v>
      </c>
      <c r="AT445">
        <f t="shared" si="20"/>
        <v>6.4540000000000006</v>
      </c>
      <c r="AU445">
        <f t="shared" si="18"/>
        <v>0.33333333333333331</v>
      </c>
      <c r="AV445">
        <f t="shared" si="19"/>
        <v>868.2</v>
      </c>
      <c r="AW445">
        <v>59.5</v>
      </c>
    </row>
    <row r="446" spans="3:54" x14ac:dyDescent="0.45">
      <c r="C446">
        <v>69.709999999999994</v>
      </c>
      <c r="D446">
        <v>0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4.83</v>
      </c>
      <c r="K446">
        <v>23.72</v>
      </c>
      <c r="L446">
        <v>0</v>
      </c>
      <c r="M446">
        <v>0</v>
      </c>
      <c r="N446">
        <v>0</v>
      </c>
      <c r="O446">
        <v>1.74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1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  <c r="AL446">
        <v>0</v>
      </c>
      <c r="AM446">
        <v>0</v>
      </c>
      <c r="AN446">
        <v>0</v>
      </c>
      <c r="AO446">
        <v>0</v>
      </c>
      <c r="AP446">
        <v>0</v>
      </c>
      <c r="AQ446">
        <v>0</v>
      </c>
      <c r="AR446">
        <v>0</v>
      </c>
      <c r="AS446">
        <v>0</v>
      </c>
      <c r="AT446">
        <f t="shared" si="20"/>
        <v>7.0244</v>
      </c>
      <c r="AU446">
        <f t="shared" si="18"/>
        <v>0.80500000000000005</v>
      </c>
      <c r="AV446">
        <f t="shared" si="19"/>
        <v>848.673</v>
      </c>
      <c r="AW446">
        <v>62.2</v>
      </c>
    </row>
    <row r="447" spans="3:54" x14ac:dyDescent="0.45">
      <c r="C447">
        <v>74.27</v>
      </c>
      <c r="D447">
        <v>0</v>
      </c>
      <c r="E447">
        <v>0</v>
      </c>
      <c r="F447">
        <v>0</v>
      </c>
      <c r="G447">
        <v>0</v>
      </c>
      <c r="H447">
        <v>0</v>
      </c>
      <c r="I447">
        <v>0</v>
      </c>
      <c r="J447">
        <v>1.96</v>
      </c>
      <c r="K447">
        <v>23.11</v>
      </c>
      <c r="L447">
        <v>0</v>
      </c>
      <c r="M447">
        <v>0</v>
      </c>
      <c r="N447">
        <v>0</v>
      </c>
      <c r="O447">
        <v>0.66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1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  <c r="AL447">
        <v>0</v>
      </c>
      <c r="AM447">
        <v>0</v>
      </c>
      <c r="AN447">
        <v>0</v>
      </c>
      <c r="AO447">
        <v>0</v>
      </c>
      <c r="AP447">
        <v>0</v>
      </c>
      <c r="AQ447">
        <v>0</v>
      </c>
      <c r="AR447">
        <v>0</v>
      </c>
      <c r="AS447">
        <v>0</v>
      </c>
      <c r="AT447">
        <f t="shared" si="20"/>
        <v>6.6160000000000005</v>
      </c>
      <c r="AU447">
        <f t="shared" si="18"/>
        <v>0.32666666666666666</v>
      </c>
      <c r="AV447">
        <f t="shared" si="19"/>
        <v>868.476</v>
      </c>
      <c r="AW447">
        <v>60.2</v>
      </c>
    </row>
    <row r="448" spans="3:54" x14ac:dyDescent="0.45">
      <c r="C448">
        <v>72.63</v>
      </c>
      <c r="D448">
        <v>0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3.47</v>
      </c>
      <c r="K448">
        <v>20.41</v>
      </c>
      <c r="L448">
        <v>0</v>
      </c>
      <c r="M448">
        <v>0</v>
      </c>
      <c r="N448">
        <v>0</v>
      </c>
      <c r="O448">
        <v>3.49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1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0</v>
      </c>
      <c r="AL448">
        <v>0</v>
      </c>
      <c r="AM448">
        <v>0</v>
      </c>
      <c r="AN448">
        <v>0</v>
      </c>
      <c r="AO448">
        <v>0</v>
      </c>
      <c r="AP448">
        <v>0</v>
      </c>
      <c r="AQ448">
        <v>0</v>
      </c>
      <c r="AR448">
        <v>0</v>
      </c>
      <c r="AS448">
        <v>0</v>
      </c>
      <c r="AT448">
        <f t="shared" si="20"/>
        <v>6.4826000000000006</v>
      </c>
      <c r="AU448">
        <f t="shared" si="18"/>
        <v>0.57833333333333337</v>
      </c>
      <c r="AV448">
        <f t="shared" si="19"/>
        <v>858.05700000000002</v>
      </c>
      <c r="AW448">
        <v>56</v>
      </c>
    </row>
    <row r="449" spans="3:55" x14ac:dyDescent="0.45">
      <c r="C449">
        <v>68.209999999999994</v>
      </c>
      <c r="D449">
        <v>0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3.58</v>
      </c>
      <c r="K449">
        <v>24.6</v>
      </c>
      <c r="L449">
        <v>0</v>
      </c>
      <c r="M449">
        <v>0</v>
      </c>
      <c r="N449">
        <v>0</v>
      </c>
      <c r="O449">
        <v>3.61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1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  <c r="AL449">
        <v>0</v>
      </c>
      <c r="AM449">
        <v>0</v>
      </c>
      <c r="AN449">
        <v>0</v>
      </c>
      <c r="AO449">
        <v>0</v>
      </c>
      <c r="AP449">
        <v>0</v>
      </c>
      <c r="AQ449">
        <v>0</v>
      </c>
      <c r="AR449">
        <v>0</v>
      </c>
      <c r="AS449">
        <v>0</v>
      </c>
      <c r="AT449">
        <f t="shared" si="20"/>
        <v>7.6822000000000008</v>
      </c>
      <c r="AU449">
        <f t="shared" si="18"/>
        <v>0.59666666666666668</v>
      </c>
      <c r="AV449">
        <f t="shared" si="19"/>
        <v>857.298</v>
      </c>
      <c r="AW449">
        <v>62</v>
      </c>
    </row>
    <row r="450" spans="3:55" x14ac:dyDescent="0.45">
      <c r="C450">
        <v>69.2</v>
      </c>
      <c r="D450">
        <v>0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5</v>
      </c>
      <c r="K450">
        <v>24.1</v>
      </c>
      <c r="L450">
        <v>0</v>
      </c>
      <c r="M450">
        <v>0</v>
      </c>
      <c r="N450">
        <v>0</v>
      </c>
      <c r="O450">
        <v>1.7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1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  <c r="AL450">
        <v>0</v>
      </c>
      <c r="AM450">
        <v>0</v>
      </c>
      <c r="AN450">
        <v>0</v>
      </c>
      <c r="AO450">
        <v>0</v>
      </c>
      <c r="AP450">
        <v>0</v>
      </c>
      <c r="AQ450">
        <v>0</v>
      </c>
      <c r="AR450">
        <v>0</v>
      </c>
      <c r="AS450">
        <v>0</v>
      </c>
      <c r="AT450">
        <f t="shared" si="20"/>
        <v>7.1220000000000008</v>
      </c>
      <c r="AU450">
        <f t="shared" ref="AU450:AU513" si="21">D450+J450/6+M450/3+(T450+S450)/10</f>
        <v>0.83333333333333337</v>
      </c>
      <c r="AV450">
        <f t="shared" ref="AV450:AV513" si="22">882+2.1*D450-9.5*L450+4.2*M450-6.9*J450-11.8*E450-12.1*F450-15.4*H450+23.3*Q450+123*T450</f>
        <v>847.5</v>
      </c>
      <c r="AW450">
        <v>56</v>
      </c>
    </row>
    <row r="451" spans="3:55" x14ac:dyDescent="0.45">
      <c r="C451">
        <v>69.900000000000006</v>
      </c>
      <c r="D451">
        <v>0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5.0999999999999996</v>
      </c>
      <c r="K451">
        <v>20.5</v>
      </c>
      <c r="L451">
        <v>0</v>
      </c>
      <c r="M451">
        <v>0</v>
      </c>
      <c r="N451">
        <v>0</v>
      </c>
      <c r="O451">
        <v>4.5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1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0</v>
      </c>
      <c r="AL451">
        <v>0</v>
      </c>
      <c r="AM451">
        <v>0</v>
      </c>
      <c r="AN451">
        <v>0</v>
      </c>
      <c r="AO451">
        <v>0</v>
      </c>
      <c r="AP451">
        <v>0</v>
      </c>
      <c r="AQ451">
        <v>0</v>
      </c>
      <c r="AR451">
        <v>0</v>
      </c>
      <c r="AS451">
        <v>0</v>
      </c>
      <c r="AT451">
        <f t="shared" ref="AT451:AT514" si="23">L451+0.67*E451+0.44*P451+0.28*K451+0.22*O451+2.9*H451+1.6*F451+1.7*G451-D451</f>
        <v>6.73</v>
      </c>
      <c r="AU451">
        <f t="shared" si="21"/>
        <v>0.85</v>
      </c>
      <c r="AV451">
        <f t="shared" si="22"/>
        <v>846.81</v>
      </c>
      <c r="AW451">
        <v>50</v>
      </c>
    </row>
    <row r="452" spans="3:55" x14ac:dyDescent="0.45">
      <c r="C452">
        <v>63.3</v>
      </c>
      <c r="D452">
        <v>0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17.600000000000001</v>
      </c>
      <c r="K452">
        <v>18.7</v>
      </c>
      <c r="L452">
        <v>0</v>
      </c>
      <c r="M452">
        <v>0</v>
      </c>
      <c r="N452">
        <v>0</v>
      </c>
      <c r="O452">
        <v>0.4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1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0</v>
      </c>
      <c r="AK452">
        <v>0</v>
      </c>
      <c r="AL452">
        <v>0</v>
      </c>
      <c r="AM452">
        <v>0</v>
      </c>
      <c r="AN452">
        <v>0</v>
      </c>
      <c r="AO452">
        <v>0</v>
      </c>
      <c r="AP452">
        <v>0</v>
      </c>
      <c r="AQ452">
        <v>0</v>
      </c>
      <c r="AR452">
        <v>0</v>
      </c>
      <c r="AS452">
        <v>0</v>
      </c>
      <c r="AT452">
        <f t="shared" si="23"/>
        <v>5.3240000000000007</v>
      </c>
      <c r="AU452">
        <f t="shared" si="21"/>
        <v>2.9333333333333336</v>
      </c>
      <c r="AV452">
        <f t="shared" si="22"/>
        <v>760.56</v>
      </c>
      <c r="AW452">
        <v>48.3</v>
      </c>
    </row>
    <row r="453" spans="3:55" x14ac:dyDescent="0.45">
      <c r="C453">
        <v>86</v>
      </c>
      <c r="D453">
        <v>6</v>
      </c>
      <c r="E453">
        <v>4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4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1</v>
      </c>
      <c r="Z453">
        <v>0</v>
      </c>
      <c r="AA453">
        <v>0</v>
      </c>
      <c r="AB453">
        <v>0</v>
      </c>
      <c r="AC453">
        <v>800</v>
      </c>
      <c r="AD453">
        <v>1</v>
      </c>
      <c r="AE453">
        <v>1</v>
      </c>
      <c r="AF453">
        <v>0</v>
      </c>
      <c r="AG453">
        <v>0</v>
      </c>
      <c r="AH453">
        <v>550</v>
      </c>
      <c r="AI453">
        <v>6</v>
      </c>
      <c r="AJ453">
        <v>0</v>
      </c>
      <c r="AK453">
        <v>1</v>
      </c>
      <c r="AL453">
        <v>0</v>
      </c>
      <c r="AM453">
        <v>0</v>
      </c>
      <c r="AN453">
        <v>0</v>
      </c>
      <c r="AO453">
        <v>0</v>
      </c>
      <c r="AP453">
        <v>0</v>
      </c>
      <c r="AQ453">
        <v>0</v>
      </c>
      <c r="AR453">
        <v>0</v>
      </c>
      <c r="AS453">
        <v>0</v>
      </c>
      <c r="AT453">
        <f t="shared" si="23"/>
        <v>0.67999999999999972</v>
      </c>
      <c r="AU453">
        <f t="shared" si="21"/>
        <v>6</v>
      </c>
      <c r="AV453">
        <f t="shared" si="22"/>
        <v>809.4</v>
      </c>
      <c r="AY453">
        <v>1032</v>
      </c>
      <c r="AZ453">
        <v>18.440000000000001</v>
      </c>
      <c r="BC453" t="s">
        <v>124</v>
      </c>
    </row>
    <row r="454" spans="3:55" x14ac:dyDescent="0.45">
      <c r="C454">
        <v>86</v>
      </c>
      <c r="D454">
        <v>6</v>
      </c>
      <c r="E454">
        <v>4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4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1</v>
      </c>
      <c r="Z454">
        <v>0</v>
      </c>
      <c r="AA454">
        <v>0</v>
      </c>
      <c r="AB454">
        <v>0</v>
      </c>
      <c r="AC454">
        <v>830</v>
      </c>
      <c r="AD454">
        <v>1</v>
      </c>
      <c r="AE454">
        <v>1</v>
      </c>
      <c r="AF454">
        <v>0</v>
      </c>
      <c r="AG454">
        <v>0</v>
      </c>
      <c r="AH454">
        <v>550</v>
      </c>
      <c r="AI454">
        <v>6</v>
      </c>
      <c r="AJ454">
        <v>0</v>
      </c>
      <c r="AK454">
        <v>1</v>
      </c>
      <c r="AL454">
        <v>0</v>
      </c>
      <c r="AM454">
        <v>0</v>
      </c>
      <c r="AN454">
        <v>0</v>
      </c>
      <c r="AO454">
        <v>0</v>
      </c>
      <c r="AP454">
        <v>0</v>
      </c>
      <c r="AQ454">
        <v>0</v>
      </c>
      <c r="AR454">
        <v>0</v>
      </c>
      <c r="AS454">
        <v>0</v>
      </c>
      <c r="AT454">
        <f t="shared" si="23"/>
        <v>0.67999999999999972</v>
      </c>
      <c r="AU454">
        <f t="shared" si="21"/>
        <v>6</v>
      </c>
      <c r="AV454">
        <f t="shared" si="22"/>
        <v>809.4</v>
      </c>
      <c r="AY454">
        <v>1084</v>
      </c>
      <c r="AZ454">
        <v>15.76</v>
      </c>
      <c r="BC454" t="s">
        <v>124</v>
      </c>
    </row>
    <row r="455" spans="3:55" x14ac:dyDescent="0.45">
      <c r="C455">
        <v>86</v>
      </c>
      <c r="D455">
        <v>6</v>
      </c>
      <c r="E455">
        <v>4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4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1</v>
      </c>
      <c r="Z455">
        <v>0</v>
      </c>
      <c r="AA455">
        <v>0</v>
      </c>
      <c r="AB455">
        <v>0</v>
      </c>
      <c r="AC455">
        <v>860</v>
      </c>
      <c r="AD455">
        <v>1</v>
      </c>
      <c r="AE455">
        <v>1</v>
      </c>
      <c r="AF455">
        <v>0</v>
      </c>
      <c r="AG455">
        <v>0</v>
      </c>
      <c r="AH455">
        <v>550</v>
      </c>
      <c r="AI455">
        <v>6</v>
      </c>
      <c r="AJ455">
        <v>0</v>
      </c>
      <c r="AK455">
        <v>1</v>
      </c>
      <c r="AL455">
        <v>0</v>
      </c>
      <c r="AM455">
        <v>0</v>
      </c>
      <c r="AN455">
        <v>0</v>
      </c>
      <c r="AO455">
        <v>0</v>
      </c>
      <c r="AP455">
        <v>0</v>
      </c>
      <c r="AQ455">
        <v>0</v>
      </c>
      <c r="AR455">
        <v>0</v>
      </c>
      <c r="AS455">
        <v>0</v>
      </c>
      <c r="AT455">
        <f t="shared" si="23"/>
        <v>0.67999999999999972</v>
      </c>
      <c r="AU455">
        <f t="shared" si="21"/>
        <v>6</v>
      </c>
      <c r="AV455">
        <f t="shared" si="22"/>
        <v>809.4</v>
      </c>
      <c r="AY455">
        <v>1124</v>
      </c>
      <c r="AZ455">
        <v>14.54</v>
      </c>
      <c r="BC455" t="s">
        <v>124</v>
      </c>
    </row>
    <row r="456" spans="3:55" x14ac:dyDescent="0.45">
      <c r="C456">
        <v>86</v>
      </c>
      <c r="D456">
        <v>6</v>
      </c>
      <c r="E456">
        <v>4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4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1</v>
      </c>
      <c r="Z456">
        <v>0</v>
      </c>
      <c r="AA456">
        <v>0</v>
      </c>
      <c r="AB456">
        <v>0</v>
      </c>
      <c r="AC456">
        <v>890</v>
      </c>
      <c r="AD456">
        <v>1</v>
      </c>
      <c r="AE456">
        <v>1</v>
      </c>
      <c r="AF456">
        <v>0</v>
      </c>
      <c r="AG456">
        <v>0</v>
      </c>
      <c r="AH456">
        <v>550</v>
      </c>
      <c r="AI456">
        <v>6</v>
      </c>
      <c r="AJ456">
        <v>0</v>
      </c>
      <c r="AK456">
        <v>1</v>
      </c>
      <c r="AL456">
        <v>0</v>
      </c>
      <c r="AM456">
        <v>0</v>
      </c>
      <c r="AN456">
        <v>0</v>
      </c>
      <c r="AO456">
        <v>0</v>
      </c>
      <c r="AP456">
        <v>0</v>
      </c>
      <c r="AQ456">
        <v>0</v>
      </c>
      <c r="AR456">
        <v>0</v>
      </c>
      <c r="AS456">
        <v>0</v>
      </c>
      <c r="AT456">
        <f t="shared" si="23"/>
        <v>0.67999999999999972</v>
      </c>
      <c r="AU456">
        <f t="shared" si="21"/>
        <v>6</v>
      </c>
      <c r="AV456">
        <f t="shared" si="22"/>
        <v>809.4</v>
      </c>
      <c r="AY456">
        <v>1225</v>
      </c>
      <c r="AZ456">
        <v>5.12</v>
      </c>
      <c r="BC456" t="s">
        <v>124</v>
      </c>
    </row>
    <row r="457" spans="3:55" x14ac:dyDescent="0.45">
      <c r="C457">
        <v>86</v>
      </c>
      <c r="D457">
        <v>6</v>
      </c>
      <c r="E457">
        <v>4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4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1</v>
      </c>
      <c r="Z457">
        <v>0</v>
      </c>
      <c r="AA457">
        <v>0</v>
      </c>
      <c r="AB457">
        <v>0</v>
      </c>
      <c r="AC457">
        <v>920</v>
      </c>
      <c r="AD457">
        <v>1</v>
      </c>
      <c r="AE457">
        <v>1</v>
      </c>
      <c r="AF457">
        <v>0</v>
      </c>
      <c r="AG457">
        <v>0</v>
      </c>
      <c r="AH457">
        <v>550</v>
      </c>
      <c r="AI457">
        <v>6</v>
      </c>
      <c r="AJ457">
        <v>0</v>
      </c>
      <c r="AK457">
        <v>1</v>
      </c>
      <c r="AL457">
        <v>0</v>
      </c>
      <c r="AM457">
        <v>0</v>
      </c>
      <c r="AN457">
        <v>0</v>
      </c>
      <c r="AO457">
        <v>0</v>
      </c>
      <c r="AP457">
        <v>0</v>
      </c>
      <c r="AQ457">
        <v>0</v>
      </c>
      <c r="AR457">
        <v>0</v>
      </c>
      <c r="AS457">
        <v>0</v>
      </c>
      <c r="AT457">
        <f t="shared" si="23"/>
        <v>0.67999999999999972</v>
      </c>
      <c r="AU457">
        <f t="shared" si="21"/>
        <v>6</v>
      </c>
      <c r="AV457">
        <f t="shared" si="22"/>
        <v>809.4</v>
      </c>
      <c r="AY457">
        <v>1285</v>
      </c>
      <c r="AZ457">
        <v>3.12</v>
      </c>
      <c r="BC457" t="s">
        <v>124</v>
      </c>
    </row>
    <row r="458" spans="3:55" x14ac:dyDescent="0.45">
      <c r="C458">
        <v>89.86</v>
      </c>
      <c r="D458">
        <v>8.1</v>
      </c>
      <c r="E458">
        <v>0.99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1.05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1</v>
      </c>
      <c r="Z458">
        <v>0</v>
      </c>
      <c r="AA458">
        <v>0</v>
      </c>
      <c r="AB458">
        <v>0</v>
      </c>
      <c r="AC458">
        <v>915</v>
      </c>
      <c r="AD458">
        <v>1</v>
      </c>
      <c r="AE458">
        <v>1</v>
      </c>
      <c r="AF458">
        <v>0</v>
      </c>
      <c r="AG458">
        <v>0</v>
      </c>
      <c r="AH458">
        <v>580</v>
      </c>
      <c r="AI458">
        <v>8</v>
      </c>
      <c r="AJ458">
        <v>0</v>
      </c>
      <c r="AK458">
        <v>1</v>
      </c>
      <c r="AL458">
        <v>0</v>
      </c>
      <c r="AM458">
        <v>0</v>
      </c>
      <c r="AN458">
        <v>0</v>
      </c>
      <c r="AO458">
        <v>0</v>
      </c>
      <c r="AP458">
        <v>0</v>
      </c>
      <c r="AQ458">
        <v>0</v>
      </c>
      <c r="AR458">
        <v>0</v>
      </c>
      <c r="AS458">
        <v>0</v>
      </c>
      <c r="AT458">
        <f t="shared" si="23"/>
        <v>-6.3866999999999994</v>
      </c>
      <c r="AU458">
        <f t="shared" si="21"/>
        <v>8.1</v>
      </c>
      <c r="AV458">
        <f t="shared" si="22"/>
        <v>877.35299999999995</v>
      </c>
      <c r="AX458">
        <v>953.5</v>
      </c>
      <c r="AY458">
        <v>969</v>
      </c>
      <c r="AZ458">
        <v>18</v>
      </c>
      <c r="BC458" t="s">
        <v>108</v>
      </c>
    </row>
    <row r="459" spans="3:55" x14ac:dyDescent="0.45">
      <c r="C459">
        <v>89.86</v>
      </c>
      <c r="D459">
        <v>8.1</v>
      </c>
      <c r="E459">
        <v>0.99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1.05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1</v>
      </c>
      <c r="Z459">
        <v>0</v>
      </c>
      <c r="AA459">
        <v>0</v>
      </c>
      <c r="AB459">
        <v>0</v>
      </c>
      <c r="AC459">
        <v>915</v>
      </c>
      <c r="AD459">
        <v>1</v>
      </c>
      <c r="AE459">
        <v>1</v>
      </c>
      <c r="AF459">
        <v>0</v>
      </c>
      <c r="AG459">
        <v>0</v>
      </c>
      <c r="AH459">
        <v>580</v>
      </c>
      <c r="AI459">
        <v>8</v>
      </c>
      <c r="AJ459">
        <v>0</v>
      </c>
      <c r="AK459">
        <v>1</v>
      </c>
      <c r="AL459">
        <v>0</v>
      </c>
      <c r="AM459">
        <v>0</v>
      </c>
      <c r="AN459">
        <v>0</v>
      </c>
      <c r="AO459">
        <v>0</v>
      </c>
      <c r="AP459">
        <v>0</v>
      </c>
      <c r="AQ459">
        <v>0</v>
      </c>
      <c r="AR459">
        <v>0</v>
      </c>
      <c r="AS459">
        <v>0</v>
      </c>
      <c r="AT459">
        <f t="shared" si="23"/>
        <v>-6.3866999999999994</v>
      </c>
      <c r="AU459">
        <f t="shared" si="21"/>
        <v>8.1</v>
      </c>
      <c r="AV459">
        <f t="shared" si="22"/>
        <v>877.35299999999995</v>
      </c>
      <c r="AX459">
        <v>926.5</v>
      </c>
      <c r="AY459">
        <v>971</v>
      </c>
      <c r="AZ459">
        <v>16.8</v>
      </c>
      <c r="BC459" t="s">
        <v>108</v>
      </c>
    </row>
    <row r="460" spans="3:55" x14ac:dyDescent="0.45">
      <c r="C460">
        <v>89.86</v>
      </c>
      <c r="D460">
        <v>8.1</v>
      </c>
      <c r="E460">
        <v>0.99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1.05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1</v>
      </c>
      <c r="Z460">
        <v>0</v>
      </c>
      <c r="AA460">
        <v>0</v>
      </c>
      <c r="AB460">
        <v>0</v>
      </c>
      <c r="AC460">
        <v>960</v>
      </c>
      <c r="AD460">
        <v>1</v>
      </c>
      <c r="AE460">
        <v>0</v>
      </c>
      <c r="AF460">
        <v>1</v>
      </c>
      <c r="AG460">
        <v>0</v>
      </c>
      <c r="AH460">
        <v>580</v>
      </c>
      <c r="AI460">
        <v>8</v>
      </c>
      <c r="AJ460">
        <v>0</v>
      </c>
      <c r="AK460">
        <v>1</v>
      </c>
      <c r="AL460">
        <v>0</v>
      </c>
      <c r="AM460">
        <v>0</v>
      </c>
      <c r="AN460">
        <v>0</v>
      </c>
      <c r="AO460">
        <v>0</v>
      </c>
      <c r="AP460">
        <v>0</v>
      </c>
      <c r="AQ460">
        <v>0</v>
      </c>
      <c r="AR460">
        <v>0</v>
      </c>
      <c r="AS460">
        <v>0</v>
      </c>
      <c r="AT460">
        <f t="shared" si="23"/>
        <v>-6.3866999999999994</v>
      </c>
      <c r="AU460">
        <f t="shared" si="21"/>
        <v>8.1</v>
      </c>
      <c r="AV460">
        <f t="shared" si="22"/>
        <v>877.35299999999995</v>
      </c>
      <c r="AX460">
        <v>908.5</v>
      </c>
      <c r="AY460">
        <v>928.5</v>
      </c>
      <c r="AZ460">
        <v>16.8</v>
      </c>
      <c r="BC460" t="s">
        <v>108</v>
      </c>
    </row>
    <row r="461" spans="3:55" x14ac:dyDescent="0.45">
      <c r="C461">
        <v>89.86</v>
      </c>
      <c r="D461">
        <v>8.1</v>
      </c>
      <c r="E461">
        <v>0.99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1.05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1</v>
      </c>
      <c r="Z461">
        <v>0</v>
      </c>
      <c r="AA461">
        <v>0</v>
      </c>
      <c r="AB461">
        <v>0</v>
      </c>
      <c r="AC461">
        <v>960</v>
      </c>
      <c r="AD461">
        <v>1</v>
      </c>
      <c r="AE461">
        <v>1</v>
      </c>
      <c r="AF461">
        <v>0</v>
      </c>
      <c r="AG461">
        <v>0</v>
      </c>
      <c r="AH461">
        <v>580</v>
      </c>
      <c r="AI461">
        <v>8</v>
      </c>
      <c r="AJ461">
        <v>0</v>
      </c>
      <c r="AK461">
        <v>1</v>
      </c>
      <c r="AL461">
        <v>0</v>
      </c>
      <c r="AM461">
        <v>0</v>
      </c>
      <c r="AN461">
        <v>0</v>
      </c>
      <c r="AO461">
        <v>0</v>
      </c>
      <c r="AP461">
        <v>0</v>
      </c>
      <c r="AQ461">
        <v>0</v>
      </c>
      <c r="AR461">
        <v>0</v>
      </c>
      <c r="AS461">
        <v>0</v>
      </c>
      <c r="AT461">
        <f t="shared" si="23"/>
        <v>-6.3866999999999994</v>
      </c>
      <c r="AU461">
        <f t="shared" si="21"/>
        <v>8.1</v>
      </c>
      <c r="AV461">
        <f t="shared" si="22"/>
        <v>877.35299999999995</v>
      </c>
      <c r="AX461">
        <v>931.5</v>
      </c>
      <c r="AY461">
        <v>964</v>
      </c>
      <c r="AZ461">
        <v>15</v>
      </c>
      <c r="BC461" t="s">
        <v>108</v>
      </c>
    </row>
    <row r="462" spans="3:55" x14ac:dyDescent="0.45">
      <c r="C462">
        <v>89.86</v>
      </c>
      <c r="D462">
        <v>8.1</v>
      </c>
      <c r="E462">
        <v>0.99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1.05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1</v>
      </c>
      <c r="Z462">
        <v>0</v>
      </c>
      <c r="AA462">
        <v>0</v>
      </c>
      <c r="AB462">
        <v>0</v>
      </c>
      <c r="AC462">
        <v>1010</v>
      </c>
      <c r="AD462">
        <v>1</v>
      </c>
      <c r="AE462">
        <v>1</v>
      </c>
      <c r="AF462">
        <v>0</v>
      </c>
      <c r="AG462">
        <v>0</v>
      </c>
      <c r="AH462">
        <v>580</v>
      </c>
      <c r="AI462">
        <v>8</v>
      </c>
      <c r="AJ462">
        <v>0</v>
      </c>
      <c r="AK462">
        <v>1</v>
      </c>
      <c r="AL462">
        <v>0</v>
      </c>
      <c r="AM462">
        <v>0</v>
      </c>
      <c r="AN462">
        <v>0</v>
      </c>
      <c r="AO462">
        <v>0</v>
      </c>
      <c r="AP462">
        <v>0</v>
      </c>
      <c r="AQ462">
        <v>0</v>
      </c>
      <c r="AR462">
        <v>0</v>
      </c>
      <c r="AS462">
        <v>0</v>
      </c>
      <c r="AT462">
        <f t="shared" si="23"/>
        <v>-6.3866999999999994</v>
      </c>
      <c r="AU462">
        <f t="shared" si="21"/>
        <v>8.1</v>
      </c>
      <c r="AV462">
        <f t="shared" si="22"/>
        <v>877.35299999999995</v>
      </c>
      <c r="AX462">
        <v>937.5</v>
      </c>
      <c r="AY462">
        <v>989.5</v>
      </c>
      <c r="AZ462">
        <v>15.3</v>
      </c>
      <c r="BC462" t="s">
        <v>108</v>
      </c>
    </row>
    <row r="463" spans="3:55" x14ac:dyDescent="0.45">
      <c r="C463">
        <v>89.86</v>
      </c>
      <c r="D463">
        <v>8.1</v>
      </c>
      <c r="E463">
        <v>0.99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1.05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915</v>
      </c>
      <c r="AD463">
        <v>1</v>
      </c>
      <c r="AE463">
        <v>0</v>
      </c>
      <c r="AF463">
        <v>1</v>
      </c>
      <c r="AG463">
        <v>0</v>
      </c>
      <c r="AH463">
        <v>550</v>
      </c>
      <c r="AI463">
        <v>8</v>
      </c>
      <c r="AJ463">
        <v>0</v>
      </c>
      <c r="AK463">
        <v>1</v>
      </c>
      <c r="AL463">
        <v>0</v>
      </c>
      <c r="AM463">
        <v>0</v>
      </c>
      <c r="AN463">
        <v>0</v>
      </c>
      <c r="AO463">
        <v>0</v>
      </c>
      <c r="AP463">
        <v>0</v>
      </c>
      <c r="AQ463">
        <v>0</v>
      </c>
      <c r="AR463">
        <v>0</v>
      </c>
      <c r="AS463">
        <v>0</v>
      </c>
      <c r="AT463">
        <f t="shared" si="23"/>
        <v>-6.3866999999999994</v>
      </c>
      <c r="AU463">
        <f t="shared" si="21"/>
        <v>8.1</v>
      </c>
      <c r="AV463">
        <f t="shared" si="22"/>
        <v>877.35299999999995</v>
      </c>
      <c r="AX463">
        <v>907.5</v>
      </c>
      <c r="AY463">
        <v>938.5</v>
      </c>
      <c r="AZ463">
        <v>16.5</v>
      </c>
      <c r="BC463" t="s">
        <v>108</v>
      </c>
    </row>
    <row r="464" spans="3:55" x14ac:dyDescent="0.45">
      <c r="C464">
        <v>89.86</v>
      </c>
      <c r="D464">
        <v>8.1</v>
      </c>
      <c r="E464">
        <v>0.99</v>
      </c>
      <c r="F464">
        <v>0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1.05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0</v>
      </c>
      <c r="AA464">
        <v>0</v>
      </c>
      <c r="AB464">
        <v>0</v>
      </c>
      <c r="AC464">
        <v>960</v>
      </c>
      <c r="AD464">
        <v>1</v>
      </c>
      <c r="AE464">
        <v>1</v>
      </c>
      <c r="AF464">
        <v>0</v>
      </c>
      <c r="AG464">
        <v>0</v>
      </c>
      <c r="AH464">
        <v>580</v>
      </c>
      <c r="AI464">
        <v>8</v>
      </c>
      <c r="AJ464">
        <v>0</v>
      </c>
      <c r="AK464">
        <v>1</v>
      </c>
      <c r="AL464">
        <v>0</v>
      </c>
      <c r="AM464">
        <v>0</v>
      </c>
      <c r="AN464">
        <v>0</v>
      </c>
      <c r="AO464">
        <v>0</v>
      </c>
      <c r="AP464">
        <v>0</v>
      </c>
      <c r="AQ464">
        <v>0</v>
      </c>
      <c r="AR464">
        <v>0</v>
      </c>
      <c r="AS464">
        <v>0</v>
      </c>
      <c r="AT464">
        <f t="shared" si="23"/>
        <v>-6.3866999999999994</v>
      </c>
      <c r="AU464">
        <f t="shared" si="21"/>
        <v>8.1</v>
      </c>
      <c r="AV464">
        <f t="shared" si="22"/>
        <v>877.35299999999995</v>
      </c>
      <c r="AX464">
        <v>966</v>
      </c>
      <c r="AY464">
        <v>1017.5</v>
      </c>
      <c r="AZ464">
        <v>15.3</v>
      </c>
      <c r="BC464" t="s">
        <v>108</v>
      </c>
    </row>
    <row r="465" spans="3:55" x14ac:dyDescent="0.45">
      <c r="C465">
        <v>89.86</v>
      </c>
      <c r="D465">
        <v>8.1</v>
      </c>
      <c r="E465">
        <v>0.99</v>
      </c>
      <c r="F465">
        <v>0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1.05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1</v>
      </c>
      <c r="Z465">
        <v>0</v>
      </c>
      <c r="AA465">
        <v>0</v>
      </c>
      <c r="AB465">
        <v>0</v>
      </c>
      <c r="AC465">
        <v>960</v>
      </c>
      <c r="AD465">
        <v>1</v>
      </c>
      <c r="AE465">
        <v>0</v>
      </c>
      <c r="AF465">
        <v>1</v>
      </c>
      <c r="AG465">
        <v>0</v>
      </c>
      <c r="AH465">
        <v>550</v>
      </c>
      <c r="AI465">
        <v>8</v>
      </c>
      <c r="AJ465">
        <v>0</v>
      </c>
      <c r="AK465">
        <v>1</v>
      </c>
      <c r="AL465">
        <v>0</v>
      </c>
      <c r="AM465">
        <v>0</v>
      </c>
      <c r="AN465">
        <v>0</v>
      </c>
      <c r="AO465">
        <v>0</v>
      </c>
      <c r="AP465">
        <v>0</v>
      </c>
      <c r="AQ465">
        <v>0</v>
      </c>
      <c r="AR465">
        <v>0</v>
      </c>
      <c r="AS465">
        <v>0</v>
      </c>
      <c r="AT465">
        <f t="shared" si="23"/>
        <v>-6.3866999999999994</v>
      </c>
      <c r="AU465">
        <f t="shared" si="21"/>
        <v>8.1</v>
      </c>
      <c r="AV465">
        <f t="shared" si="22"/>
        <v>877.35299999999995</v>
      </c>
      <c r="AX465">
        <v>893.5</v>
      </c>
      <c r="AY465">
        <v>919.5</v>
      </c>
      <c r="AZ465">
        <v>16.5</v>
      </c>
      <c r="BC465" t="s">
        <v>108</v>
      </c>
    </row>
    <row r="466" spans="3:55" x14ac:dyDescent="0.45">
      <c r="C466">
        <v>89.86</v>
      </c>
      <c r="D466">
        <v>8.1</v>
      </c>
      <c r="E466">
        <v>0.99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1.05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1</v>
      </c>
      <c r="Z466">
        <v>0</v>
      </c>
      <c r="AA466">
        <v>0</v>
      </c>
      <c r="AB466">
        <v>0</v>
      </c>
      <c r="AC466">
        <v>960</v>
      </c>
      <c r="AD466">
        <v>1</v>
      </c>
      <c r="AE466">
        <v>0</v>
      </c>
      <c r="AF466">
        <v>1</v>
      </c>
      <c r="AG466">
        <v>0</v>
      </c>
      <c r="AH466">
        <v>620</v>
      </c>
      <c r="AI466">
        <v>8</v>
      </c>
      <c r="AJ466">
        <v>0</v>
      </c>
      <c r="AK466">
        <v>1</v>
      </c>
      <c r="AL466">
        <v>0</v>
      </c>
      <c r="AM466">
        <v>0</v>
      </c>
      <c r="AN466">
        <v>0</v>
      </c>
      <c r="AO466">
        <v>0</v>
      </c>
      <c r="AP466">
        <v>0</v>
      </c>
      <c r="AQ466">
        <v>0</v>
      </c>
      <c r="AR466">
        <v>0</v>
      </c>
      <c r="AS466">
        <v>0</v>
      </c>
      <c r="AT466">
        <f t="shared" si="23"/>
        <v>-6.3866999999999994</v>
      </c>
      <c r="AU466">
        <f t="shared" si="21"/>
        <v>8.1</v>
      </c>
      <c r="AV466">
        <f t="shared" si="22"/>
        <v>877.35299999999995</v>
      </c>
      <c r="AX466">
        <v>914</v>
      </c>
      <c r="AY466">
        <v>929</v>
      </c>
      <c r="AZ466">
        <v>16.3</v>
      </c>
      <c r="BC466" t="s">
        <v>108</v>
      </c>
    </row>
    <row r="467" spans="3:55" x14ac:dyDescent="0.45">
      <c r="C467">
        <v>89.86</v>
      </c>
      <c r="D467">
        <v>8.1</v>
      </c>
      <c r="E467">
        <v>0.99</v>
      </c>
      <c r="F467">
        <v>0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1.05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1</v>
      </c>
      <c r="Z467">
        <v>0</v>
      </c>
      <c r="AA467">
        <v>0</v>
      </c>
      <c r="AB467">
        <v>0</v>
      </c>
      <c r="AC467">
        <v>1010</v>
      </c>
      <c r="AD467">
        <v>1</v>
      </c>
      <c r="AE467">
        <v>1</v>
      </c>
      <c r="AF467">
        <v>0</v>
      </c>
      <c r="AG467">
        <v>0</v>
      </c>
      <c r="AH467">
        <v>580</v>
      </c>
      <c r="AI467">
        <v>8</v>
      </c>
      <c r="AJ467">
        <v>0</v>
      </c>
      <c r="AK467">
        <v>1</v>
      </c>
      <c r="AL467">
        <v>0</v>
      </c>
      <c r="AM467">
        <v>0</v>
      </c>
      <c r="AN467">
        <v>0</v>
      </c>
      <c r="AO467">
        <v>0</v>
      </c>
      <c r="AP467">
        <v>0</v>
      </c>
      <c r="AQ467">
        <v>0</v>
      </c>
      <c r="AR467">
        <v>0</v>
      </c>
      <c r="AS467">
        <v>0</v>
      </c>
      <c r="AT467">
        <f t="shared" si="23"/>
        <v>-6.3866999999999994</v>
      </c>
      <c r="AU467">
        <f t="shared" si="21"/>
        <v>8.1</v>
      </c>
      <c r="AV467">
        <f t="shared" si="22"/>
        <v>877.35299999999995</v>
      </c>
      <c r="AX467">
        <v>968.5</v>
      </c>
      <c r="AY467">
        <v>1028.5</v>
      </c>
      <c r="AZ467">
        <v>16.8</v>
      </c>
      <c r="BC467" t="s">
        <v>108</v>
      </c>
    </row>
    <row r="468" spans="3:55" x14ac:dyDescent="0.45">
      <c r="C468">
        <v>89.86</v>
      </c>
      <c r="D468">
        <v>8.1</v>
      </c>
      <c r="E468">
        <v>0.99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1.05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1</v>
      </c>
      <c r="Z468">
        <v>0</v>
      </c>
      <c r="AA468">
        <v>0</v>
      </c>
      <c r="AB468">
        <v>0</v>
      </c>
      <c r="AC468">
        <v>1010</v>
      </c>
      <c r="AD468">
        <v>1</v>
      </c>
      <c r="AE468">
        <v>0</v>
      </c>
      <c r="AF468">
        <v>1</v>
      </c>
      <c r="AG468">
        <v>0</v>
      </c>
      <c r="AH468">
        <v>550</v>
      </c>
      <c r="AI468">
        <v>8</v>
      </c>
      <c r="AJ468">
        <v>0</v>
      </c>
      <c r="AK468">
        <v>1</v>
      </c>
      <c r="AL468">
        <v>0</v>
      </c>
      <c r="AM468">
        <v>0</v>
      </c>
      <c r="AN468">
        <v>0</v>
      </c>
      <c r="AO468">
        <v>0</v>
      </c>
      <c r="AP468">
        <v>0</v>
      </c>
      <c r="AQ468">
        <v>0</v>
      </c>
      <c r="AR468">
        <v>0</v>
      </c>
      <c r="AS468">
        <v>0</v>
      </c>
      <c r="AT468">
        <f t="shared" si="23"/>
        <v>-6.3866999999999994</v>
      </c>
      <c r="AU468">
        <f t="shared" si="21"/>
        <v>8.1</v>
      </c>
      <c r="AV468">
        <f t="shared" si="22"/>
        <v>877.35299999999995</v>
      </c>
      <c r="AX468">
        <v>879</v>
      </c>
      <c r="AY468">
        <v>919.5</v>
      </c>
      <c r="AZ468">
        <v>16.3</v>
      </c>
      <c r="BC468" t="s">
        <v>108</v>
      </c>
    </row>
    <row r="469" spans="3:55" x14ac:dyDescent="0.45">
      <c r="C469">
        <v>89.86</v>
      </c>
      <c r="D469">
        <v>8.1</v>
      </c>
      <c r="E469">
        <v>0.99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1.05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1</v>
      </c>
      <c r="Z469">
        <v>0</v>
      </c>
      <c r="AA469">
        <v>0</v>
      </c>
      <c r="AB469">
        <v>0</v>
      </c>
      <c r="AC469">
        <v>1010</v>
      </c>
      <c r="AD469">
        <v>1</v>
      </c>
      <c r="AE469">
        <v>0</v>
      </c>
      <c r="AF469">
        <v>1</v>
      </c>
      <c r="AG469">
        <v>0</v>
      </c>
      <c r="AH469">
        <v>620</v>
      </c>
      <c r="AI469">
        <v>8</v>
      </c>
      <c r="AJ469">
        <v>0</v>
      </c>
      <c r="AK469">
        <v>1</v>
      </c>
      <c r="AL469">
        <v>0</v>
      </c>
      <c r="AM469">
        <v>0</v>
      </c>
      <c r="AN469">
        <v>0</v>
      </c>
      <c r="AO469">
        <v>0</v>
      </c>
      <c r="AP469">
        <v>0</v>
      </c>
      <c r="AQ469">
        <v>0</v>
      </c>
      <c r="AR469">
        <v>0</v>
      </c>
      <c r="AS469">
        <v>0</v>
      </c>
      <c r="AT469">
        <f t="shared" si="23"/>
        <v>-6.3866999999999994</v>
      </c>
      <c r="AU469">
        <f t="shared" si="21"/>
        <v>8.1</v>
      </c>
      <c r="AV469">
        <f t="shared" si="22"/>
        <v>877.35299999999995</v>
      </c>
      <c r="AX469">
        <v>912</v>
      </c>
      <c r="AY469">
        <v>938.5</v>
      </c>
      <c r="AZ469">
        <v>17.8</v>
      </c>
      <c r="BC469" t="s">
        <v>108</v>
      </c>
    </row>
    <row r="470" spans="3:55" x14ac:dyDescent="0.45">
      <c r="C470">
        <v>89.86</v>
      </c>
      <c r="D470">
        <v>8.1</v>
      </c>
      <c r="E470">
        <v>0.99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1.05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1</v>
      </c>
      <c r="Z470">
        <v>0</v>
      </c>
      <c r="AA470">
        <v>0</v>
      </c>
      <c r="AB470">
        <v>0</v>
      </c>
      <c r="AC470">
        <v>910</v>
      </c>
      <c r="AD470">
        <v>1</v>
      </c>
      <c r="AE470">
        <v>0</v>
      </c>
      <c r="AF470">
        <v>1</v>
      </c>
      <c r="AG470">
        <v>0</v>
      </c>
      <c r="AH470">
        <v>0</v>
      </c>
      <c r="AI470">
        <v>0</v>
      </c>
      <c r="AJ470">
        <v>0</v>
      </c>
      <c r="AK470">
        <v>0</v>
      </c>
      <c r="AL470">
        <v>0</v>
      </c>
      <c r="AM470">
        <v>0</v>
      </c>
      <c r="AN470">
        <v>0</v>
      </c>
      <c r="AO470">
        <v>0</v>
      </c>
      <c r="AP470">
        <v>0</v>
      </c>
      <c r="AQ470">
        <v>0</v>
      </c>
      <c r="AR470">
        <v>0</v>
      </c>
      <c r="AS470">
        <v>0</v>
      </c>
      <c r="AT470">
        <f t="shared" si="23"/>
        <v>-6.3866999999999994</v>
      </c>
      <c r="AU470">
        <f t="shared" si="21"/>
        <v>8.1</v>
      </c>
      <c r="AV470">
        <f t="shared" si="22"/>
        <v>877.35299999999995</v>
      </c>
      <c r="AX470">
        <v>827</v>
      </c>
      <c r="AY470">
        <v>936</v>
      </c>
      <c r="AZ470">
        <v>16.7</v>
      </c>
      <c r="BC470" t="s">
        <v>108</v>
      </c>
    </row>
    <row r="471" spans="3:55" x14ac:dyDescent="0.45">
      <c r="C471">
        <v>89.86</v>
      </c>
      <c r="D471">
        <v>8.1</v>
      </c>
      <c r="E471">
        <v>0.99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1.05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1</v>
      </c>
      <c r="Z471">
        <v>0</v>
      </c>
      <c r="AA471">
        <v>0</v>
      </c>
      <c r="AB471">
        <v>0</v>
      </c>
      <c r="AC471">
        <v>910</v>
      </c>
      <c r="AD471">
        <v>2</v>
      </c>
      <c r="AE471">
        <v>0</v>
      </c>
      <c r="AF471">
        <v>1</v>
      </c>
      <c r="AG471">
        <v>0</v>
      </c>
      <c r="AH471">
        <v>0</v>
      </c>
      <c r="AI471">
        <v>0</v>
      </c>
      <c r="AJ471">
        <v>0</v>
      </c>
      <c r="AK471">
        <v>0</v>
      </c>
      <c r="AL471">
        <v>0</v>
      </c>
      <c r="AM471">
        <v>0</v>
      </c>
      <c r="AN471">
        <v>0</v>
      </c>
      <c r="AO471">
        <v>0</v>
      </c>
      <c r="AP471">
        <v>0</v>
      </c>
      <c r="AQ471">
        <v>0</v>
      </c>
      <c r="AR471">
        <v>0</v>
      </c>
      <c r="AS471">
        <v>0</v>
      </c>
      <c r="AT471">
        <f t="shared" si="23"/>
        <v>-6.3866999999999994</v>
      </c>
      <c r="AU471">
        <f t="shared" si="21"/>
        <v>8.1</v>
      </c>
      <c r="AV471">
        <f t="shared" si="22"/>
        <v>877.35299999999995</v>
      </c>
      <c r="AX471">
        <v>810</v>
      </c>
      <c r="AY471">
        <v>921</v>
      </c>
      <c r="AZ471">
        <v>16.899999999999999</v>
      </c>
      <c r="BC471" t="s">
        <v>108</v>
      </c>
    </row>
    <row r="472" spans="3:55" x14ac:dyDescent="0.45">
      <c r="C472">
        <v>89.86</v>
      </c>
      <c r="D472">
        <v>8.1</v>
      </c>
      <c r="E472">
        <v>0.99</v>
      </c>
      <c r="F472">
        <v>0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1.05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910</v>
      </c>
      <c r="AD472">
        <v>3</v>
      </c>
      <c r="AE472">
        <v>0</v>
      </c>
      <c r="AF472">
        <v>1</v>
      </c>
      <c r="AG472">
        <v>0</v>
      </c>
      <c r="AH472">
        <v>0</v>
      </c>
      <c r="AI472">
        <v>0</v>
      </c>
      <c r="AJ472">
        <v>0</v>
      </c>
      <c r="AK472">
        <v>0</v>
      </c>
      <c r="AL472">
        <v>0</v>
      </c>
      <c r="AM472">
        <v>0</v>
      </c>
      <c r="AN472">
        <v>0</v>
      </c>
      <c r="AO472">
        <v>0</v>
      </c>
      <c r="AP472">
        <v>0</v>
      </c>
      <c r="AQ472">
        <v>0</v>
      </c>
      <c r="AR472">
        <v>0</v>
      </c>
      <c r="AS472">
        <v>0</v>
      </c>
      <c r="AT472">
        <f t="shared" si="23"/>
        <v>-6.3866999999999994</v>
      </c>
      <c r="AU472">
        <f t="shared" si="21"/>
        <v>8.1</v>
      </c>
      <c r="AV472">
        <f t="shared" si="22"/>
        <v>877.35299999999995</v>
      </c>
      <c r="AX472">
        <v>823</v>
      </c>
      <c r="AY472">
        <v>910</v>
      </c>
      <c r="AZ472">
        <v>16.399999999999999</v>
      </c>
      <c r="BC472" t="s">
        <v>108</v>
      </c>
    </row>
    <row r="473" spans="3:55" x14ac:dyDescent="0.45">
      <c r="C473">
        <v>89.86</v>
      </c>
      <c r="D473">
        <v>8.1</v>
      </c>
      <c r="E473">
        <v>0.99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1.05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910</v>
      </c>
      <c r="AD473">
        <v>4</v>
      </c>
      <c r="AE473">
        <v>0</v>
      </c>
      <c r="AF473">
        <v>1</v>
      </c>
      <c r="AG473">
        <v>0</v>
      </c>
      <c r="AH473">
        <v>0</v>
      </c>
      <c r="AI473">
        <v>0</v>
      </c>
      <c r="AJ473">
        <v>0</v>
      </c>
      <c r="AK473">
        <v>0</v>
      </c>
      <c r="AL473">
        <v>0</v>
      </c>
      <c r="AM473">
        <v>0</v>
      </c>
      <c r="AN473">
        <v>0</v>
      </c>
      <c r="AO473">
        <v>0</v>
      </c>
      <c r="AP473">
        <v>0</v>
      </c>
      <c r="AQ473">
        <v>0</v>
      </c>
      <c r="AR473">
        <v>0</v>
      </c>
      <c r="AS473">
        <v>0</v>
      </c>
      <c r="AT473">
        <f t="shared" si="23"/>
        <v>-6.3866999999999994</v>
      </c>
      <c r="AU473">
        <f t="shared" si="21"/>
        <v>8.1</v>
      </c>
      <c r="AV473">
        <f t="shared" si="22"/>
        <v>877.35299999999995</v>
      </c>
      <c r="AX473">
        <v>826</v>
      </c>
      <c r="AY473">
        <v>913</v>
      </c>
      <c r="AZ473">
        <v>19.100000000000001</v>
      </c>
      <c r="BC473" t="s">
        <v>108</v>
      </c>
    </row>
    <row r="474" spans="3:55" x14ac:dyDescent="0.45">
      <c r="C474">
        <v>89.86</v>
      </c>
      <c r="D474">
        <v>8.1</v>
      </c>
      <c r="E474">
        <v>0.99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1.05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910</v>
      </c>
      <c r="AD474">
        <v>5</v>
      </c>
      <c r="AE474">
        <v>0</v>
      </c>
      <c r="AF474">
        <v>1</v>
      </c>
      <c r="AG474">
        <v>0</v>
      </c>
      <c r="AH474">
        <v>0</v>
      </c>
      <c r="AI474">
        <v>0</v>
      </c>
      <c r="AJ474">
        <v>0</v>
      </c>
      <c r="AK474">
        <v>0</v>
      </c>
      <c r="AL474">
        <v>0</v>
      </c>
      <c r="AM474">
        <v>0</v>
      </c>
      <c r="AN474">
        <v>0</v>
      </c>
      <c r="AO474">
        <v>0</v>
      </c>
      <c r="AP474">
        <v>0</v>
      </c>
      <c r="AQ474">
        <v>0</v>
      </c>
      <c r="AR474">
        <v>0</v>
      </c>
      <c r="AS474">
        <v>0</v>
      </c>
      <c r="AT474">
        <f t="shared" si="23"/>
        <v>-6.3866999999999994</v>
      </c>
      <c r="AU474">
        <f t="shared" si="21"/>
        <v>8.1</v>
      </c>
      <c r="AV474">
        <f t="shared" si="22"/>
        <v>877.35299999999995</v>
      </c>
      <c r="AX474">
        <v>806</v>
      </c>
      <c r="AY474">
        <v>890</v>
      </c>
      <c r="AZ474">
        <v>17.399999999999999</v>
      </c>
      <c r="BC474" t="s">
        <v>108</v>
      </c>
    </row>
    <row r="475" spans="3:55" x14ac:dyDescent="0.45">
      <c r="C475">
        <v>89.86</v>
      </c>
      <c r="D475">
        <v>8.1</v>
      </c>
      <c r="E475">
        <v>0.99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1.05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1</v>
      </c>
      <c r="Z475">
        <v>0</v>
      </c>
      <c r="AA475">
        <v>0</v>
      </c>
      <c r="AB475">
        <v>0</v>
      </c>
      <c r="AC475">
        <v>910</v>
      </c>
      <c r="AD475">
        <v>6</v>
      </c>
      <c r="AE475">
        <v>0</v>
      </c>
      <c r="AF475">
        <v>1</v>
      </c>
      <c r="AG475">
        <v>0</v>
      </c>
      <c r="AH475">
        <v>0</v>
      </c>
      <c r="AI475">
        <v>0</v>
      </c>
      <c r="AJ475">
        <v>0</v>
      </c>
      <c r="AK475">
        <v>0</v>
      </c>
      <c r="AL475">
        <v>0</v>
      </c>
      <c r="AM475">
        <v>0</v>
      </c>
      <c r="AN475">
        <v>0</v>
      </c>
      <c r="AO475">
        <v>0</v>
      </c>
      <c r="AP475">
        <v>0</v>
      </c>
      <c r="AQ475">
        <v>0</v>
      </c>
      <c r="AR475">
        <v>0</v>
      </c>
      <c r="AS475">
        <v>0</v>
      </c>
      <c r="AT475">
        <f t="shared" si="23"/>
        <v>-6.3866999999999994</v>
      </c>
      <c r="AU475">
        <f t="shared" si="21"/>
        <v>8.1</v>
      </c>
      <c r="AV475">
        <f t="shared" si="22"/>
        <v>877.35299999999995</v>
      </c>
      <c r="AX475">
        <v>833</v>
      </c>
      <c r="AY475">
        <v>906</v>
      </c>
      <c r="AZ475">
        <v>21.1</v>
      </c>
      <c r="BC475" t="s">
        <v>108</v>
      </c>
    </row>
    <row r="476" spans="3:55" x14ac:dyDescent="0.45">
      <c r="C476">
        <v>87.37</v>
      </c>
      <c r="D476">
        <v>3.3</v>
      </c>
      <c r="E476">
        <v>4.4000000000000004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4.8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820</v>
      </c>
      <c r="AD476">
        <v>2</v>
      </c>
      <c r="AE476">
        <v>0</v>
      </c>
      <c r="AF476">
        <v>1</v>
      </c>
      <c r="AG476">
        <v>0</v>
      </c>
      <c r="AH476">
        <v>560</v>
      </c>
      <c r="AI476">
        <v>6</v>
      </c>
      <c r="AJ476">
        <v>0</v>
      </c>
      <c r="AK476">
        <v>1</v>
      </c>
      <c r="AL476">
        <v>0</v>
      </c>
      <c r="AM476">
        <v>0</v>
      </c>
      <c r="AN476">
        <v>0</v>
      </c>
      <c r="AO476">
        <v>0</v>
      </c>
      <c r="AP476">
        <v>0</v>
      </c>
      <c r="AQ476">
        <v>0</v>
      </c>
      <c r="AR476">
        <v>0</v>
      </c>
      <c r="AS476">
        <v>0</v>
      </c>
      <c r="AT476">
        <f t="shared" si="23"/>
        <v>4.4480000000000004</v>
      </c>
      <c r="AU476">
        <f t="shared" si="21"/>
        <v>3.3</v>
      </c>
      <c r="AV476">
        <f t="shared" si="22"/>
        <v>791.41</v>
      </c>
      <c r="AX476">
        <v>924.68</v>
      </c>
      <c r="AY476">
        <v>961.72</v>
      </c>
      <c r="AZ476">
        <v>21.72</v>
      </c>
      <c r="BC476" t="s">
        <v>108</v>
      </c>
    </row>
    <row r="477" spans="3:55" x14ac:dyDescent="0.45">
      <c r="C477">
        <v>87.37</v>
      </c>
      <c r="D477">
        <v>3.3</v>
      </c>
      <c r="E477">
        <v>4.4000000000000004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4.8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1</v>
      </c>
      <c r="Z477">
        <v>0</v>
      </c>
      <c r="AA477">
        <v>0</v>
      </c>
      <c r="AB477">
        <v>0</v>
      </c>
      <c r="AC477">
        <v>820</v>
      </c>
      <c r="AD477">
        <v>3</v>
      </c>
      <c r="AE477">
        <v>0</v>
      </c>
      <c r="AF477">
        <v>1</v>
      </c>
      <c r="AG477">
        <v>0</v>
      </c>
      <c r="AH477">
        <v>560</v>
      </c>
      <c r="AI477">
        <v>7</v>
      </c>
      <c r="AJ477">
        <v>0</v>
      </c>
      <c r="AK477">
        <v>1</v>
      </c>
      <c r="AL477">
        <v>0</v>
      </c>
      <c r="AM477">
        <v>0</v>
      </c>
      <c r="AN477">
        <v>0</v>
      </c>
      <c r="AO477">
        <v>0</v>
      </c>
      <c r="AP477">
        <v>0</v>
      </c>
      <c r="AQ477">
        <v>0</v>
      </c>
      <c r="AR477">
        <v>0</v>
      </c>
      <c r="AS477">
        <v>0</v>
      </c>
      <c r="AT477">
        <f t="shared" si="23"/>
        <v>4.4480000000000004</v>
      </c>
      <c r="AU477">
        <f t="shared" si="21"/>
        <v>3.3</v>
      </c>
      <c r="AV477">
        <f t="shared" si="22"/>
        <v>791.41</v>
      </c>
      <c r="AX477">
        <v>914.02</v>
      </c>
      <c r="AY477">
        <v>961.51</v>
      </c>
      <c r="AZ477">
        <v>23.11</v>
      </c>
      <c r="BB477" t="s">
        <v>348</v>
      </c>
      <c r="BC477" t="s">
        <v>108</v>
      </c>
    </row>
    <row r="478" spans="3:55" x14ac:dyDescent="0.45">
      <c r="C478">
        <v>87.37</v>
      </c>
      <c r="D478">
        <v>3.3</v>
      </c>
      <c r="E478">
        <v>4.4000000000000004</v>
      </c>
      <c r="F478">
        <v>0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4.8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1</v>
      </c>
      <c r="Z478">
        <v>0</v>
      </c>
      <c r="AA478">
        <v>0</v>
      </c>
      <c r="AB478">
        <v>0</v>
      </c>
      <c r="AC478">
        <v>820</v>
      </c>
      <c r="AD478">
        <v>4</v>
      </c>
      <c r="AE478">
        <v>0</v>
      </c>
      <c r="AF478">
        <v>1</v>
      </c>
      <c r="AG478">
        <v>0</v>
      </c>
      <c r="AH478">
        <v>560</v>
      </c>
      <c r="AI478">
        <v>8</v>
      </c>
      <c r="AJ478">
        <v>0</v>
      </c>
      <c r="AK478">
        <v>1</v>
      </c>
      <c r="AL478">
        <v>0</v>
      </c>
      <c r="AM478">
        <v>0</v>
      </c>
      <c r="AN478">
        <v>0</v>
      </c>
      <c r="AO478">
        <v>0</v>
      </c>
      <c r="AP478">
        <v>0</v>
      </c>
      <c r="AQ478">
        <v>0</v>
      </c>
      <c r="AR478">
        <v>0</v>
      </c>
      <c r="AS478">
        <v>0</v>
      </c>
      <c r="AT478">
        <f t="shared" si="23"/>
        <v>4.4480000000000004</v>
      </c>
      <c r="AU478">
        <f t="shared" si="21"/>
        <v>3.3</v>
      </c>
      <c r="AV478">
        <f t="shared" si="22"/>
        <v>791.41</v>
      </c>
      <c r="AX478">
        <v>958.99</v>
      </c>
      <c r="AY478">
        <v>998.15</v>
      </c>
      <c r="AZ478">
        <v>23.45</v>
      </c>
      <c r="BB478" t="s">
        <v>348</v>
      </c>
      <c r="BC478" t="s">
        <v>108</v>
      </c>
    </row>
    <row r="479" spans="3:55" x14ac:dyDescent="0.45">
      <c r="C479">
        <v>87.37</v>
      </c>
      <c r="D479">
        <v>3.3</v>
      </c>
      <c r="E479">
        <v>4.4000000000000004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4.8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1</v>
      </c>
      <c r="Z479">
        <v>0</v>
      </c>
      <c r="AA479">
        <v>0</v>
      </c>
      <c r="AB479">
        <v>0</v>
      </c>
      <c r="AC479">
        <v>820</v>
      </c>
      <c r="AD479">
        <v>5</v>
      </c>
      <c r="AE479">
        <v>0</v>
      </c>
      <c r="AF479">
        <v>1</v>
      </c>
      <c r="AG479">
        <v>0</v>
      </c>
      <c r="AH479">
        <v>560</v>
      </c>
      <c r="AI479">
        <v>9</v>
      </c>
      <c r="AJ479">
        <v>0</v>
      </c>
      <c r="AK479">
        <v>1</v>
      </c>
      <c r="AL479">
        <v>0</v>
      </c>
      <c r="AM479">
        <v>0</v>
      </c>
      <c r="AN479">
        <v>0</v>
      </c>
      <c r="AO479">
        <v>0</v>
      </c>
      <c r="AP479">
        <v>0</v>
      </c>
      <c r="AQ479">
        <v>0</v>
      </c>
      <c r="AR479">
        <v>0</v>
      </c>
      <c r="AS479">
        <v>0</v>
      </c>
      <c r="AT479">
        <f t="shared" si="23"/>
        <v>4.4480000000000004</v>
      </c>
      <c r="AU479">
        <f t="shared" si="21"/>
        <v>3.3</v>
      </c>
      <c r="AV479">
        <f t="shared" si="22"/>
        <v>791.41</v>
      </c>
      <c r="AX479">
        <v>952.78</v>
      </c>
      <c r="AY479">
        <v>987.01</v>
      </c>
      <c r="AZ479">
        <v>23.35</v>
      </c>
      <c r="BB479" t="s">
        <v>348</v>
      </c>
      <c r="BC479" t="s">
        <v>108</v>
      </c>
    </row>
    <row r="480" spans="3:55" x14ac:dyDescent="0.45">
      <c r="C480">
        <v>87.37</v>
      </c>
      <c r="D480">
        <v>3.3</v>
      </c>
      <c r="E480">
        <v>4.4000000000000004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4.8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1</v>
      </c>
      <c r="Z480">
        <v>0</v>
      </c>
      <c r="AA480">
        <v>0</v>
      </c>
      <c r="AB480">
        <v>0</v>
      </c>
      <c r="AC480">
        <v>820</v>
      </c>
      <c r="AD480">
        <v>6</v>
      </c>
      <c r="AE480">
        <v>0</v>
      </c>
      <c r="AF480">
        <v>1</v>
      </c>
      <c r="AG480">
        <v>0</v>
      </c>
      <c r="AH480">
        <v>560</v>
      </c>
      <c r="AI480">
        <v>10</v>
      </c>
      <c r="AJ480">
        <v>0</v>
      </c>
      <c r="AK480">
        <v>1</v>
      </c>
      <c r="AL480">
        <v>0</v>
      </c>
      <c r="AM480">
        <v>0</v>
      </c>
      <c r="AN480">
        <v>0</v>
      </c>
      <c r="AO480">
        <v>0</v>
      </c>
      <c r="AP480">
        <v>0</v>
      </c>
      <c r="AQ480">
        <v>0</v>
      </c>
      <c r="AR480">
        <v>0</v>
      </c>
      <c r="AS480">
        <v>0</v>
      </c>
      <c r="AT480">
        <f t="shared" si="23"/>
        <v>4.4480000000000004</v>
      </c>
      <c r="AU480">
        <f t="shared" si="21"/>
        <v>3.3</v>
      </c>
      <c r="AV480">
        <f t="shared" si="22"/>
        <v>791.41</v>
      </c>
      <c r="AX480">
        <v>950.16</v>
      </c>
      <c r="AY480">
        <v>980.21</v>
      </c>
      <c r="AZ480">
        <v>23.3</v>
      </c>
      <c r="BB480" t="s">
        <v>348</v>
      </c>
      <c r="BC480" t="s">
        <v>108</v>
      </c>
    </row>
    <row r="481" spans="3:55" x14ac:dyDescent="0.45">
      <c r="C481">
        <v>87.37</v>
      </c>
      <c r="D481">
        <v>3.3</v>
      </c>
      <c r="E481">
        <v>4.4000000000000004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4.8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1</v>
      </c>
      <c r="Z481">
        <v>0</v>
      </c>
      <c r="AA481">
        <v>0</v>
      </c>
      <c r="AB481">
        <v>0</v>
      </c>
      <c r="AC481">
        <v>820</v>
      </c>
      <c r="AD481">
        <v>7</v>
      </c>
      <c r="AE481">
        <v>0</v>
      </c>
      <c r="AF481">
        <v>1</v>
      </c>
      <c r="AG481">
        <v>0</v>
      </c>
      <c r="AH481">
        <v>580</v>
      </c>
      <c r="AI481">
        <v>6</v>
      </c>
      <c r="AJ481">
        <v>0</v>
      </c>
      <c r="AK481">
        <v>1</v>
      </c>
      <c r="AL481">
        <v>0</v>
      </c>
      <c r="AM481">
        <v>0</v>
      </c>
      <c r="AN481">
        <v>0</v>
      </c>
      <c r="AO481">
        <v>0</v>
      </c>
      <c r="AP481">
        <v>0</v>
      </c>
      <c r="AQ481">
        <v>0</v>
      </c>
      <c r="AR481">
        <v>0</v>
      </c>
      <c r="AS481">
        <v>0</v>
      </c>
      <c r="AT481">
        <f t="shared" si="23"/>
        <v>4.4480000000000004</v>
      </c>
      <c r="AU481">
        <f t="shared" si="21"/>
        <v>3.3</v>
      </c>
      <c r="AV481">
        <f t="shared" si="22"/>
        <v>791.41</v>
      </c>
      <c r="AX481">
        <v>891.24</v>
      </c>
      <c r="AY481">
        <v>930.25</v>
      </c>
      <c r="AZ481">
        <v>22.59</v>
      </c>
      <c r="BB481" t="s">
        <v>348</v>
      </c>
      <c r="BC481" t="s">
        <v>108</v>
      </c>
    </row>
    <row r="482" spans="3:55" x14ac:dyDescent="0.45">
      <c r="C482">
        <v>87.37</v>
      </c>
      <c r="D482">
        <v>3.3</v>
      </c>
      <c r="E482">
        <v>4.4000000000000004</v>
      </c>
      <c r="F482">
        <v>0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4.8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1</v>
      </c>
      <c r="Z482">
        <v>0</v>
      </c>
      <c r="AA482">
        <v>0</v>
      </c>
      <c r="AB482">
        <v>0</v>
      </c>
      <c r="AC482">
        <v>820</v>
      </c>
      <c r="AD482">
        <v>8</v>
      </c>
      <c r="AE482">
        <v>0</v>
      </c>
      <c r="AF482">
        <v>1</v>
      </c>
      <c r="AG482">
        <v>0</v>
      </c>
      <c r="AH482">
        <v>580</v>
      </c>
      <c r="AI482">
        <v>7</v>
      </c>
      <c r="AJ482">
        <v>0</v>
      </c>
      <c r="AK482">
        <v>1</v>
      </c>
      <c r="AL482">
        <v>0</v>
      </c>
      <c r="AM482">
        <v>0</v>
      </c>
      <c r="AN482">
        <v>0</v>
      </c>
      <c r="AO482">
        <v>0</v>
      </c>
      <c r="AP482">
        <v>0</v>
      </c>
      <c r="AQ482">
        <v>0</v>
      </c>
      <c r="AR482">
        <v>0</v>
      </c>
      <c r="AS482">
        <v>0</v>
      </c>
      <c r="AT482">
        <f t="shared" si="23"/>
        <v>4.4480000000000004</v>
      </c>
      <c r="AU482">
        <f t="shared" si="21"/>
        <v>3.3</v>
      </c>
      <c r="AV482">
        <f t="shared" si="22"/>
        <v>791.41</v>
      </c>
      <c r="AX482">
        <v>889.85</v>
      </c>
      <c r="AY482">
        <v>931.47</v>
      </c>
      <c r="AZ482">
        <v>22.88</v>
      </c>
      <c r="BC482" t="s">
        <v>108</v>
      </c>
    </row>
    <row r="483" spans="3:55" x14ac:dyDescent="0.45">
      <c r="C483">
        <v>87.37</v>
      </c>
      <c r="D483">
        <v>3.3</v>
      </c>
      <c r="E483">
        <v>4.4000000000000004</v>
      </c>
      <c r="F483">
        <v>0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4.8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>
        <v>0</v>
      </c>
      <c r="AB483">
        <v>0</v>
      </c>
      <c r="AC483">
        <v>820</v>
      </c>
      <c r="AD483">
        <v>9</v>
      </c>
      <c r="AE483">
        <v>0</v>
      </c>
      <c r="AF483">
        <v>1</v>
      </c>
      <c r="AG483">
        <v>0</v>
      </c>
      <c r="AH483">
        <v>580</v>
      </c>
      <c r="AI483">
        <v>8</v>
      </c>
      <c r="AJ483">
        <v>0</v>
      </c>
      <c r="AK483">
        <v>1</v>
      </c>
      <c r="AL483">
        <v>0</v>
      </c>
      <c r="AM483">
        <v>0</v>
      </c>
      <c r="AN483">
        <v>0</v>
      </c>
      <c r="AO483">
        <v>0</v>
      </c>
      <c r="AP483">
        <v>0</v>
      </c>
      <c r="AQ483">
        <v>0</v>
      </c>
      <c r="AR483">
        <v>0</v>
      </c>
      <c r="AS483">
        <v>0</v>
      </c>
      <c r="AT483">
        <f t="shared" si="23"/>
        <v>4.4480000000000004</v>
      </c>
      <c r="AU483">
        <f t="shared" si="21"/>
        <v>3.3</v>
      </c>
      <c r="AV483">
        <f t="shared" si="22"/>
        <v>791.41</v>
      </c>
      <c r="AX483">
        <v>972.03</v>
      </c>
      <c r="AY483">
        <v>1007.3</v>
      </c>
      <c r="AZ483">
        <v>24.25</v>
      </c>
      <c r="BC483" t="s">
        <v>108</v>
      </c>
    </row>
    <row r="484" spans="3:55" x14ac:dyDescent="0.45">
      <c r="C484">
        <v>87.37</v>
      </c>
      <c r="D484">
        <v>3.3</v>
      </c>
      <c r="E484">
        <v>4.4000000000000004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4.8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1</v>
      </c>
      <c r="Z484">
        <v>0</v>
      </c>
      <c r="AA484">
        <v>0</v>
      </c>
      <c r="AB484">
        <v>0</v>
      </c>
      <c r="AC484">
        <v>820</v>
      </c>
      <c r="AD484">
        <v>10</v>
      </c>
      <c r="AE484">
        <v>0</v>
      </c>
      <c r="AF484">
        <v>1</v>
      </c>
      <c r="AG484">
        <v>0</v>
      </c>
      <c r="AH484">
        <v>580</v>
      </c>
      <c r="AI484">
        <v>9</v>
      </c>
      <c r="AJ484">
        <v>0</v>
      </c>
      <c r="AK484">
        <v>1</v>
      </c>
      <c r="AL484">
        <v>0</v>
      </c>
      <c r="AM484">
        <v>0</v>
      </c>
      <c r="AN484">
        <v>0</v>
      </c>
      <c r="AO484">
        <v>0</v>
      </c>
      <c r="AP484">
        <v>0</v>
      </c>
      <c r="AQ484">
        <v>0</v>
      </c>
      <c r="AR484">
        <v>0</v>
      </c>
      <c r="AS484">
        <v>0</v>
      </c>
      <c r="AT484">
        <f t="shared" si="23"/>
        <v>4.4480000000000004</v>
      </c>
      <c r="AU484">
        <f t="shared" si="21"/>
        <v>3.3</v>
      </c>
      <c r="AV484">
        <f t="shared" si="22"/>
        <v>791.41</v>
      </c>
      <c r="AX484">
        <v>944.57</v>
      </c>
      <c r="AY484">
        <v>977.95</v>
      </c>
      <c r="AZ484">
        <v>24.05</v>
      </c>
      <c r="BC484" t="s">
        <v>108</v>
      </c>
    </row>
    <row r="485" spans="3:55" x14ac:dyDescent="0.45">
      <c r="C485">
        <v>87.37</v>
      </c>
      <c r="D485">
        <v>3.3</v>
      </c>
      <c r="E485">
        <v>4.4000000000000004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4.8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1</v>
      </c>
      <c r="Z485">
        <v>0</v>
      </c>
      <c r="AA485">
        <v>0</v>
      </c>
      <c r="AB485">
        <v>0</v>
      </c>
      <c r="AC485">
        <v>820</v>
      </c>
      <c r="AD485">
        <v>11</v>
      </c>
      <c r="AE485">
        <v>0</v>
      </c>
      <c r="AF485">
        <v>1</v>
      </c>
      <c r="AG485">
        <v>0</v>
      </c>
      <c r="AH485">
        <v>580</v>
      </c>
      <c r="AI485">
        <v>10</v>
      </c>
      <c r="AJ485">
        <v>0</v>
      </c>
      <c r="AK485">
        <v>1</v>
      </c>
      <c r="AL485">
        <v>0</v>
      </c>
      <c r="AM485">
        <v>0</v>
      </c>
      <c r="AN485">
        <v>0</v>
      </c>
      <c r="AO485">
        <v>0</v>
      </c>
      <c r="AP485">
        <v>0</v>
      </c>
      <c r="AQ485">
        <v>0</v>
      </c>
      <c r="AR485">
        <v>0</v>
      </c>
      <c r="AS485">
        <v>0</v>
      </c>
      <c r="AT485">
        <f t="shared" si="23"/>
        <v>4.4480000000000004</v>
      </c>
      <c r="AU485">
        <f t="shared" si="21"/>
        <v>3.3</v>
      </c>
      <c r="AV485">
        <f t="shared" si="22"/>
        <v>791.41</v>
      </c>
      <c r="AX485">
        <v>943.38</v>
      </c>
      <c r="AY485">
        <v>974.97</v>
      </c>
      <c r="AZ485">
        <v>24.01</v>
      </c>
      <c r="BC485" t="s">
        <v>108</v>
      </c>
    </row>
    <row r="486" spans="3:55" x14ac:dyDescent="0.45">
      <c r="C486">
        <v>87.37</v>
      </c>
      <c r="D486">
        <v>3.3</v>
      </c>
      <c r="E486">
        <v>4.4000000000000004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4.8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1</v>
      </c>
      <c r="Z486">
        <v>0</v>
      </c>
      <c r="AA486">
        <v>0</v>
      </c>
      <c r="AB486">
        <v>0</v>
      </c>
      <c r="AC486">
        <v>820</v>
      </c>
      <c r="AD486">
        <v>12</v>
      </c>
      <c r="AE486">
        <v>0</v>
      </c>
      <c r="AF486">
        <v>1</v>
      </c>
      <c r="AG486">
        <v>0</v>
      </c>
      <c r="AH486">
        <v>600</v>
      </c>
      <c r="AI486">
        <v>6</v>
      </c>
      <c r="AJ486">
        <v>0</v>
      </c>
      <c r="AK486">
        <v>1</v>
      </c>
      <c r="AL486">
        <v>0</v>
      </c>
      <c r="AM486">
        <v>0</v>
      </c>
      <c r="AN486">
        <v>0</v>
      </c>
      <c r="AO486">
        <v>0</v>
      </c>
      <c r="AP486">
        <v>0</v>
      </c>
      <c r="AQ486">
        <v>0</v>
      </c>
      <c r="AR486">
        <v>0</v>
      </c>
      <c r="AS486">
        <v>0</v>
      </c>
      <c r="AT486">
        <f t="shared" si="23"/>
        <v>4.4480000000000004</v>
      </c>
      <c r="AU486">
        <f t="shared" si="21"/>
        <v>3.3</v>
      </c>
      <c r="AV486">
        <f t="shared" si="22"/>
        <v>791.41</v>
      </c>
      <c r="AX486">
        <v>873.54</v>
      </c>
      <c r="AY486">
        <v>913.02</v>
      </c>
      <c r="AZ486">
        <v>25.34</v>
      </c>
      <c r="BC486" t="s">
        <v>108</v>
      </c>
    </row>
    <row r="487" spans="3:55" x14ac:dyDescent="0.45">
      <c r="C487">
        <v>87.37</v>
      </c>
      <c r="D487">
        <v>3.3</v>
      </c>
      <c r="E487">
        <v>4.4000000000000004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4.8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1</v>
      </c>
      <c r="Z487">
        <v>0</v>
      </c>
      <c r="AA487">
        <v>0</v>
      </c>
      <c r="AB487">
        <v>0</v>
      </c>
      <c r="AC487">
        <v>820</v>
      </c>
      <c r="AD487">
        <v>13</v>
      </c>
      <c r="AE487">
        <v>0</v>
      </c>
      <c r="AF487">
        <v>1</v>
      </c>
      <c r="AG487">
        <v>0</v>
      </c>
      <c r="AH487">
        <v>600</v>
      </c>
      <c r="AI487">
        <v>7</v>
      </c>
      <c r="AJ487">
        <v>0</v>
      </c>
      <c r="AK487">
        <v>1</v>
      </c>
      <c r="AL487">
        <v>0</v>
      </c>
      <c r="AM487">
        <v>0</v>
      </c>
      <c r="AN487">
        <v>0</v>
      </c>
      <c r="AO487">
        <v>0</v>
      </c>
      <c r="AP487">
        <v>0</v>
      </c>
      <c r="AQ487">
        <v>0</v>
      </c>
      <c r="AR487">
        <v>0</v>
      </c>
      <c r="AS487">
        <v>0</v>
      </c>
      <c r="AT487">
        <f t="shared" si="23"/>
        <v>4.4480000000000004</v>
      </c>
      <c r="AU487">
        <f t="shared" si="21"/>
        <v>3.3</v>
      </c>
      <c r="AV487">
        <f t="shared" si="22"/>
        <v>791.41</v>
      </c>
      <c r="AX487">
        <v>882.35</v>
      </c>
      <c r="AY487">
        <v>917.65</v>
      </c>
      <c r="AZ487">
        <v>25.51</v>
      </c>
      <c r="BC487" t="s">
        <v>108</v>
      </c>
    </row>
    <row r="488" spans="3:55" x14ac:dyDescent="0.45">
      <c r="C488">
        <v>87.37</v>
      </c>
      <c r="D488">
        <v>3.3</v>
      </c>
      <c r="E488">
        <v>4.4000000000000004</v>
      </c>
      <c r="F488">
        <v>0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4.8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1</v>
      </c>
      <c r="Z488">
        <v>0</v>
      </c>
      <c r="AA488">
        <v>0</v>
      </c>
      <c r="AB488">
        <v>0</v>
      </c>
      <c r="AC488">
        <v>820</v>
      </c>
      <c r="AD488">
        <v>14</v>
      </c>
      <c r="AE488">
        <v>0</v>
      </c>
      <c r="AF488">
        <v>1</v>
      </c>
      <c r="AG488">
        <v>0</v>
      </c>
      <c r="AH488">
        <v>600</v>
      </c>
      <c r="AI488">
        <v>8</v>
      </c>
      <c r="AJ488">
        <v>0</v>
      </c>
      <c r="AK488">
        <v>1</v>
      </c>
      <c r="AL488">
        <v>0</v>
      </c>
      <c r="AM488">
        <v>0</v>
      </c>
      <c r="AN488">
        <v>0</v>
      </c>
      <c r="AO488">
        <v>0</v>
      </c>
      <c r="AP488">
        <v>0</v>
      </c>
      <c r="AQ488">
        <v>0</v>
      </c>
      <c r="AR488">
        <v>0</v>
      </c>
      <c r="AS488">
        <v>0</v>
      </c>
      <c r="AT488">
        <f t="shared" si="23"/>
        <v>4.4480000000000004</v>
      </c>
      <c r="AU488">
        <f t="shared" si="21"/>
        <v>3.3</v>
      </c>
      <c r="AV488">
        <f t="shared" si="22"/>
        <v>791.41</v>
      </c>
      <c r="AX488">
        <v>934.69</v>
      </c>
      <c r="AY488">
        <v>970.81</v>
      </c>
      <c r="AZ488">
        <v>25</v>
      </c>
      <c r="BC488" t="s">
        <v>108</v>
      </c>
    </row>
    <row r="489" spans="3:55" x14ac:dyDescent="0.45">
      <c r="C489">
        <v>87.37</v>
      </c>
      <c r="D489">
        <v>3.3</v>
      </c>
      <c r="E489">
        <v>4.4000000000000004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4.8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1</v>
      </c>
      <c r="Z489">
        <v>0</v>
      </c>
      <c r="AA489">
        <v>0</v>
      </c>
      <c r="AB489">
        <v>0</v>
      </c>
      <c r="AC489">
        <v>820</v>
      </c>
      <c r="AD489">
        <v>15</v>
      </c>
      <c r="AE489">
        <v>0</v>
      </c>
      <c r="AF489">
        <v>1</v>
      </c>
      <c r="AG489">
        <v>0</v>
      </c>
      <c r="AH489">
        <v>600</v>
      </c>
      <c r="AI489">
        <v>9</v>
      </c>
      <c r="AJ489">
        <v>0</v>
      </c>
      <c r="AK489">
        <v>1</v>
      </c>
      <c r="AL489">
        <v>0</v>
      </c>
      <c r="AM489">
        <v>0</v>
      </c>
      <c r="AN489">
        <v>0</v>
      </c>
      <c r="AO489">
        <v>0</v>
      </c>
      <c r="AP489">
        <v>0</v>
      </c>
      <c r="AQ489">
        <v>0</v>
      </c>
      <c r="AR489">
        <v>0</v>
      </c>
      <c r="AS489">
        <v>0</v>
      </c>
      <c r="AT489">
        <f t="shared" si="23"/>
        <v>4.4480000000000004</v>
      </c>
      <c r="AU489">
        <f t="shared" si="21"/>
        <v>3.3</v>
      </c>
      <c r="AV489">
        <f t="shared" si="22"/>
        <v>791.41</v>
      </c>
      <c r="AX489">
        <v>928.66</v>
      </c>
      <c r="AY489">
        <v>958.4</v>
      </c>
      <c r="AZ489">
        <v>24.95</v>
      </c>
      <c r="BC489" t="s">
        <v>108</v>
      </c>
    </row>
    <row r="490" spans="3:55" x14ac:dyDescent="0.45">
      <c r="C490">
        <v>87.37</v>
      </c>
      <c r="D490">
        <v>3.3</v>
      </c>
      <c r="E490">
        <v>4.4000000000000004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4.8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1</v>
      </c>
      <c r="Z490">
        <v>0</v>
      </c>
      <c r="AA490">
        <v>0</v>
      </c>
      <c r="AB490">
        <v>0</v>
      </c>
      <c r="AC490">
        <v>820</v>
      </c>
      <c r="AD490">
        <v>16</v>
      </c>
      <c r="AE490">
        <v>0</v>
      </c>
      <c r="AF490">
        <v>1</v>
      </c>
      <c r="AG490">
        <v>0</v>
      </c>
      <c r="AH490">
        <v>600</v>
      </c>
      <c r="AI490">
        <v>10</v>
      </c>
      <c r="AJ490">
        <v>0</v>
      </c>
      <c r="AK490">
        <v>1</v>
      </c>
      <c r="AL490">
        <v>0</v>
      </c>
      <c r="AM490">
        <v>0</v>
      </c>
      <c r="AN490">
        <v>0</v>
      </c>
      <c r="AO490">
        <v>0</v>
      </c>
      <c r="AP490">
        <v>0</v>
      </c>
      <c r="AQ490">
        <v>0</v>
      </c>
      <c r="AR490">
        <v>0</v>
      </c>
      <c r="AS490">
        <v>0</v>
      </c>
      <c r="AT490">
        <f t="shared" si="23"/>
        <v>4.4480000000000004</v>
      </c>
      <c r="AU490">
        <f t="shared" si="21"/>
        <v>3.3</v>
      </c>
      <c r="AV490">
        <f t="shared" si="22"/>
        <v>791.41</v>
      </c>
      <c r="AX490">
        <v>923.96</v>
      </c>
      <c r="AY490">
        <v>951</v>
      </c>
      <c r="AZ490">
        <v>24.7</v>
      </c>
      <c r="BC490" t="s">
        <v>108</v>
      </c>
    </row>
    <row r="491" spans="3:55" x14ac:dyDescent="0.45">
      <c r="C491">
        <v>87.37</v>
      </c>
      <c r="D491">
        <v>3.3</v>
      </c>
      <c r="E491">
        <v>4.4000000000000004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4.8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1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  <c r="AL491">
        <v>0</v>
      </c>
      <c r="AM491">
        <v>0</v>
      </c>
      <c r="AN491">
        <v>0</v>
      </c>
      <c r="AO491">
        <v>0</v>
      </c>
      <c r="AP491">
        <v>0</v>
      </c>
      <c r="AQ491">
        <v>0</v>
      </c>
      <c r="AR491">
        <v>0</v>
      </c>
      <c r="AS491">
        <v>0</v>
      </c>
      <c r="AT491">
        <f t="shared" si="23"/>
        <v>4.4480000000000004</v>
      </c>
      <c r="AU491">
        <f t="shared" si="21"/>
        <v>3.3</v>
      </c>
      <c r="AV491">
        <f t="shared" si="22"/>
        <v>791.41</v>
      </c>
      <c r="AX491">
        <v>860.43</v>
      </c>
      <c r="AY491">
        <v>886.97</v>
      </c>
      <c r="AZ491">
        <v>18.760000000000002</v>
      </c>
      <c r="BC491" t="s">
        <v>108</v>
      </c>
    </row>
    <row r="492" spans="3:55" x14ac:dyDescent="0.45">
      <c r="C492">
        <v>87.37</v>
      </c>
      <c r="D492">
        <v>3.3</v>
      </c>
      <c r="E492">
        <v>4.4000000000000004</v>
      </c>
      <c r="F492">
        <v>0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4.8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1</v>
      </c>
      <c r="Z492">
        <v>0</v>
      </c>
      <c r="AA492">
        <v>0</v>
      </c>
      <c r="AB492">
        <v>0</v>
      </c>
      <c r="AC492">
        <v>780</v>
      </c>
      <c r="AD492">
        <v>3</v>
      </c>
      <c r="AE492">
        <v>0</v>
      </c>
      <c r="AF492">
        <v>0</v>
      </c>
      <c r="AG492">
        <v>1</v>
      </c>
      <c r="AH492">
        <v>0</v>
      </c>
      <c r="AI492">
        <v>0</v>
      </c>
      <c r="AJ492">
        <v>0</v>
      </c>
      <c r="AK492">
        <v>0</v>
      </c>
      <c r="AL492">
        <v>0</v>
      </c>
      <c r="AM492">
        <v>0</v>
      </c>
      <c r="AN492">
        <v>0</v>
      </c>
      <c r="AO492">
        <v>0</v>
      </c>
      <c r="AP492">
        <v>0</v>
      </c>
      <c r="AQ492">
        <v>0</v>
      </c>
      <c r="AR492">
        <v>0</v>
      </c>
      <c r="AS492">
        <v>0</v>
      </c>
      <c r="AT492">
        <f t="shared" si="23"/>
        <v>4.4480000000000004</v>
      </c>
      <c r="AU492">
        <f t="shared" si="21"/>
        <v>3.3</v>
      </c>
      <c r="AV492">
        <f t="shared" si="22"/>
        <v>791.41</v>
      </c>
      <c r="AX492">
        <v>837.43</v>
      </c>
      <c r="AY492">
        <v>847.12</v>
      </c>
      <c r="AZ492">
        <v>26.2</v>
      </c>
      <c r="BC492" t="s">
        <v>108</v>
      </c>
    </row>
    <row r="493" spans="3:55" x14ac:dyDescent="0.45">
      <c r="C493">
        <v>87.37</v>
      </c>
      <c r="D493">
        <v>3.3</v>
      </c>
      <c r="E493">
        <v>4.4000000000000004</v>
      </c>
      <c r="F493">
        <v>0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4.8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>
        <v>0</v>
      </c>
      <c r="AB493">
        <v>0</v>
      </c>
      <c r="AC493">
        <v>800</v>
      </c>
      <c r="AD493">
        <v>3</v>
      </c>
      <c r="AE493">
        <v>0</v>
      </c>
      <c r="AF493">
        <v>0</v>
      </c>
      <c r="AG493">
        <v>1</v>
      </c>
      <c r="AH493">
        <v>0</v>
      </c>
      <c r="AI493">
        <v>0</v>
      </c>
      <c r="AJ493">
        <v>0</v>
      </c>
      <c r="AK493">
        <v>0</v>
      </c>
      <c r="AL493">
        <v>0</v>
      </c>
      <c r="AM493">
        <v>0</v>
      </c>
      <c r="AN493">
        <v>0</v>
      </c>
      <c r="AO493">
        <v>0</v>
      </c>
      <c r="AP493">
        <v>0</v>
      </c>
      <c r="AQ493">
        <v>0</v>
      </c>
      <c r="AR493">
        <v>0</v>
      </c>
      <c r="AS493">
        <v>0</v>
      </c>
      <c r="AT493">
        <f t="shared" si="23"/>
        <v>4.4480000000000004</v>
      </c>
      <c r="AU493">
        <f t="shared" si="21"/>
        <v>3.3</v>
      </c>
      <c r="AV493">
        <f t="shared" si="22"/>
        <v>791.41</v>
      </c>
      <c r="AX493">
        <v>831.94</v>
      </c>
      <c r="AY493">
        <v>842.85</v>
      </c>
      <c r="AZ493">
        <v>25.04</v>
      </c>
      <c r="BC493" t="s">
        <v>108</v>
      </c>
    </row>
    <row r="494" spans="3:55" x14ac:dyDescent="0.45">
      <c r="C494">
        <v>87.37</v>
      </c>
      <c r="D494">
        <v>3.3</v>
      </c>
      <c r="E494">
        <v>4.4000000000000004</v>
      </c>
      <c r="F494">
        <v>0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4.8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>
        <v>0</v>
      </c>
      <c r="AB494">
        <v>0</v>
      </c>
      <c r="AC494">
        <v>820</v>
      </c>
      <c r="AD494">
        <v>3</v>
      </c>
      <c r="AE494">
        <v>0</v>
      </c>
      <c r="AF494">
        <v>0</v>
      </c>
      <c r="AG494">
        <v>1</v>
      </c>
      <c r="AH494">
        <v>0</v>
      </c>
      <c r="AI494">
        <v>0</v>
      </c>
      <c r="AJ494">
        <v>0</v>
      </c>
      <c r="AK494">
        <v>0</v>
      </c>
      <c r="AL494">
        <v>0</v>
      </c>
      <c r="AM494">
        <v>0</v>
      </c>
      <c r="AN494">
        <v>0</v>
      </c>
      <c r="AO494">
        <v>0</v>
      </c>
      <c r="AP494">
        <v>0</v>
      </c>
      <c r="AQ494">
        <v>0</v>
      </c>
      <c r="AR494">
        <v>0</v>
      </c>
      <c r="AS494">
        <v>0</v>
      </c>
      <c r="AT494">
        <f t="shared" si="23"/>
        <v>4.4480000000000004</v>
      </c>
      <c r="AU494">
        <f t="shared" si="21"/>
        <v>3.3</v>
      </c>
      <c r="AV494">
        <f t="shared" si="22"/>
        <v>791.41</v>
      </c>
      <c r="AX494">
        <v>827.81</v>
      </c>
      <c r="AY494">
        <v>844.02</v>
      </c>
      <c r="AZ494">
        <v>23.74</v>
      </c>
      <c r="BC494" t="s">
        <v>108</v>
      </c>
    </row>
    <row r="495" spans="3:55" x14ac:dyDescent="0.45">
      <c r="C495">
        <v>87.37</v>
      </c>
      <c r="D495">
        <v>3.3</v>
      </c>
      <c r="E495">
        <v>4.4000000000000004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4.8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>
        <v>0</v>
      </c>
      <c r="AB495">
        <v>0</v>
      </c>
      <c r="AC495">
        <v>840</v>
      </c>
      <c r="AD495">
        <v>3</v>
      </c>
      <c r="AE495">
        <v>0</v>
      </c>
      <c r="AF495">
        <v>0</v>
      </c>
      <c r="AG495">
        <v>1</v>
      </c>
      <c r="AH495">
        <v>0</v>
      </c>
      <c r="AI495">
        <v>0</v>
      </c>
      <c r="AJ495">
        <v>0</v>
      </c>
      <c r="AK495">
        <v>0</v>
      </c>
      <c r="AL495">
        <v>0</v>
      </c>
      <c r="AM495">
        <v>0</v>
      </c>
      <c r="AN495">
        <v>0</v>
      </c>
      <c r="AO495">
        <v>0</v>
      </c>
      <c r="AP495">
        <v>0</v>
      </c>
      <c r="AQ495">
        <v>0</v>
      </c>
      <c r="AR495">
        <v>0</v>
      </c>
      <c r="AS495">
        <v>0</v>
      </c>
      <c r="AT495">
        <f t="shared" si="23"/>
        <v>4.4480000000000004</v>
      </c>
      <c r="AU495">
        <f t="shared" si="21"/>
        <v>3.3</v>
      </c>
      <c r="AV495">
        <f t="shared" si="22"/>
        <v>791.41</v>
      </c>
      <c r="AX495">
        <v>823.06</v>
      </c>
      <c r="AY495">
        <v>857.7</v>
      </c>
      <c r="AZ495">
        <v>23.6</v>
      </c>
      <c r="BC495" t="s">
        <v>108</v>
      </c>
    </row>
    <row r="496" spans="3:55" x14ac:dyDescent="0.45">
      <c r="C496">
        <v>87.37</v>
      </c>
      <c r="D496">
        <v>3.3</v>
      </c>
      <c r="E496">
        <v>4.4000000000000004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4.8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>
        <v>0</v>
      </c>
      <c r="AB496">
        <v>0</v>
      </c>
      <c r="AC496">
        <v>860</v>
      </c>
      <c r="AD496">
        <v>3</v>
      </c>
      <c r="AE496">
        <v>0</v>
      </c>
      <c r="AF496">
        <v>0</v>
      </c>
      <c r="AG496">
        <v>1</v>
      </c>
      <c r="AH496">
        <v>0</v>
      </c>
      <c r="AI496">
        <v>0</v>
      </c>
      <c r="AJ496">
        <v>0</v>
      </c>
      <c r="AK496">
        <v>0</v>
      </c>
      <c r="AL496">
        <v>0</v>
      </c>
      <c r="AM496">
        <v>0</v>
      </c>
      <c r="AN496">
        <v>0</v>
      </c>
      <c r="AO496">
        <v>0</v>
      </c>
      <c r="AP496">
        <v>0</v>
      </c>
      <c r="AQ496">
        <v>0</v>
      </c>
      <c r="AR496">
        <v>0</v>
      </c>
      <c r="AS496">
        <v>0</v>
      </c>
      <c r="AT496">
        <f t="shared" si="23"/>
        <v>4.4480000000000004</v>
      </c>
      <c r="AU496">
        <f t="shared" si="21"/>
        <v>3.3</v>
      </c>
      <c r="AV496">
        <f t="shared" si="22"/>
        <v>791.41</v>
      </c>
      <c r="AX496">
        <v>819.11</v>
      </c>
      <c r="AY496">
        <v>880.98</v>
      </c>
      <c r="AZ496">
        <v>22.54</v>
      </c>
      <c r="BC496" t="s">
        <v>108</v>
      </c>
    </row>
    <row r="497" spans="3:55" x14ac:dyDescent="0.45">
      <c r="C497">
        <v>87.37</v>
      </c>
      <c r="D497">
        <v>3.3</v>
      </c>
      <c r="E497">
        <v>4.4000000000000004</v>
      </c>
      <c r="F497">
        <v>0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4.8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>
        <v>0</v>
      </c>
      <c r="AB497">
        <v>0</v>
      </c>
      <c r="AC497">
        <v>880</v>
      </c>
      <c r="AD497">
        <v>3</v>
      </c>
      <c r="AE497">
        <v>0</v>
      </c>
      <c r="AF497">
        <v>0</v>
      </c>
      <c r="AG497">
        <v>1</v>
      </c>
      <c r="AH497">
        <v>0</v>
      </c>
      <c r="AI497">
        <v>0</v>
      </c>
      <c r="AJ497">
        <v>0</v>
      </c>
      <c r="AK497">
        <v>0</v>
      </c>
      <c r="AL497">
        <v>0</v>
      </c>
      <c r="AM497">
        <v>0</v>
      </c>
      <c r="AN497">
        <v>0</v>
      </c>
      <c r="AO497">
        <v>0</v>
      </c>
      <c r="AP497">
        <v>0</v>
      </c>
      <c r="AQ497">
        <v>0</v>
      </c>
      <c r="AR497">
        <v>0</v>
      </c>
      <c r="AS497">
        <v>0</v>
      </c>
      <c r="AT497">
        <f t="shared" si="23"/>
        <v>4.4480000000000004</v>
      </c>
      <c r="AU497">
        <f t="shared" si="21"/>
        <v>3.3</v>
      </c>
      <c r="AV497">
        <f t="shared" si="22"/>
        <v>791.41</v>
      </c>
      <c r="AX497">
        <v>791.11</v>
      </c>
      <c r="AY497">
        <v>878.6</v>
      </c>
      <c r="AZ497">
        <v>18.920000000000002</v>
      </c>
      <c r="BC497" t="s">
        <v>108</v>
      </c>
    </row>
    <row r="498" spans="3:55" x14ac:dyDescent="0.45">
      <c r="C498">
        <v>85</v>
      </c>
      <c r="D498">
        <v>3</v>
      </c>
      <c r="E498">
        <v>10</v>
      </c>
      <c r="F498">
        <v>0</v>
      </c>
      <c r="G498">
        <v>0</v>
      </c>
      <c r="H498">
        <v>2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1</v>
      </c>
      <c r="Z498">
        <v>0</v>
      </c>
      <c r="AA498">
        <v>0</v>
      </c>
      <c r="AB498">
        <v>0</v>
      </c>
      <c r="AC498">
        <v>760</v>
      </c>
      <c r="AD498">
        <v>2</v>
      </c>
      <c r="AE498">
        <v>1</v>
      </c>
      <c r="AF498">
        <v>0</v>
      </c>
      <c r="AG498">
        <v>0</v>
      </c>
      <c r="AH498">
        <v>520</v>
      </c>
      <c r="AI498">
        <v>8.5</v>
      </c>
      <c r="AJ498">
        <v>0</v>
      </c>
      <c r="AK498">
        <v>1</v>
      </c>
      <c r="AL498">
        <v>0</v>
      </c>
      <c r="AM498">
        <v>0</v>
      </c>
      <c r="AN498">
        <v>0</v>
      </c>
      <c r="AO498">
        <v>0</v>
      </c>
      <c r="AP498">
        <v>0</v>
      </c>
      <c r="AQ498">
        <v>0</v>
      </c>
      <c r="AR498">
        <v>0</v>
      </c>
      <c r="AS498">
        <v>0</v>
      </c>
      <c r="AT498">
        <f t="shared" si="23"/>
        <v>9.5</v>
      </c>
      <c r="AU498">
        <f t="shared" si="21"/>
        <v>3</v>
      </c>
      <c r="AV498">
        <f t="shared" si="22"/>
        <v>739.5</v>
      </c>
      <c r="AY498">
        <v>1265</v>
      </c>
      <c r="AZ498">
        <v>12.18</v>
      </c>
      <c r="BC498" t="s">
        <v>125</v>
      </c>
    </row>
    <row r="499" spans="3:55" x14ac:dyDescent="0.45">
      <c r="C499">
        <v>85</v>
      </c>
      <c r="D499">
        <v>3</v>
      </c>
      <c r="E499">
        <v>10</v>
      </c>
      <c r="F499">
        <v>0</v>
      </c>
      <c r="G499">
        <v>0</v>
      </c>
      <c r="H499">
        <v>2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>
        <v>0</v>
      </c>
      <c r="AB499">
        <v>0</v>
      </c>
      <c r="AC499">
        <v>760</v>
      </c>
      <c r="AD499">
        <v>2</v>
      </c>
      <c r="AE499">
        <v>1</v>
      </c>
      <c r="AF499">
        <v>0</v>
      </c>
      <c r="AG499">
        <v>0</v>
      </c>
      <c r="AH499">
        <v>530</v>
      </c>
      <c r="AI499">
        <v>8.5</v>
      </c>
      <c r="AJ499">
        <v>0</v>
      </c>
      <c r="AK499">
        <v>1</v>
      </c>
      <c r="AL499">
        <v>0</v>
      </c>
      <c r="AM499">
        <v>0</v>
      </c>
      <c r="AN499">
        <v>0</v>
      </c>
      <c r="AO499">
        <v>0</v>
      </c>
      <c r="AP499">
        <v>0</v>
      </c>
      <c r="AQ499">
        <v>0</v>
      </c>
      <c r="AR499">
        <v>0</v>
      </c>
      <c r="AS499">
        <v>0</v>
      </c>
      <c r="AT499">
        <f t="shared" si="23"/>
        <v>9.5</v>
      </c>
      <c r="AU499">
        <f t="shared" si="21"/>
        <v>3</v>
      </c>
      <c r="AV499">
        <f t="shared" si="22"/>
        <v>739.5</v>
      </c>
      <c r="AY499">
        <v>1186</v>
      </c>
      <c r="AZ499">
        <v>13.18</v>
      </c>
      <c r="BC499" t="s">
        <v>125</v>
      </c>
    </row>
    <row r="500" spans="3:55" x14ac:dyDescent="0.45">
      <c r="C500">
        <v>85</v>
      </c>
      <c r="D500">
        <v>3</v>
      </c>
      <c r="E500">
        <v>10</v>
      </c>
      <c r="F500">
        <v>0</v>
      </c>
      <c r="G500">
        <v>0</v>
      </c>
      <c r="H500">
        <v>2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>
        <v>0</v>
      </c>
      <c r="AB500">
        <v>0</v>
      </c>
      <c r="AC500">
        <v>760</v>
      </c>
      <c r="AD500">
        <v>2</v>
      </c>
      <c r="AE500">
        <v>1</v>
      </c>
      <c r="AF500">
        <v>0</v>
      </c>
      <c r="AG500">
        <v>0</v>
      </c>
      <c r="AH500">
        <v>540</v>
      </c>
      <c r="AI500">
        <v>8.5</v>
      </c>
      <c r="AJ500">
        <v>0</v>
      </c>
      <c r="AK500">
        <v>1</v>
      </c>
      <c r="AL500">
        <v>0</v>
      </c>
      <c r="AM500">
        <v>0</v>
      </c>
      <c r="AN500">
        <v>0</v>
      </c>
      <c r="AO500">
        <v>0</v>
      </c>
      <c r="AP500">
        <v>0</v>
      </c>
      <c r="AQ500">
        <v>0</v>
      </c>
      <c r="AR500">
        <v>0</v>
      </c>
      <c r="AS500">
        <v>0</v>
      </c>
      <c r="AT500">
        <f t="shared" si="23"/>
        <v>9.5</v>
      </c>
      <c r="AU500">
        <f t="shared" si="21"/>
        <v>3</v>
      </c>
      <c r="AV500">
        <f t="shared" si="22"/>
        <v>739.5</v>
      </c>
      <c r="AY500">
        <v>1172</v>
      </c>
      <c r="AZ500">
        <v>14.19</v>
      </c>
      <c r="BC500" t="s">
        <v>125</v>
      </c>
    </row>
    <row r="501" spans="3:55" x14ac:dyDescent="0.45">
      <c r="C501">
        <v>85</v>
      </c>
      <c r="D501">
        <v>3</v>
      </c>
      <c r="E501">
        <v>10</v>
      </c>
      <c r="F501">
        <v>0</v>
      </c>
      <c r="G501">
        <v>0</v>
      </c>
      <c r="H501">
        <v>2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>
        <v>0</v>
      </c>
      <c r="AB501">
        <v>0</v>
      </c>
      <c r="AC501">
        <v>775</v>
      </c>
      <c r="AD501">
        <v>2</v>
      </c>
      <c r="AE501">
        <v>1</v>
      </c>
      <c r="AF501">
        <v>0</v>
      </c>
      <c r="AG501">
        <v>0</v>
      </c>
      <c r="AH501">
        <v>530</v>
      </c>
      <c r="AI501">
        <v>8.5</v>
      </c>
      <c r="AJ501">
        <v>0</v>
      </c>
      <c r="AK501">
        <v>1</v>
      </c>
      <c r="AL501">
        <v>0</v>
      </c>
      <c r="AM501">
        <v>0</v>
      </c>
      <c r="AN501">
        <v>0</v>
      </c>
      <c r="AO501">
        <v>0</v>
      </c>
      <c r="AP501">
        <v>0</v>
      </c>
      <c r="AQ501">
        <v>0</v>
      </c>
      <c r="AR501">
        <v>0</v>
      </c>
      <c r="AS501">
        <v>0</v>
      </c>
      <c r="AT501">
        <f t="shared" si="23"/>
        <v>9.5</v>
      </c>
      <c r="AU501">
        <f t="shared" si="21"/>
        <v>3</v>
      </c>
      <c r="AV501">
        <f t="shared" si="22"/>
        <v>739.5</v>
      </c>
      <c r="AY501">
        <v>1204</v>
      </c>
      <c r="AZ501">
        <v>13.18</v>
      </c>
      <c r="BC501" t="s">
        <v>125</v>
      </c>
    </row>
    <row r="502" spans="3:55" x14ac:dyDescent="0.45">
      <c r="C502">
        <v>86.36</v>
      </c>
      <c r="D502">
        <v>5.25</v>
      </c>
      <c r="E502">
        <v>7.5</v>
      </c>
      <c r="F502">
        <v>0</v>
      </c>
      <c r="G502">
        <v>0</v>
      </c>
      <c r="H502">
        <v>0.25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1</v>
      </c>
      <c r="W502">
        <v>0</v>
      </c>
      <c r="X502">
        <v>0</v>
      </c>
      <c r="Y502">
        <v>0</v>
      </c>
      <c r="Z502">
        <v>1</v>
      </c>
      <c r="AA502">
        <v>0</v>
      </c>
      <c r="AB502">
        <v>0</v>
      </c>
      <c r="AC502">
        <v>850</v>
      </c>
      <c r="AD502">
        <v>1</v>
      </c>
      <c r="AE502">
        <v>0</v>
      </c>
      <c r="AF502">
        <v>0</v>
      </c>
      <c r="AG502">
        <v>0</v>
      </c>
      <c r="AH502">
        <v>500</v>
      </c>
      <c r="AI502">
        <v>8</v>
      </c>
      <c r="AJ502">
        <v>0</v>
      </c>
      <c r="AK502">
        <v>1</v>
      </c>
      <c r="AL502">
        <v>0</v>
      </c>
      <c r="AM502">
        <v>0</v>
      </c>
      <c r="AN502">
        <v>0</v>
      </c>
      <c r="AO502">
        <v>0</v>
      </c>
      <c r="AP502">
        <v>0</v>
      </c>
      <c r="AQ502">
        <v>0</v>
      </c>
      <c r="AR502">
        <v>0</v>
      </c>
      <c r="AS502">
        <v>0</v>
      </c>
      <c r="AT502">
        <f t="shared" si="23"/>
        <v>0.5</v>
      </c>
      <c r="AU502">
        <f t="shared" si="21"/>
        <v>5.25</v>
      </c>
      <c r="AV502">
        <f t="shared" si="22"/>
        <v>800.67499999999995</v>
      </c>
      <c r="AX502">
        <v>1131</v>
      </c>
      <c r="AY502">
        <v>1189</v>
      </c>
      <c r="AZ502">
        <v>15.5</v>
      </c>
      <c r="BB502" t="s">
        <v>349</v>
      </c>
      <c r="BC502" t="s">
        <v>128</v>
      </c>
    </row>
    <row r="503" spans="3:55" x14ac:dyDescent="0.45">
      <c r="C503">
        <v>86.36</v>
      </c>
      <c r="D503">
        <v>5.25</v>
      </c>
      <c r="E503">
        <v>7.5</v>
      </c>
      <c r="F503">
        <v>0</v>
      </c>
      <c r="G503">
        <v>0</v>
      </c>
      <c r="H503">
        <v>0.25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1</v>
      </c>
      <c r="W503">
        <v>0</v>
      </c>
      <c r="X503">
        <v>0</v>
      </c>
      <c r="Y503">
        <v>0</v>
      </c>
      <c r="Z503">
        <v>1</v>
      </c>
      <c r="AA503">
        <v>0</v>
      </c>
      <c r="AB503">
        <v>0</v>
      </c>
      <c r="AC503">
        <v>940</v>
      </c>
      <c r="AD503">
        <v>1</v>
      </c>
      <c r="AE503">
        <v>0</v>
      </c>
      <c r="AF503">
        <v>0</v>
      </c>
      <c r="AG503">
        <v>1</v>
      </c>
      <c r="AH503">
        <v>0</v>
      </c>
      <c r="AI503">
        <v>0</v>
      </c>
      <c r="AJ503">
        <v>0</v>
      </c>
      <c r="AK503">
        <v>0</v>
      </c>
      <c r="AL503">
        <v>0</v>
      </c>
      <c r="AM503">
        <v>0</v>
      </c>
      <c r="AN503">
        <v>0</v>
      </c>
      <c r="AO503">
        <v>0</v>
      </c>
      <c r="AP503">
        <v>0</v>
      </c>
      <c r="AQ503">
        <v>0</v>
      </c>
      <c r="AR503">
        <v>0</v>
      </c>
      <c r="AS503">
        <v>0</v>
      </c>
      <c r="AT503">
        <f t="shared" si="23"/>
        <v>0.5</v>
      </c>
      <c r="AU503">
        <f t="shared" si="21"/>
        <v>5.25</v>
      </c>
      <c r="AV503">
        <f t="shared" si="22"/>
        <v>800.67499999999995</v>
      </c>
      <c r="AX503">
        <v>912</v>
      </c>
      <c r="AY503">
        <v>970</v>
      </c>
      <c r="AZ503">
        <v>13.2</v>
      </c>
      <c r="BB503" t="s">
        <v>349</v>
      </c>
      <c r="BC503" t="s">
        <v>128</v>
      </c>
    </row>
    <row r="504" spans="3:55" x14ac:dyDescent="0.45">
      <c r="C504">
        <v>89.658000000000001</v>
      </c>
      <c r="D504">
        <v>6.05</v>
      </c>
      <c r="E504">
        <v>4.04</v>
      </c>
      <c r="F504">
        <v>0</v>
      </c>
      <c r="G504">
        <v>0</v>
      </c>
      <c r="H504">
        <v>0.05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>
        <v>0</v>
      </c>
      <c r="AB504">
        <v>0</v>
      </c>
      <c r="AC504">
        <v>0</v>
      </c>
      <c r="AD504">
        <v>0</v>
      </c>
      <c r="AE504">
        <v>0</v>
      </c>
      <c r="AF504">
        <v>0</v>
      </c>
      <c r="AG504">
        <v>0</v>
      </c>
      <c r="AH504">
        <v>0</v>
      </c>
      <c r="AI504">
        <v>0</v>
      </c>
      <c r="AJ504">
        <v>0</v>
      </c>
      <c r="AK504">
        <v>0</v>
      </c>
      <c r="AL504">
        <v>0</v>
      </c>
      <c r="AM504">
        <v>0</v>
      </c>
      <c r="AN504">
        <v>0</v>
      </c>
      <c r="AO504">
        <v>0</v>
      </c>
      <c r="AP504">
        <v>0</v>
      </c>
      <c r="AQ504">
        <v>0</v>
      </c>
      <c r="AR504">
        <v>0</v>
      </c>
      <c r="AS504">
        <v>0</v>
      </c>
      <c r="AT504">
        <f t="shared" si="23"/>
        <v>-3.1981999999999995</v>
      </c>
      <c r="AU504">
        <f t="shared" si="21"/>
        <v>6.05</v>
      </c>
      <c r="AV504">
        <f t="shared" si="22"/>
        <v>846.26300000000003</v>
      </c>
      <c r="AX504">
        <v>851</v>
      </c>
      <c r="AY504">
        <v>932</v>
      </c>
      <c r="AZ504">
        <v>16.2</v>
      </c>
      <c r="BC504" t="s">
        <v>129</v>
      </c>
    </row>
    <row r="505" spans="3:55" x14ac:dyDescent="0.45">
      <c r="C505">
        <v>89.658000000000001</v>
      </c>
      <c r="D505">
        <v>6.05</v>
      </c>
      <c r="E505">
        <v>4.04</v>
      </c>
      <c r="F505">
        <v>0</v>
      </c>
      <c r="G505">
        <v>0</v>
      </c>
      <c r="H505">
        <v>0.05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>
        <v>0</v>
      </c>
      <c r="AB505">
        <v>0</v>
      </c>
      <c r="AC505">
        <v>930</v>
      </c>
      <c r="AD505">
        <v>1</v>
      </c>
      <c r="AE505">
        <v>0</v>
      </c>
      <c r="AF505">
        <v>1</v>
      </c>
      <c r="AG505">
        <v>0</v>
      </c>
      <c r="AH505">
        <v>0</v>
      </c>
      <c r="AI505">
        <v>0</v>
      </c>
      <c r="AJ505">
        <v>0</v>
      </c>
      <c r="AK505">
        <v>0</v>
      </c>
      <c r="AL505">
        <v>0</v>
      </c>
      <c r="AM505">
        <v>0</v>
      </c>
      <c r="AN505">
        <v>0</v>
      </c>
      <c r="AO505">
        <v>0</v>
      </c>
      <c r="AP505">
        <v>0</v>
      </c>
      <c r="AQ505">
        <v>0</v>
      </c>
      <c r="AR505">
        <v>0</v>
      </c>
      <c r="AS505">
        <v>0</v>
      </c>
      <c r="AT505">
        <f t="shared" si="23"/>
        <v>-3.1981999999999995</v>
      </c>
      <c r="AU505">
        <f t="shared" si="21"/>
        <v>6.05</v>
      </c>
      <c r="AV505">
        <f t="shared" si="22"/>
        <v>846.26300000000003</v>
      </c>
      <c r="AX505">
        <v>903</v>
      </c>
      <c r="AY505">
        <v>978</v>
      </c>
      <c r="AZ505">
        <v>15.5</v>
      </c>
      <c r="BC505" t="s">
        <v>129</v>
      </c>
    </row>
    <row r="506" spans="3:55" x14ac:dyDescent="0.45">
      <c r="C506">
        <v>86</v>
      </c>
      <c r="D506">
        <v>1</v>
      </c>
      <c r="E506">
        <v>8</v>
      </c>
      <c r="F506">
        <v>0</v>
      </c>
      <c r="G506">
        <v>0</v>
      </c>
      <c r="H506">
        <v>5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1</v>
      </c>
      <c r="Z506">
        <v>0</v>
      </c>
      <c r="AA506">
        <v>0</v>
      </c>
      <c r="AB506">
        <v>0</v>
      </c>
      <c r="AC506">
        <v>700</v>
      </c>
      <c r="AD506">
        <v>6</v>
      </c>
      <c r="AE506">
        <v>0</v>
      </c>
      <c r="AF506">
        <v>0</v>
      </c>
      <c r="AG506">
        <v>1</v>
      </c>
      <c r="AH506">
        <v>0</v>
      </c>
      <c r="AI506">
        <v>0</v>
      </c>
      <c r="AJ506">
        <v>0</v>
      </c>
      <c r="AK506">
        <v>0</v>
      </c>
      <c r="AL506">
        <v>0</v>
      </c>
      <c r="AM506">
        <v>0</v>
      </c>
      <c r="AN506">
        <v>0</v>
      </c>
      <c r="AO506">
        <v>0</v>
      </c>
      <c r="AP506">
        <v>0</v>
      </c>
      <c r="AQ506">
        <v>0</v>
      </c>
      <c r="AR506">
        <v>0</v>
      </c>
      <c r="AS506">
        <v>0</v>
      </c>
      <c r="AT506">
        <f t="shared" si="23"/>
        <v>18.86</v>
      </c>
      <c r="AU506">
        <f t="shared" si="21"/>
        <v>1</v>
      </c>
      <c r="AV506">
        <f t="shared" si="22"/>
        <v>712.7</v>
      </c>
      <c r="AX506">
        <v>946</v>
      </c>
      <c r="AY506">
        <v>1000</v>
      </c>
      <c r="AZ506">
        <v>13.4</v>
      </c>
      <c r="BC506" t="s">
        <v>108</v>
      </c>
    </row>
    <row r="507" spans="3:55" x14ac:dyDescent="0.45">
      <c r="C507">
        <v>86</v>
      </c>
      <c r="D507">
        <v>1</v>
      </c>
      <c r="E507">
        <v>8</v>
      </c>
      <c r="F507">
        <v>0</v>
      </c>
      <c r="G507">
        <v>0</v>
      </c>
      <c r="H507">
        <v>5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1</v>
      </c>
      <c r="Z507">
        <v>0</v>
      </c>
      <c r="AA507">
        <v>0</v>
      </c>
      <c r="AB507">
        <v>0</v>
      </c>
      <c r="AC507">
        <v>780</v>
      </c>
      <c r="AD507">
        <v>1</v>
      </c>
      <c r="AE507">
        <v>1</v>
      </c>
      <c r="AF507">
        <v>0</v>
      </c>
      <c r="AG507">
        <v>0</v>
      </c>
      <c r="AH507">
        <v>0</v>
      </c>
      <c r="AI507">
        <v>0</v>
      </c>
      <c r="AJ507">
        <v>0</v>
      </c>
      <c r="AK507">
        <v>0</v>
      </c>
      <c r="AL507">
        <v>0</v>
      </c>
      <c r="AM507">
        <v>0</v>
      </c>
      <c r="AN507">
        <v>0</v>
      </c>
      <c r="AO507">
        <v>0</v>
      </c>
      <c r="AP507">
        <v>0</v>
      </c>
      <c r="AQ507">
        <v>0</v>
      </c>
      <c r="AR507">
        <v>0</v>
      </c>
      <c r="AS507">
        <v>0</v>
      </c>
      <c r="AT507">
        <f t="shared" si="23"/>
        <v>18.86</v>
      </c>
      <c r="AU507">
        <f t="shared" si="21"/>
        <v>1</v>
      </c>
      <c r="AV507">
        <f t="shared" si="22"/>
        <v>712.7</v>
      </c>
      <c r="AX507">
        <v>1262</v>
      </c>
      <c r="AY507">
        <v>1287</v>
      </c>
      <c r="AZ507">
        <v>3.9</v>
      </c>
      <c r="BC507" t="s">
        <v>108</v>
      </c>
    </row>
    <row r="508" spans="3:55" x14ac:dyDescent="0.45">
      <c r="C508">
        <v>90.57</v>
      </c>
      <c r="D508">
        <v>5.58</v>
      </c>
      <c r="E508">
        <v>3.55</v>
      </c>
      <c r="F508">
        <v>0</v>
      </c>
      <c r="G508">
        <v>0</v>
      </c>
      <c r="H508">
        <v>0.3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1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>
        <v>0</v>
      </c>
      <c r="AI508">
        <v>0</v>
      </c>
      <c r="AJ508">
        <v>0</v>
      </c>
      <c r="AK508">
        <v>0</v>
      </c>
      <c r="AL508">
        <v>0</v>
      </c>
      <c r="AM508">
        <v>0</v>
      </c>
      <c r="AN508">
        <v>0</v>
      </c>
      <c r="AO508">
        <v>0</v>
      </c>
      <c r="AP508">
        <v>0</v>
      </c>
      <c r="AQ508">
        <v>0</v>
      </c>
      <c r="AR508">
        <v>0</v>
      </c>
      <c r="AS508">
        <v>0</v>
      </c>
      <c r="AT508">
        <f t="shared" si="23"/>
        <v>-2.3315000000000001</v>
      </c>
      <c r="AU508">
        <f t="shared" si="21"/>
        <v>5.58</v>
      </c>
      <c r="AV508">
        <f t="shared" si="22"/>
        <v>847.20799999999997</v>
      </c>
      <c r="AX508">
        <v>952.7</v>
      </c>
      <c r="AY508">
        <v>1009</v>
      </c>
      <c r="AZ508">
        <v>9.3000000000000007</v>
      </c>
      <c r="BC508" t="s">
        <v>130</v>
      </c>
    </row>
    <row r="509" spans="3:55" x14ac:dyDescent="0.45">
      <c r="C509">
        <v>90.57</v>
      </c>
      <c r="D509">
        <v>5.58</v>
      </c>
      <c r="E509">
        <v>3.55</v>
      </c>
      <c r="F509">
        <v>0</v>
      </c>
      <c r="G509">
        <v>0</v>
      </c>
      <c r="H509">
        <v>0.3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1</v>
      </c>
      <c r="Z509">
        <v>0</v>
      </c>
      <c r="AA509">
        <v>0</v>
      </c>
      <c r="AB509">
        <v>0</v>
      </c>
      <c r="AC509">
        <v>850</v>
      </c>
      <c r="AD509">
        <v>2</v>
      </c>
      <c r="AE509">
        <v>0</v>
      </c>
      <c r="AF509">
        <v>0</v>
      </c>
      <c r="AG509">
        <v>1</v>
      </c>
      <c r="AH509">
        <v>0</v>
      </c>
      <c r="AI509">
        <v>0</v>
      </c>
      <c r="AJ509">
        <v>0</v>
      </c>
      <c r="AK509">
        <v>0</v>
      </c>
      <c r="AL509">
        <v>0</v>
      </c>
      <c r="AM509">
        <v>0</v>
      </c>
      <c r="AN509">
        <v>0</v>
      </c>
      <c r="AO509">
        <v>0</v>
      </c>
      <c r="AP509">
        <v>0</v>
      </c>
      <c r="AQ509">
        <v>0</v>
      </c>
      <c r="AR509">
        <v>0</v>
      </c>
      <c r="AS509">
        <v>0</v>
      </c>
      <c r="AT509">
        <f t="shared" si="23"/>
        <v>-2.3315000000000001</v>
      </c>
      <c r="AU509">
        <f t="shared" si="21"/>
        <v>5.58</v>
      </c>
      <c r="AV509">
        <f t="shared" si="22"/>
        <v>847.20799999999997</v>
      </c>
      <c r="AX509">
        <v>966</v>
      </c>
      <c r="AY509">
        <v>988.3</v>
      </c>
      <c r="AZ509">
        <v>14.8</v>
      </c>
      <c r="BC509" t="s">
        <v>130</v>
      </c>
    </row>
    <row r="510" spans="3:55" x14ac:dyDescent="0.45">
      <c r="C510">
        <v>90.57</v>
      </c>
      <c r="D510">
        <v>5.58</v>
      </c>
      <c r="E510">
        <v>3.55</v>
      </c>
      <c r="F510">
        <v>0</v>
      </c>
      <c r="G510">
        <v>0</v>
      </c>
      <c r="H510">
        <v>0.3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1</v>
      </c>
      <c r="Z510">
        <v>0</v>
      </c>
      <c r="AA510">
        <v>0</v>
      </c>
      <c r="AB510">
        <v>0</v>
      </c>
      <c r="AC510">
        <v>980</v>
      </c>
      <c r="AD510">
        <v>0.16666666666666699</v>
      </c>
      <c r="AE510">
        <v>0</v>
      </c>
      <c r="AF510">
        <v>0</v>
      </c>
      <c r="AG510">
        <v>1</v>
      </c>
      <c r="AH510">
        <v>0</v>
      </c>
      <c r="AI510">
        <v>0</v>
      </c>
      <c r="AJ510">
        <v>0</v>
      </c>
      <c r="AK510">
        <v>0</v>
      </c>
      <c r="AL510">
        <v>0</v>
      </c>
      <c r="AM510">
        <v>0</v>
      </c>
      <c r="AN510">
        <v>0</v>
      </c>
      <c r="AO510">
        <v>0</v>
      </c>
      <c r="AP510">
        <v>0</v>
      </c>
      <c r="AQ510">
        <v>0</v>
      </c>
      <c r="AR510">
        <v>0</v>
      </c>
      <c r="AS510">
        <v>0</v>
      </c>
      <c r="AT510">
        <f t="shared" si="23"/>
        <v>-2.3315000000000001</v>
      </c>
      <c r="AU510">
        <f t="shared" si="21"/>
        <v>5.58</v>
      </c>
      <c r="AV510">
        <f t="shared" si="22"/>
        <v>847.20799999999997</v>
      </c>
      <c r="AX510">
        <v>490.7</v>
      </c>
      <c r="AY510">
        <v>586</v>
      </c>
      <c r="AZ510">
        <v>1.6</v>
      </c>
      <c r="BC510" t="s">
        <v>130</v>
      </c>
    </row>
    <row r="511" spans="3:55" x14ac:dyDescent="0.45">
      <c r="C511">
        <v>89</v>
      </c>
      <c r="D511">
        <v>0</v>
      </c>
      <c r="E511">
        <v>0</v>
      </c>
      <c r="F511">
        <v>3</v>
      </c>
      <c r="G511">
        <v>0</v>
      </c>
      <c r="H511">
        <v>1</v>
      </c>
      <c r="I511">
        <v>0</v>
      </c>
      <c r="J511">
        <v>0</v>
      </c>
      <c r="K511">
        <v>0</v>
      </c>
      <c r="L511">
        <v>7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1</v>
      </c>
      <c r="W511">
        <v>20</v>
      </c>
      <c r="X511">
        <v>60</v>
      </c>
      <c r="Y511">
        <v>0</v>
      </c>
      <c r="Z511">
        <v>1</v>
      </c>
      <c r="AA511">
        <v>0</v>
      </c>
      <c r="AB511">
        <v>0</v>
      </c>
      <c r="AC511">
        <v>850</v>
      </c>
      <c r="AD511">
        <v>0.33</v>
      </c>
      <c r="AE511">
        <v>0</v>
      </c>
      <c r="AF511">
        <v>1</v>
      </c>
      <c r="AG511">
        <v>0</v>
      </c>
      <c r="AH511">
        <v>0</v>
      </c>
      <c r="AI511">
        <v>0</v>
      </c>
      <c r="AJ511">
        <v>0</v>
      </c>
      <c r="AK511">
        <v>0</v>
      </c>
      <c r="AL511">
        <v>0</v>
      </c>
      <c r="AM511">
        <v>0</v>
      </c>
      <c r="AN511">
        <v>0</v>
      </c>
      <c r="AO511">
        <v>0</v>
      </c>
      <c r="AP511">
        <v>0</v>
      </c>
      <c r="AQ511">
        <v>0</v>
      </c>
      <c r="AR511">
        <v>0</v>
      </c>
      <c r="AS511">
        <v>0</v>
      </c>
      <c r="AT511">
        <f t="shared" si="23"/>
        <v>14.700000000000001</v>
      </c>
      <c r="AU511">
        <f t="shared" si="21"/>
        <v>0</v>
      </c>
      <c r="AV511">
        <f t="shared" si="22"/>
        <v>763.80000000000007</v>
      </c>
      <c r="AY511">
        <v>1246</v>
      </c>
      <c r="AZ511">
        <v>14.54</v>
      </c>
      <c r="BC511" t="s">
        <v>93</v>
      </c>
    </row>
    <row r="512" spans="3:55" x14ac:dyDescent="0.45">
      <c r="C512">
        <v>89</v>
      </c>
      <c r="D512">
        <v>0</v>
      </c>
      <c r="E512">
        <v>0</v>
      </c>
      <c r="F512">
        <v>3</v>
      </c>
      <c r="G512">
        <v>0</v>
      </c>
      <c r="H512">
        <v>1</v>
      </c>
      <c r="I512">
        <v>0</v>
      </c>
      <c r="J512">
        <v>0</v>
      </c>
      <c r="K512">
        <v>0</v>
      </c>
      <c r="L512">
        <v>7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1</v>
      </c>
      <c r="W512">
        <v>20</v>
      </c>
      <c r="X512">
        <v>60</v>
      </c>
      <c r="Y512">
        <v>0</v>
      </c>
      <c r="Z512">
        <v>1</v>
      </c>
      <c r="AA512">
        <v>0</v>
      </c>
      <c r="AB512">
        <v>0</v>
      </c>
      <c r="AC512">
        <v>850</v>
      </c>
      <c r="AD512">
        <v>0.33</v>
      </c>
      <c r="AE512">
        <v>1</v>
      </c>
      <c r="AF512">
        <v>0</v>
      </c>
      <c r="AG512">
        <v>0</v>
      </c>
      <c r="AH512">
        <v>0</v>
      </c>
      <c r="AI512">
        <v>0</v>
      </c>
      <c r="AJ512">
        <v>0</v>
      </c>
      <c r="AK512">
        <v>0</v>
      </c>
      <c r="AL512">
        <v>0</v>
      </c>
      <c r="AM512">
        <v>0</v>
      </c>
      <c r="AN512">
        <v>0</v>
      </c>
      <c r="AO512">
        <v>0</v>
      </c>
      <c r="AP512">
        <v>0</v>
      </c>
      <c r="AQ512">
        <v>0</v>
      </c>
      <c r="AR512">
        <v>0</v>
      </c>
      <c r="AS512">
        <v>0</v>
      </c>
      <c r="AT512">
        <f t="shared" si="23"/>
        <v>14.700000000000001</v>
      </c>
      <c r="AU512">
        <f t="shared" si="21"/>
        <v>0</v>
      </c>
      <c r="AV512">
        <f t="shared" si="22"/>
        <v>763.80000000000007</v>
      </c>
      <c r="AY512">
        <v>929.6</v>
      </c>
      <c r="AZ512">
        <v>24.79</v>
      </c>
      <c r="BC512" t="s">
        <v>93</v>
      </c>
    </row>
    <row r="513" spans="3:55" x14ac:dyDescent="0.45">
      <c r="C513">
        <v>58</v>
      </c>
      <c r="D513">
        <v>0</v>
      </c>
      <c r="E513">
        <v>0</v>
      </c>
      <c r="F513">
        <v>0</v>
      </c>
      <c r="G513">
        <v>0</v>
      </c>
      <c r="H513">
        <v>0</v>
      </c>
      <c r="I513">
        <v>0</v>
      </c>
      <c r="J513">
        <v>6.8</v>
      </c>
      <c r="K513">
        <v>32.5</v>
      </c>
      <c r="L513">
        <v>0</v>
      </c>
      <c r="M513">
        <v>2.7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1</v>
      </c>
      <c r="Z513">
        <v>0</v>
      </c>
      <c r="AA513">
        <v>0</v>
      </c>
      <c r="AB513">
        <v>0</v>
      </c>
      <c r="AC513">
        <v>1000</v>
      </c>
      <c r="AD513">
        <v>1</v>
      </c>
      <c r="AE513">
        <v>1</v>
      </c>
      <c r="AF513">
        <v>0</v>
      </c>
      <c r="AG513">
        <v>0</v>
      </c>
      <c r="AH513">
        <v>0</v>
      </c>
      <c r="AI513">
        <v>0</v>
      </c>
      <c r="AJ513">
        <v>0</v>
      </c>
      <c r="AK513">
        <v>0</v>
      </c>
      <c r="AL513">
        <v>0</v>
      </c>
      <c r="AM513">
        <v>0</v>
      </c>
      <c r="AN513">
        <v>0</v>
      </c>
      <c r="AO513">
        <v>0</v>
      </c>
      <c r="AP513">
        <v>0</v>
      </c>
      <c r="AQ513">
        <v>0</v>
      </c>
      <c r="AR513">
        <v>0</v>
      </c>
      <c r="AS513">
        <v>0</v>
      </c>
      <c r="AT513">
        <f t="shared" si="23"/>
        <v>9.1000000000000014</v>
      </c>
      <c r="AU513">
        <f t="shared" si="21"/>
        <v>2.0333333333333332</v>
      </c>
      <c r="AV513">
        <f t="shared" si="22"/>
        <v>846.42000000000007</v>
      </c>
      <c r="AY513">
        <v>562</v>
      </c>
      <c r="AZ513">
        <v>20.100000000000001</v>
      </c>
      <c r="BC513" t="s">
        <v>131</v>
      </c>
    </row>
    <row r="514" spans="3:55" x14ac:dyDescent="0.45">
      <c r="C514">
        <v>58</v>
      </c>
      <c r="D514">
        <v>0</v>
      </c>
      <c r="E514">
        <v>0</v>
      </c>
      <c r="F514">
        <v>0</v>
      </c>
      <c r="G514">
        <v>0</v>
      </c>
      <c r="H514">
        <v>0</v>
      </c>
      <c r="I514">
        <v>0</v>
      </c>
      <c r="J514">
        <v>6.8</v>
      </c>
      <c r="K514">
        <v>32.5</v>
      </c>
      <c r="L514">
        <v>0</v>
      </c>
      <c r="M514">
        <v>2.7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1</v>
      </c>
      <c r="W514">
        <v>20</v>
      </c>
      <c r="X514">
        <v>50</v>
      </c>
      <c r="Y514">
        <v>0</v>
      </c>
      <c r="Z514">
        <v>1</v>
      </c>
      <c r="AA514">
        <v>0</v>
      </c>
      <c r="AB514">
        <v>0</v>
      </c>
      <c r="AC514">
        <v>1000</v>
      </c>
      <c r="AD514">
        <v>1</v>
      </c>
      <c r="AE514">
        <v>1</v>
      </c>
      <c r="AF514">
        <v>0</v>
      </c>
      <c r="AG514">
        <v>0</v>
      </c>
      <c r="AH514">
        <v>0</v>
      </c>
      <c r="AI514">
        <v>0</v>
      </c>
      <c r="AJ514">
        <v>0</v>
      </c>
      <c r="AK514">
        <v>0</v>
      </c>
      <c r="AL514">
        <v>0</v>
      </c>
      <c r="AM514">
        <v>0</v>
      </c>
      <c r="AN514">
        <v>0</v>
      </c>
      <c r="AO514">
        <v>0</v>
      </c>
      <c r="AP514">
        <v>0</v>
      </c>
      <c r="AQ514">
        <v>0</v>
      </c>
      <c r="AR514">
        <v>0</v>
      </c>
      <c r="AS514">
        <v>0</v>
      </c>
      <c r="AT514">
        <f t="shared" si="23"/>
        <v>9.1000000000000014</v>
      </c>
      <c r="AU514">
        <f t="shared" ref="AU514:AU577" si="24">D514+J514/6+M514/3+(T514+S514)/10</f>
        <v>2.0333333333333332</v>
      </c>
      <c r="AV514">
        <f t="shared" ref="AV514:AV577" si="25">882+2.1*D514-9.5*L514+4.2*M514-6.9*J514-11.8*E514-12.1*F514-15.4*H514+23.3*Q514+123*T514</f>
        <v>846.42000000000007</v>
      </c>
      <c r="AY514">
        <v>719</v>
      </c>
      <c r="AZ514">
        <v>16.8</v>
      </c>
      <c r="BC514" t="s">
        <v>131</v>
      </c>
    </row>
    <row r="515" spans="3:55" x14ac:dyDescent="0.45">
      <c r="C515">
        <v>58</v>
      </c>
      <c r="D515">
        <v>0</v>
      </c>
      <c r="E515">
        <v>0</v>
      </c>
      <c r="F515">
        <v>0</v>
      </c>
      <c r="G515">
        <v>0</v>
      </c>
      <c r="H515">
        <v>0</v>
      </c>
      <c r="I515">
        <v>0</v>
      </c>
      <c r="J515">
        <v>6.8</v>
      </c>
      <c r="K515">
        <v>32.5</v>
      </c>
      <c r="L515">
        <v>0</v>
      </c>
      <c r="M515">
        <v>2.7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1</v>
      </c>
      <c r="W515">
        <v>20</v>
      </c>
      <c r="X515">
        <v>90</v>
      </c>
      <c r="Y515">
        <v>0</v>
      </c>
      <c r="Z515">
        <v>1</v>
      </c>
      <c r="AA515">
        <v>0</v>
      </c>
      <c r="AB515">
        <v>0</v>
      </c>
      <c r="AC515">
        <v>1000</v>
      </c>
      <c r="AD515">
        <v>1</v>
      </c>
      <c r="AE515">
        <v>1</v>
      </c>
      <c r="AF515">
        <v>0</v>
      </c>
      <c r="AG515">
        <v>0</v>
      </c>
      <c r="AH515">
        <v>0</v>
      </c>
      <c r="AI515">
        <v>0</v>
      </c>
      <c r="AJ515">
        <v>0</v>
      </c>
      <c r="AK515">
        <v>0</v>
      </c>
      <c r="AL515">
        <v>0</v>
      </c>
      <c r="AM515">
        <v>0</v>
      </c>
      <c r="AN515">
        <v>0</v>
      </c>
      <c r="AO515">
        <v>0</v>
      </c>
      <c r="AP515">
        <v>0</v>
      </c>
      <c r="AQ515">
        <v>0</v>
      </c>
      <c r="AR515">
        <v>0</v>
      </c>
      <c r="AS515">
        <v>0</v>
      </c>
      <c r="AT515">
        <f t="shared" ref="AT515:AT578" si="26">L515+0.67*E515+0.44*P515+0.28*K515+0.22*O515+2.9*H515+1.6*F515+1.7*G515-D515</f>
        <v>9.1000000000000014</v>
      </c>
      <c r="AU515">
        <f t="shared" si="24"/>
        <v>2.0333333333333332</v>
      </c>
      <c r="AV515">
        <f t="shared" si="25"/>
        <v>846.42000000000007</v>
      </c>
      <c r="AY515">
        <v>883</v>
      </c>
      <c r="AZ515">
        <v>14.9</v>
      </c>
      <c r="BC515" t="s">
        <v>131</v>
      </c>
    </row>
    <row r="516" spans="3:55" x14ac:dyDescent="0.45">
      <c r="C516">
        <v>72</v>
      </c>
      <c r="D516">
        <v>0</v>
      </c>
      <c r="E516">
        <v>0</v>
      </c>
      <c r="F516">
        <v>0</v>
      </c>
      <c r="G516">
        <v>0</v>
      </c>
      <c r="H516">
        <v>0</v>
      </c>
      <c r="I516">
        <v>0</v>
      </c>
      <c r="J516">
        <v>4</v>
      </c>
      <c r="K516">
        <v>16</v>
      </c>
      <c r="L516">
        <v>0</v>
      </c>
      <c r="M516">
        <v>8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1</v>
      </c>
      <c r="W516">
        <v>850</v>
      </c>
      <c r="X516">
        <v>90</v>
      </c>
      <c r="Y516">
        <v>0</v>
      </c>
      <c r="Z516">
        <v>1</v>
      </c>
      <c r="AA516">
        <v>0</v>
      </c>
      <c r="AB516">
        <v>0</v>
      </c>
      <c r="AC516">
        <v>850</v>
      </c>
      <c r="AD516">
        <v>1.5</v>
      </c>
      <c r="AE516">
        <v>1</v>
      </c>
      <c r="AF516">
        <v>0</v>
      </c>
      <c r="AG516">
        <v>0</v>
      </c>
      <c r="AH516">
        <v>0</v>
      </c>
      <c r="AI516">
        <v>0</v>
      </c>
      <c r="AJ516">
        <v>0</v>
      </c>
      <c r="AK516">
        <v>0</v>
      </c>
      <c r="AL516">
        <v>0</v>
      </c>
      <c r="AM516">
        <v>0</v>
      </c>
      <c r="AN516">
        <v>0</v>
      </c>
      <c r="AO516">
        <v>0</v>
      </c>
      <c r="AP516">
        <v>0</v>
      </c>
      <c r="AQ516">
        <v>0</v>
      </c>
      <c r="AR516">
        <v>0</v>
      </c>
      <c r="AS516">
        <v>0</v>
      </c>
      <c r="AT516">
        <f t="shared" si="26"/>
        <v>4.4800000000000004</v>
      </c>
      <c r="AU516">
        <f t="shared" si="24"/>
        <v>3.333333333333333</v>
      </c>
      <c r="AV516">
        <f t="shared" si="25"/>
        <v>888</v>
      </c>
      <c r="AW516">
        <v>68</v>
      </c>
      <c r="AX516">
        <v>500</v>
      </c>
      <c r="AY516">
        <v>752</v>
      </c>
      <c r="AZ516">
        <v>19.600000000000001</v>
      </c>
      <c r="BC516" t="s">
        <v>133</v>
      </c>
    </row>
    <row r="517" spans="3:55" x14ac:dyDescent="0.45">
      <c r="C517">
        <v>68</v>
      </c>
      <c r="D517">
        <v>0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4</v>
      </c>
      <c r="K517">
        <v>20</v>
      </c>
      <c r="L517">
        <v>0</v>
      </c>
      <c r="M517">
        <v>8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1</v>
      </c>
      <c r="W517">
        <v>850</v>
      </c>
      <c r="X517">
        <v>90</v>
      </c>
      <c r="Y517">
        <v>0</v>
      </c>
      <c r="Z517">
        <v>1</v>
      </c>
      <c r="AA517">
        <v>0</v>
      </c>
      <c r="AB517">
        <v>0</v>
      </c>
      <c r="AC517">
        <v>850</v>
      </c>
      <c r="AD517">
        <v>1.5</v>
      </c>
      <c r="AE517">
        <v>1</v>
      </c>
      <c r="AF517">
        <v>0</v>
      </c>
      <c r="AG517">
        <v>0</v>
      </c>
      <c r="AH517">
        <v>0</v>
      </c>
      <c r="AI517">
        <v>0</v>
      </c>
      <c r="AJ517">
        <v>0</v>
      </c>
      <c r="AK517">
        <v>0</v>
      </c>
      <c r="AL517">
        <v>0</v>
      </c>
      <c r="AM517">
        <v>0</v>
      </c>
      <c r="AN517">
        <v>0</v>
      </c>
      <c r="AO517">
        <v>0</v>
      </c>
      <c r="AP517">
        <v>0</v>
      </c>
      <c r="AQ517">
        <v>0</v>
      </c>
      <c r="AR517">
        <v>0</v>
      </c>
      <c r="AS517">
        <v>0</v>
      </c>
      <c r="AT517">
        <f t="shared" si="26"/>
        <v>5.6000000000000005</v>
      </c>
      <c r="AU517">
        <f t="shared" si="24"/>
        <v>3.333333333333333</v>
      </c>
      <c r="AV517">
        <f t="shared" si="25"/>
        <v>888</v>
      </c>
      <c r="AW517">
        <v>63</v>
      </c>
      <c r="AX517">
        <v>410</v>
      </c>
      <c r="AY517">
        <v>735</v>
      </c>
      <c r="AZ517">
        <v>13.6</v>
      </c>
      <c r="BC517" t="s">
        <v>134</v>
      </c>
    </row>
    <row r="518" spans="3:55" x14ac:dyDescent="0.45">
      <c r="C518">
        <v>64</v>
      </c>
      <c r="D518">
        <v>0</v>
      </c>
      <c r="E518">
        <v>0</v>
      </c>
      <c r="F518">
        <v>0</v>
      </c>
      <c r="G518">
        <v>0</v>
      </c>
      <c r="H518">
        <v>0</v>
      </c>
      <c r="I518">
        <v>0</v>
      </c>
      <c r="J518">
        <v>4</v>
      </c>
      <c r="K518">
        <v>24</v>
      </c>
      <c r="L518">
        <v>0</v>
      </c>
      <c r="M518">
        <v>8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1</v>
      </c>
      <c r="W518">
        <v>850</v>
      </c>
      <c r="X518">
        <v>90</v>
      </c>
      <c r="Y518">
        <v>0</v>
      </c>
      <c r="Z518">
        <v>1</v>
      </c>
      <c r="AA518">
        <v>0</v>
      </c>
      <c r="AB518">
        <v>0</v>
      </c>
      <c r="AC518">
        <v>850</v>
      </c>
      <c r="AD518">
        <v>1.5</v>
      </c>
      <c r="AE518">
        <v>1</v>
      </c>
      <c r="AF518">
        <v>0</v>
      </c>
      <c r="AG518">
        <v>0</v>
      </c>
      <c r="AH518">
        <v>0</v>
      </c>
      <c r="AI518">
        <v>0</v>
      </c>
      <c r="AJ518">
        <v>0</v>
      </c>
      <c r="AK518">
        <v>0</v>
      </c>
      <c r="AL518">
        <v>0</v>
      </c>
      <c r="AM518">
        <v>0</v>
      </c>
      <c r="AN518">
        <v>0</v>
      </c>
      <c r="AO518">
        <v>0</v>
      </c>
      <c r="AP518">
        <v>0</v>
      </c>
      <c r="AQ518">
        <v>0</v>
      </c>
      <c r="AR518">
        <v>0</v>
      </c>
      <c r="AS518">
        <v>0</v>
      </c>
      <c r="AT518">
        <f t="shared" si="26"/>
        <v>6.7200000000000006</v>
      </c>
      <c r="AU518">
        <f t="shared" si="24"/>
        <v>3.333333333333333</v>
      </c>
      <c r="AV518">
        <f t="shared" si="25"/>
        <v>888</v>
      </c>
      <c r="AW518">
        <v>45</v>
      </c>
      <c r="AX518">
        <v>200</v>
      </c>
      <c r="AY518">
        <v>674</v>
      </c>
      <c r="AZ518">
        <v>12.9</v>
      </c>
      <c r="BC518" t="s">
        <v>135</v>
      </c>
    </row>
    <row r="519" spans="3:55" x14ac:dyDescent="0.45">
      <c r="C519">
        <v>60</v>
      </c>
      <c r="D519">
        <v>0</v>
      </c>
      <c r="E519">
        <v>0</v>
      </c>
      <c r="F519">
        <v>0</v>
      </c>
      <c r="G519">
        <v>0</v>
      </c>
      <c r="H519">
        <v>0</v>
      </c>
      <c r="I519">
        <v>0</v>
      </c>
      <c r="J519">
        <v>4</v>
      </c>
      <c r="K519">
        <v>28</v>
      </c>
      <c r="L519">
        <v>0</v>
      </c>
      <c r="M519">
        <v>8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1</v>
      </c>
      <c r="W519">
        <v>850</v>
      </c>
      <c r="X519">
        <v>90</v>
      </c>
      <c r="Y519">
        <v>0</v>
      </c>
      <c r="Z519">
        <v>1</v>
      </c>
      <c r="AA519">
        <v>0</v>
      </c>
      <c r="AB519">
        <v>0</v>
      </c>
      <c r="AC519">
        <v>850</v>
      </c>
      <c r="AD519">
        <v>1.5</v>
      </c>
      <c r="AE519">
        <v>1</v>
      </c>
      <c r="AF519">
        <v>0</v>
      </c>
      <c r="AG519">
        <v>0</v>
      </c>
      <c r="AH519">
        <v>0</v>
      </c>
      <c r="AI519">
        <v>0</v>
      </c>
      <c r="AJ519">
        <v>0</v>
      </c>
      <c r="AK519">
        <v>0</v>
      </c>
      <c r="AL519">
        <v>0</v>
      </c>
      <c r="AM519">
        <v>0</v>
      </c>
      <c r="AN519">
        <v>0</v>
      </c>
      <c r="AO519">
        <v>0</v>
      </c>
      <c r="AP519">
        <v>0</v>
      </c>
      <c r="AQ519">
        <v>0</v>
      </c>
      <c r="AR519">
        <v>0</v>
      </c>
      <c r="AS519">
        <v>0</v>
      </c>
      <c r="AT519">
        <f t="shared" si="26"/>
        <v>7.8400000000000007</v>
      </c>
      <c r="AU519">
        <f t="shared" si="24"/>
        <v>3.333333333333333</v>
      </c>
      <c r="AV519">
        <f t="shared" si="25"/>
        <v>888</v>
      </c>
      <c r="AW519">
        <v>60</v>
      </c>
      <c r="AX519">
        <v>570</v>
      </c>
      <c r="AY519">
        <v>570</v>
      </c>
      <c r="AZ519">
        <v>22.3</v>
      </c>
      <c r="BC519" t="s">
        <v>136</v>
      </c>
    </row>
    <row r="520" spans="3:55" x14ac:dyDescent="0.45">
      <c r="C520">
        <v>52</v>
      </c>
      <c r="D520">
        <v>0</v>
      </c>
      <c r="E520">
        <v>0</v>
      </c>
      <c r="F520">
        <v>0</v>
      </c>
      <c r="G520">
        <v>0</v>
      </c>
      <c r="H520">
        <v>0</v>
      </c>
      <c r="I520">
        <v>0</v>
      </c>
      <c r="J520">
        <v>4</v>
      </c>
      <c r="K520">
        <v>36</v>
      </c>
      <c r="L520">
        <v>0</v>
      </c>
      <c r="M520">
        <v>8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1</v>
      </c>
      <c r="W520">
        <v>850</v>
      </c>
      <c r="X520">
        <v>90</v>
      </c>
      <c r="Y520">
        <v>0</v>
      </c>
      <c r="Z520">
        <v>1</v>
      </c>
      <c r="AA520">
        <v>0</v>
      </c>
      <c r="AB520">
        <v>0</v>
      </c>
      <c r="AC520">
        <v>850</v>
      </c>
      <c r="AD520">
        <v>1.5</v>
      </c>
      <c r="AE520">
        <v>1</v>
      </c>
      <c r="AF520">
        <v>0</v>
      </c>
      <c r="AG520">
        <v>0</v>
      </c>
      <c r="AH520">
        <v>0</v>
      </c>
      <c r="AI520">
        <v>0</v>
      </c>
      <c r="AJ520">
        <v>0</v>
      </c>
      <c r="AK520">
        <v>0</v>
      </c>
      <c r="AL520">
        <v>0</v>
      </c>
      <c r="AM520">
        <v>0</v>
      </c>
      <c r="AN520">
        <v>0</v>
      </c>
      <c r="AO520">
        <v>0</v>
      </c>
      <c r="AP520">
        <v>0</v>
      </c>
      <c r="AQ520">
        <v>0</v>
      </c>
      <c r="AR520">
        <v>0</v>
      </c>
      <c r="AS520">
        <v>0</v>
      </c>
      <c r="AT520">
        <f t="shared" si="26"/>
        <v>10.080000000000002</v>
      </c>
      <c r="AU520">
        <f t="shared" si="24"/>
        <v>3.333333333333333</v>
      </c>
      <c r="AV520">
        <f t="shared" si="25"/>
        <v>888</v>
      </c>
      <c r="AW520">
        <v>69</v>
      </c>
      <c r="AX520">
        <v>557</v>
      </c>
      <c r="AY520">
        <v>557</v>
      </c>
      <c r="AZ520">
        <v>21.3</v>
      </c>
      <c r="BC520" t="s">
        <v>137</v>
      </c>
    </row>
    <row r="521" spans="3:55" x14ac:dyDescent="0.45">
      <c r="C521">
        <v>55.5</v>
      </c>
      <c r="D521">
        <v>0</v>
      </c>
      <c r="E521">
        <v>0</v>
      </c>
      <c r="F521">
        <v>0</v>
      </c>
      <c r="G521">
        <v>0</v>
      </c>
      <c r="H521">
        <v>0</v>
      </c>
      <c r="I521">
        <v>0</v>
      </c>
      <c r="J521">
        <v>6.8</v>
      </c>
      <c r="K521">
        <v>35</v>
      </c>
      <c r="L521">
        <v>0</v>
      </c>
      <c r="M521">
        <v>2.7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1</v>
      </c>
      <c r="W521">
        <v>20</v>
      </c>
      <c r="X521">
        <v>0</v>
      </c>
      <c r="Y521">
        <v>0</v>
      </c>
      <c r="Z521">
        <v>1</v>
      </c>
      <c r="AA521">
        <v>0</v>
      </c>
      <c r="AB521">
        <v>0</v>
      </c>
      <c r="AC521">
        <v>1000</v>
      </c>
      <c r="AD521">
        <v>1</v>
      </c>
      <c r="AE521">
        <v>1</v>
      </c>
      <c r="AF521">
        <v>0</v>
      </c>
      <c r="AG521">
        <v>0</v>
      </c>
      <c r="AH521">
        <v>0</v>
      </c>
      <c r="AI521">
        <v>0</v>
      </c>
      <c r="AJ521">
        <v>0</v>
      </c>
      <c r="AK521">
        <v>0</v>
      </c>
      <c r="AL521">
        <v>0</v>
      </c>
      <c r="AM521">
        <v>0</v>
      </c>
      <c r="AN521">
        <v>0</v>
      </c>
      <c r="AO521">
        <v>0</v>
      </c>
      <c r="AP521">
        <v>0</v>
      </c>
      <c r="AQ521">
        <v>0</v>
      </c>
      <c r="AR521">
        <v>0</v>
      </c>
      <c r="AS521">
        <v>0</v>
      </c>
      <c r="AT521">
        <f t="shared" si="26"/>
        <v>9.8000000000000007</v>
      </c>
      <c r="AU521">
        <f t="shared" si="24"/>
        <v>2.0333333333333332</v>
      </c>
      <c r="AV521">
        <f t="shared" si="25"/>
        <v>846.42000000000007</v>
      </c>
      <c r="AY521">
        <v>54.2</v>
      </c>
      <c r="AZ521">
        <v>1.04</v>
      </c>
      <c r="BA521">
        <v>20.100000000000001</v>
      </c>
      <c r="BC521" t="s">
        <v>131</v>
      </c>
    </row>
    <row r="522" spans="3:55" x14ac:dyDescent="0.45">
      <c r="C522">
        <v>55.5</v>
      </c>
      <c r="D522">
        <v>0</v>
      </c>
      <c r="E522">
        <v>0</v>
      </c>
      <c r="F522">
        <v>0</v>
      </c>
      <c r="G522">
        <v>0</v>
      </c>
      <c r="H522">
        <v>0</v>
      </c>
      <c r="I522">
        <v>0</v>
      </c>
      <c r="J522">
        <v>6.8</v>
      </c>
      <c r="K522">
        <v>35</v>
      </c>
      <c r="L522">
        <v>0</v>
      </c>
      <c r="M522">
        <v>2.7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1</v>
      </c>
      <c r="W522">
        <v>20</v>
      </c>
      <c r="X522">
        <v>50</v>
      </c>
      <c r="Y522">
        <v>0</v>
      </c>
      <c r="Z522">
        <v>1</v>
      </c>
      <c r="AA522">
        <v>0</v>
      </c>
      <c r="AB522">
        <v>0</v>
      </c>
      <c r="AC522">
        <v>1000</v>
      </c>
      <c r="AD522">
        <v>1</v>
      </c>
      <c r="AE522">
        <v>1</v>
      </c>
      <c r="AF522">
        <v>0</v>
      </c>
      <c r="AG522">
        <v>0</v>
      </c>
      <c r="AH522">
        <v>0</v>
      </c>
      <c r="AI522">
        <v>0</v>
      </c>
      <c r="AJ522">
        <v>0</v>
      </c>
      <c r="AK522">
        <v>0</v>
      </c>
      <c r="AL522">
        <v>0</v>
      </c>
      <c r="AM522">
        <v>0</v>
      </c>
      <c r="AN522">
        <v>0</v>
      </c>
      <c r="AO522">
        <v>0</v>
      </c>
      <c r="AP522">
        <v>0</v>
      </c>
      <c r="AQ522">
        <v>0</v>
      </c>
      <c r="AR522">
        <v>0</v>
      </c>
      <c r="AS522">
        <v>0</v>
      </c>
      <c r="AT522">
        <f t="shared" si="26"/>
        <v>9.8000000000000007</v>
      </c>
      <c r="AU522">
        <f t="shared" si="24"/>
        <v>2.0333333333333332</v>
      </c>
      <c r="AV522">
        <f t="shared" si="25"/>
        <v>846.42000000000007</v>
      </c>
      <c r="AY522">
        <v>719</v>
      </c>
      <c r="AZ522">
        <v>16.8</v>
      </c>
      <c r="BA522">
        <v>51.3</v>
      </c>
      <c r="BC522" t="s">
        <v>138</v>
      </c>
    </row>
    <row r="523" spans="3:55" x14ac:dyDescent="0.45">
      <c r="C523">
        <v>55.5</v>
      </c>
      <c r="D523">
        <v>0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6.8</v>
      </c>
      <c r="K523">
        <v>35</v>
      </c>
      <c r="L523">
        <v>0</v>
      </c>
      <c r="M523">
        <v>2.7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1</v>
      </c>
      <c r="W523">
        <v>20</v>
      </c>
      <c r="X523">
        <v>90</v>
      </c>
      <c r="Y523">
        <v>0</v>
      </c>
      <c r="Z523">
        <v>1</v>
      </c>
      <c r="AA523">
        <v>0</v>
      </c>
      <c r="AB523">
        <v>0</v>
      </c>
      <c r="AC523">
        <v>1000</v>
      </c>
      <c r="AD523">
        <v>1</v>
      </c>
      <c r="AE523">
        <v>1</v>
      </c>
      <c r="AF523">
        <v>0</v>
      </c>
      <c r="AG523">
        <v>0</v>
      </c>
      <c r="AH523">
        <v>0</v>
      </c>
      <c r="AI523">
        <v>0</v>
      </c>
      <c r="AJ523">
        <v>0</v>
      </c>
      <c r="AK523">
        <v>0</v>
      </c>
      <c r="AL523">
        <v>0</v>
      </c>
      <c r="AM523">
        <v>0</v>
      </c>
      <c r="AN523">
        <v>0</v>
      </c>
      <c r="AO523">
        <v>0</v>
      </c>
      <c r="AP523">
        <v>0</v>
      </c>
      <c r="AQ523">
        <v>0</v>
      </c>
      <c r="AR523">
        <v>0</v>
      </c>
      <c r="AS523">
        <v>0</v>
      </c>
      <c r="AT523">
        <f t="shared" si="26"/>
        <v>9.8000000000000007</v>
      </c>
      <c r="AU523">
        <f t="shared" si="24"/>
        <v>2.0333333333333332</v>
      </c>
      <c r="AV523">
        <f t="shared" si="25"/>
        <v>846.42000000000007</v>
      </c>
      <c r="AY523">
        <v>883</v>
      </c>
      <c r="AZ523">
        <v>14.9</v>
      </c>
      <c r="BA523">
        <v>47.1</v>
      </c>
      <c r="BC523" t="s">
        <v>139</v>
      </c>
    </row>
    <row r="524" spans="3:55" x14ac:dyDescent="0.45">
      <c r="C524">
        <v>63.96</v>
      </c>
      <c r="D524">
        <v>0</v>
      </c>
      <c r="E524">
        <v>0</v>
      </c>
      <c r="F524">
        <v>0</v>
      </c>
      <c r="G524">
        <v>0</v>
      </c>
      <c r="H524">
        <v>0</v>
      </c>
      <c r="I524">
        <v>0</v>
      </c>
      <c r="J524">
        <v>3.76</v>
      </c>
      <c r="K524">
        <v>24.2</v>
      </c>
      <c r="L524">
        <v>0</v>
      </c>
      <c r="M524">
        <v>8.08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1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0</v>
      </c>
      <c r="AF524">
        <v>0</v>
      </c>
      <c r="AG524">
        <v>0</v>
      </c>
      <c r="AH524">
        <v>450</v>
      </c>
      <c r="AI524">
        <v>0.5</v>
      </c>
      <c r="AJ524">
        <v>0</v>
      </c>
      <c r="AK524">
        <v>1</v>
      </c>
      <c r="AL524">
        <v>0</v>
      </c>
      <c r="AM524">
        <v>0</v>
      </c>
      <c r="AN524">
        <v>0</v>
      </c>
      <c r="AO524">
        <v>0</v>
      </c>
      <c r="AP524">
        <v>0</v>
      </c>
      <c r="AQ524">
        <v>0</v>
      </c>
      <c r="AR524">
        <v>0</v>
      </c>
      <c r="AS524">
        <v>0</v>
      </c>
      <c r="AT524">
        <f t="shared" si="26"/>
        <v>6.7760000000000007</v>
      </c>
      <c r="AU524">
        <f t="shared" si="24"/>
        <v>3.32</v>
      </c>
      <c r="AV524">
        <f t="shared" si="25"/>
        <v>889.99200000000008</v>
      </c>
      <c r="AX524">
        <v>1033</v>
      </c>
      <c r="AY524">
        <v>1091</v>
      </c>
      <c r="AZ524">
        <v>12.4</v>
      </c>
      <c r="BC524" t="s">
        <v>108</v>
      </c>
    </row>
    <row r="525" spans="3:55" x14ac:dyDescent="0.45">
      <c r="C525">
        <v>63.96</v>
      </c>
      <c r="D525">
        <v>0</v>
      </c>
      <c r="E525">
        <v>0</v>
      </c>
      <c r="F525">
        <v>0</v>
      </c>
      <c r="G525">
        <v>0</v>
      </c>
      <c r="H525">
        <v>0</v>
      </c>
      <c r="I525">
        <v>0</v>
      </c>
      <c r="J525">
        <v>3.76</v>
      </c>
      <c r="K525">
        <v>24.2</v>
      </c>
      <c r="L525">
        <v>0</v>
      </c>
      <c r="M525">
        <v>8.08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1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>
        <v>450</v>
      </c>
      <c r="AI525">
        <v>1</v>
      </c>
      <c r="AJ525">
        <v>0</v>
      </c>
      <c r="AK525">
        <v>1</v>
      </c>
      <c r="AL525">
        <v>0</v>
      </c>
      <c r="AM525">
        <v>0</v>
      </c>
      <c r="AN525">
        <v>0</v>
      </c>
      <c r="AO525">
        <v>0</v>
      </c>
      <c r="AP525">
        <v>0</v>
      </c>
      <c r="AQ525">
        <v>0</v>
      </c>
      <c r="AR525">
        <v>0</v>
      </c>
      <c r="AS525">
        <v>0</v>
      </c>
      <c r="AT525">
        <f t="shared" si="26"/>
        <v>6.7760000000000007</v>
      </c>
      <c r="AU525">
        <f t="shared" si="24"/>
        <v>3.32</v>
      </c>
      <c r="AV525">
        <f t="shared" si="25"/>
        <v>889.99200000000008</v>
      </c>
      <c r="AX525">
        <v>1120</v>
      </c>
      <c r="AY525">
        <v>1175</v>
      </c>
      <c r="AZ525">
        <v>12.2</v>
      </c>
      <c r="BC525" t="s">
        <v>108</v>
      </c>
    </row>
    <row r="526" spans="3:55" x14ac:dyDescent="0.45">
      <c r="C526">
        <v>63.96</v>
      </c>
      <c r="D526">
        <v>0</v>
      </c>
      <c r="E526">
        <v>0</v>
      </c>
      <c r="F526">
        <v>0</v>
      </c>
      <c r="G526">
        <v>0</v>
      </c>
      <c r="H526">
        <v>0</v>
      </c>
      <c r="I526">
        <v>0</v>
      </c>
      <c r="J526">
        <v>3.76</v>
      </c>
      <c r="K526">
        <v>24.2</v>
      </c>
      <c r="L526">
        <v>0</v>
      </c>
      <c r="M526">
        <v>8.08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1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450</v>
      </c>
      <c r="AI526">
        <v>2</v>
      </c>
      <c r="AJ526">
        <v>0</v>
      </c>
      <c r="AK526">
        <v>1</v>
      </c>
      <c r="AL526">
        <v>0</v>
      </c>
      <c r="AM526">
        <v>0</v>
      </c>
      <c r="AN526">
        <v>0</v>
      </c>
      <c r="AO526">
        <v>0</v>
      </c>
      <c r="AP526">
        <v>0</v>
      </c>
      <c r="AQ526">
        <v>0</v>
      </c>
      <c r="AR526">
        <v>0</v>
      </c>
      <c r="AS526">
        <v>0</v>
      </c>
      <c r="AT526">
        <f t="shared" si="26"/>
        <v>6.7760000000000007</v>
      </c>
      <c r="AU526">
        <f t="shared" si="24"/>
        <v>3.32</v>
      </c>
      <c r="AV526">
        <f t="shared" si="25"/>
        <v>889.99200000000008</v>
      </c>
      <c r="AX526">
        <v>1180</v>
      </c>
      <c r="AY526">
        <v>1213</v>
      </c>
      <c r="AZ526">
        <v>12.4</v>
      </c>
      <c r="BC526" t="s">
        <v>108</v>
      </c>
    </row>
    <row r="527" spans="3:55" x14ac:dyDescent="0.45">
      <c r="C527">
        <v>63.96</v>
      </c>
      <c r="D527">
        <v>0</v>
      </c>
      <c r="E527">
        <v>0</v>
      </c>
      <c r="F527">
        <v>0</v>
      </c>
      <c r="G527">
        <v>0</v>
      </c>
      <c r="H527">
        <v>0</v>
      </c>
      <c r="I527">
        <v>0</v>
      </c>
      <c r="J527">
        <v>3.76</v>
      </c>
      <c r="K527">
        <v>24.2</v>
      </c>
      <c r="L527">
        <v>0</v>
      </c>
      <c r="M527">
        <v>8.08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1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>
        <v>450</v>
      </c>
      <c r="AI527">
        <v>4</v>
      </c>
      <c r="AJ527">
        <v>0</v>
      </c>
      <c r="AK527">
        <v>1</v>
      </c>
      <c r="AL527">
        <v>0</v>
      </c>
      <c r="AM527">
        <v>0</v>
      </c>
      <c r="AN527">
        <v>0</v>
      </c>
      <c r="AO527">
        <v>0</v>
      </c>
      <c r="AP527">
        <v>0</v>
      </c>
      <c r="AQ527">
        <v>0</v>
      </c>
      <c r="AR527">
        <v>0</v>
      </c>
      <c r="AS527">
        <v>0</v>
      </c>
      <c r="AT527">
        <f t="shared" si="26"/>
        <v>6.7760000000000007</v>
      </c>
      <c r="AU527">
        <f t="shared" si="24"/>
        <v>3.32</v>
      </c>
      <c r="AV527">
        <f t="shared" si="25"/>
        <v>889.99200000000008</v>
      </c>
      <c r="AX527">
        <v>1192</v>
      </c>
      <c r="AY527">
        <v>1243</v>
      </c>
      <c r="AZ527">
        <v>12.8</v>
      </c>
      <c r="BC527" t="s">
        <v>108</v>
      </c>
    </row>
    <row r="528" spans="3:55" x14ac:dyDescent="0.45">
      <c r="C528">
        <v>63.96</v>
      </c>
      <c r="D528">
        <v>0</v>
      </c>
      <c r="E528">
        <v>0</v>
      </c>
      <c r="F528">
        <v>0</v>
      </c>
      <c r="G528">
        <v>0</v>
      </c>
      <c r="H528">
        <v>0</v>
      </c>
      <c r="I528">
        <v>0</v>
      </c>
      <c r="J528">
        <v>3.76</v>
      </c>
      <c r="K528">
        <v>24.2</v>
      </c>
      <c r="L528">
        <v>0</v>
      </c>
      <c r="M528">
        <v>8.08</v>
      </c>
      <c r="N528">
        <v>0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1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>
        <v>475</v>
      </c>
      <c r="AI528">
        <v>0.5</v>
      </c>
      <c r="AJ528">
        <v>0</v>
      </c>
      <c r="AK528">
        <v>1</v>
      </c>
      <c r="AL528">
        <v>0</v>
      </c>
      <c r="AM528">
        <v>0</v>
      </c>
      <c r="AN528">
        <v>0</v>
      </c>
      <c r="AO528">
        <v>0</v>
      </c>
      <c r="AP528">
        <v>0</v>
      </c>
      <c r="AQ528">
        <v>0</v>
      </c>
      <c r="AR528">
        <v>0</v>
      </c>
      <c r="AS528">
        <v>0</v>
      </c>
      <c r="AT528">
        <f t="shared" si="26"/>
        <v>6.7760000000000007</v>
      </c>
      <c r="AU528">
        <f t="shared" si="24"/>
        <v>3.32</v>
      </c>
      <c r="AV528">
        <f t="shared" si="25"/>
        <v>889.99200000000008</v>
      </c>
      <c r="AX528">
        <v>1028</v>
      </c>
      <c r="AY528">
        <v>1123</v>
      </c>
      <c r="AZ528">
        <v>16.100000000000001</v>
      </c>
      <c r="BC528" t="s">
        <v>108</v>
      </c>
    </row>
    <row r="529" spans="3:55" x14ac:dyDescent="0.45">
      <c r="C529">
        <v>63.96</v>
      </c>
      <c r="D529">
        <v>0</v>
      </c>
      <c r="E529">
        <v>0</v>
      </c>
      <c r="F529">
        <v>0</v>
      </c>
      <c r="G529">
        <v>0</v>
      </c>
      <c r="H529">
        <v>0</v>
      </c>
      <c r="I529">
        <v>0</v>
      </c>
      <c r="J529">
        <v>3.76</v>
      </c>
      <c r="K529">
        <v>24.2</v>
      </c>
      <c r="L529">
        <v>0</v>
      </c>
      <c r="M529">
        <v>8.08</v>
      </c>
      <c r="N529">
        <v>0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1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>
        <v>475</v>
      </c>
      <c r="AI529">
        <v>1</v>
      </c>
      <c r="AJ529">
        <v>0</v>
      </c>
      <c r="AK529">
        <v>1</v>
      </c>
      <c r="AL529">
        <v>0</v>
      </c>
      <c r="AM529">
        <v>0</v>
      </c>
      <c r="AN529">
        <v>0</v>
      </c>
      <c r="AO529">
        <v>0</v>
      </c>
      <c r="AP529">
        <v>0</v>
      </c>
      <c r="AQ529">
        <v>0</v>
      </c>
      <c r="AR529">
        <v>0</v>
      </c>
      <c r="AS529">
        <v>0</v>
      </c>
      <c r="AT529">
        <f t="shared" si="26"/>
        <v>6.7760000000000007</v>
      </c>
      <c r="AU529">
        <f t="shared" si="24"/>
        <v>3.32</v>
      </c>
      <c r="AV529">
        <f t="shared" si="25"/>
        <v>889.99200000000008</v>
      </c>
      <c r="AX529">
        <v>1108</v>
      </c>
      <c r="AY529">
        <v>1144</v>
      </c>
      <c r="AZ529">
        <v>12.3</v>
      </c>
      <c r="BC529" t="s">
        <v>108</v>
      </c>
    </row>
    <row r="530" spans="3:55" x14ac:dyDescent="0.45">
      <c r="C530">
        <v>63.96</v>
      </c>
      <c r="D530">
        <v>0</v>
      </c>
      <c r="E530">
        <v>0</v>
      </c>
      <c r="F530">
        <v>0</v>
      </c>
      <c r="G530">
        <v>0</v>
      </c>
      <c r="H530">
        <v>0</v>
      </c>
      <c r="I530">
        <v>0</v>
      </c>
      <c r="J530">
        <v>3.76</v>
      </c>
      <c r="K530">
        <v>24.2</v>
      </c>
      <c r="L530">
        <v>0</v>
      </c>
      <c r="M530">
        <v>8.08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1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>
        <v>475</v>
      </c>
      <c r="AI530">
        <v>2</v>
      </c>
      <c r="AJ530">
        <v>0</v>
      </c>
      <c r="AK530">
        <v>1</v>
      </c>
      <c r="AL530">
        <v>0</v>
      </c>
      <c r="AM530">
        <v>0</v>
      </c>
      <c r="AN530">
        <v>0</v>
      </c>
      <c r="AO530">
        <v>0</v>
      </c>
      <c r="AP530">
        <v>0</v>
      </c>
      <c r="AQ530">
        <v>0</v>
      </c>
      <c r="AR530">
        <v>0</v>
      </c>
      <c r="AS530">
        <v>0</v>
      </c>
      <c r="AT530">
        <f t="shared" si="26"/>
        <v>6.7760000000000007</v>
      </c>
      <c r="AU530">
        <f t="shared" si="24"/>
        <v>3.32</v>
      </c>
      <c r="AV530">
        <f t="shared" si="25"/>
        <v>889.99200000000008</v>
      </c>
      <c r="AX530">
        <v>1174</v>
      </c>
      <c r="AY530">
        <v>1212</v>
      </c>
      <c r="AZ530">
        <v>10.5</v>
      </c>
      <c r="BC530" t="s">
        <v>108</v>
      </c>
    </row>
    <row r="531" spans="3:55" x14ac:dyDescent="0.45">
      <c r="C531">
        <v>63.96</v>
      </c>
      <c r="D531">
        <v>0</v>
      </c>
      <c r="E531">
        <v>0</v>
      </c>
      <c r="F531">
        <v>0</v>
      </c>
      <c r="G531">
        <v>0</v>
      </c>
      <c r="H531">
        <v>0</v>
      </c>
      <c r="I531">
        <v>0</v>
      </c>
      <c r="J531">
        <v>3.76</v>
      </c>
      <c r="K531">
        <v>24.2</v>
      </c>
      <c r="L531">
        <v>0</v>
      </c>
      <c r="M531">
        <v>8.08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>
        <v>475</v>
      </c>
      <c r="AI531">
        <v>4</v>
      </c>
      <c r="AJ531">
        <v>0</v>
      </c>
      <c r="AK531">
        <v>1</v>
      </c>
      <c r="AL531">
        <v>0</v>
      </c>
      <c r="AM531">
        <v>0</v>
      </c>
      <c r="AN531">
        <v>0</v>
      </c>
      <c r="AO531">
        <v>0</v>
      </c>
      <c r="AP531">
        <v>0</v>
      </c>
      <c r="AQ531">
        <v>0</v>
      </c>
      <c r="AR531">
        <v>0</v>
      </c>
      <c r="AS531">
        <v>0</v>
      </c>
      <c r="AT531">
        <f t="shared" si="26"/>
        <v>6.7760000000000007</v>
      </c>
      <c r="AU531">
        <f t="shared" si="24"/>
        <v>3.32</v>
      </c>
      <c r="AV531">
        <f t="shared" si="25"/>
        <v>889.99200000000008</v>
      </c>
      <c r="AX531">
        <v>1109</v>
      </c>
      <c r="AY531">
        <v>1169</v>
      </c>
      <c r="AZ531">
        <v>14.1</v>
      </c>
      <c r="BC531" t="s">
        <v>108</v>
      </c>
    </row>
    <row r="532" spans="3:55" x14ac:dyDescent="0.45">
      <c r="C532">
        <v>63.96</v>
      </c>
      <c r="D532">
        <v>0</v>
      </c>
      <c r="E532">
        <v>0</v>
      </c>
      <c r="F532">
        <v>0</v>
      </c>
      <c r="G532">
        <v>0</v>
      </c>
      <c r="H532">
        <v>0</v>
      </c>
      <c r="I532">
        <v>0</v>
      </c>
      <c r="J532">
        <v>3.76</v>
      </c>
      <c r="K532">
        <v>24.2</v>
      </c>
      <c r="L532">
        <v>0</v>
      </c>
      <c r="M532">
        <v>8.08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>
        <v>500</v>
      </c>
      <c r="AI532">
        <v>0.5</v>
      </c>
      <c r="AJ532">
        <v>0</v>
      </c>
      <c r="AK532">
        <v>1</v>
      </c>
      <c r="AL532">
        <v>0</v>
      </c>
      <c r="AM532">
        <v>0</v>
      </c>
      <c r="AN532">
        <v>0</v>
      </c>
      <c r="AO532">
        <v>0</v>
      </c>
      <c r="AP532">
        <v>0</v>
      </c>
      <c r="AQ532">
        <v>0</v>
      </c>
      <c r="AR532">
        <v>0</v>
      </c>
      <c r="AS532">
        <v>0</v>
      </c>
      <c r="AT532">
        <f t="shared" si="26"/>
        <v>6.7760000000000007</v>
      </c>
      <c r="AU532">
        <f t="shared" si="24"/>
        <v>3.32</v>
      </c>
      <c r="AV532">
        <f t="shared" si="25"/>
        <v>889.99200000000008</v>
      </c>
      <c r="AX532">
        <v>1048</v>
      </c>
      <c r="AY532">
        <v>1105</v>
      </c>
      <c r="AZ532">
        <v>13.4</v>
      </c>
      <c r="BC532" t="s">
        <v>108</v>
      </c>
    </row>
    <row r="533" spans="3:55" x14ac:dyDescent="0.45">
      <c r="C533">
        <v>63.96</v>
      </c>
      <c r="D533">
        <v>0</v>
      </c>
      <c r="E533">
        <v>0</v>
      </c>
      <c r="F533">
        <v>0</v>
      </c>
      <c r="G533">
        <v>0</v>
      </c>
      <c r="H533">
        <v>0</v>
      </c>
      <c r="I533">
        <v>0</v>
      </c>
      <c r="J533">
        <v>3.76</v>
      </c>
      <c r="K533">
        <v>24.2</v>
      </c>
      <c r="L533">
        <v>0</v>
      </c>
      <c r="M533">
        <v>8.08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500</v>
      </c>
      <c r="AI533">
        <v>1</v>
      </c>
      <c r="AJ533">
        <v>0</v>
      </c>
      <c r="AK533">
        <v>1</v>
      </c>
      <c r="AL533">
        <v>0</v>
      </c>
      <c r="AM533">
        <v>0</v>
      </c>
      <c r="AN533">
        <v>0</v>
      </c>
      <c r="AO533">
        <v>0</v>
      </c>
      <c r="AP533">
        <v>0</v>
      </c>
      <c r="AQ533">
        <v>0</v>
      </c>
      <c r="AR533">
        <v>0</v>
      </c>
      <c r="AS533">
        <v>0</v>
      </c>
      <c r="AT533">
        <f t="shared" si="26"/>
        <v>6.7760000000000007</v>
      </c>
      <c r="AU533">
        <f t="shared" si="24"/>
        <v>3.32</v>
      </c>
      <c r="AV533">
        <f t="shared" si="25"/>
        <v>889.99200000000008</v>
      </c>
      <c r="AX533">
        <v>1039</v>
      </c>
      <c r="AY533">
        <v>1085</v>
      </c>
      <c r="AZ533">
        <v>15.1</v>
      </c>
      <c r="BB533" t="s">
        <v>250</v>
      </c>
      <c r="BC533" t="s">
        <v>108</v>
      </c>
    </row>
    <row r="534" spans="3:55" x14ac:dyDescent="0.45">
      <c r="C534">
        <v>63.96</v>
      </c>
      <c r="D534">
        <v>0</v>
      </c>
      <c r="E534">
        <v>0</v>
      </c>
      <c r="F534">
        <v>0</v>
      </c>
      <c r="G534">
        <v>0</v>
      </c>
      <c r="H534">
        <v>0</v>
      </c>
      <c r="I534">
        <v>0</v>
      </c>
      <c r="J534">
        <v>3.76</v>
      </c>
      <c r="K534">
        <v>24.2</v>
      </c>
      <c r="L534">
        <v>0</v>
      </c>
      <c r="M534">
        <v>8.08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500</v>
      </c>
      <c r="AI534">
        <v>2</v>
      </c>
      <c r="AJ534">
        <v>0</v>
      </c>
      <c r="AK534">
        <v>1</v>
      </c>
      <c r="AL534">
        <v>0</v>
      </c>
      <c r="AM534">
        <v>0</v>
      </c>
      <c r="AN534">
        <v>0</v>
      </c>
      <c r="AO534">
        <v>0</v>
      </c>
      <c r="AP534">
        <v>0</v>
      </c>
      <c r="AQ534">
        <v>0</v>
      </c>
      <c r="AR534">
        <v>0</v>
      </c>
      <c r="AS534">
        <v>0</v>
      </c>
      <c r="AT534">
        <f t="shared" si="26"/>
        <v>6.7760000000000007</v>
      </c>
      <c r="AU534">
        <f t="shared" si="24"/>
        <v>3.32</v>
      </c>
      <c r="AV534">
        <f t="shared" si="25"/>
        <v>889.99200000000008</v>
      </c>
      <c r="AX534">
        <v>1069</v>
      </c>
      <c r="AY534">
        <v>1104</v>
      </c>
      <c r="AZ534">
        <v>14.7</v>
      </c>
      <c r="BB534" t="s">
        <v>250</v>
      </c>
      <c r="BC534" t="s">
        <v>108</v>
      </c>
    </row>
    <row r="535" spans="3:55" x14ac:dyDescent="0.45">
      <c r="C535">
        <v>63.96</v>
      </c>
      <c r="D535">
        <v>0</v>
      </c>
      <c r="E535">
        <v>0</v>
      </c>
      <c r="F535">
        <v>0</v>
      </c>
      <c r="G535">
        <v>0</v>
      </c>
      <c r="H535">
        <v>0</v>
      </c>
      <c r="I535">
        <v>0</v>
      </c>
      <c r="J535">
        <v>3.76</v>
      </c>
      <c r="K535">
        <v>24.2</v>
      </c>
      <c r="L535">
        <v>0</v>
      </c>
      <c r="M535">
        <v>8.08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>
        <v>500</v>
      </c>
      <c r="AI535">
        <v>4</v>
      </c>
      <c r="AJ535">
        <v>0</v>
      </c>
      <c r="AK535">
        <v>1</v>
      </c>
      <c r="AL535">
        <v>0</v>
      </c>
      <c r="AM535">
        <v>0</v>
      </c>
      <c r="AN535">
        <v>0</v>
      </c>
      <c r="AO535">
        <v>0</v>
      </c>
      <c r="AP535">
        <v>0</v>
      </c>
      <c r="AQ535">
        <v>0</v>
      </c>
      <c r="AR535">
        <v>0</v>
      </c>
      <c r="AS535">
        <v>0</v>
      </c>
      <c r="AT535">
        <f t="shared" si="26"/>
        <v>6.7760000000000007</v>
      </c>
      <c r="AU535">
        <f t="shared" si="24"/>
        <v>3.32</v>
      </c>
      <c r="AV535">
        <f t="shared" si="25"/>
        <v>889.99200000000008</v>
      </c>
      <c r="AX535">
        <v>1111</v>
      </c>
      <c r="AY535">
        <v>1148</v>
      </c>
      <c r="AZ535">
        <v>15.5</v>
      </c>
      <c r="BB535" t="s">
        <v>282</v>
      </c>
      <c r="BC535" t="s">
        <v>108</v>
      </c>
    </row>
    <row r="536" spans="3:55" x14ac:dyDescent="0.45">
      <c r="C536">
        <v>63.96</v>
      </c>
      <c r="D536">
        <v>0</v>
      </c>
      <c r="E536">
        <v>0</v>
      </c>
      <c r="F536">
        <v>0</v>
      </c>
      <c r="G536">
        <v>0</v>
      </c>
      <c r="H536">
        <v>0</v>
      </c>
      <c r="I536">
        <v>0</v>
      </c>
      <c r="J536">
        <v>3.76</v>
      </c>
      <c r="K536">
        <v>24.2</v>
      </c>
      <c r="L536">
        <v>0</v>
      </c>
      <c r="M536">
        <v>8.08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>
        <v>525</v>
      </c>
      <c r="AI536">
        <v>0.5</v>
      </c>
      <c r="AJ536">
        <v>0</v>
      </c>
      <c r="AK536">
        <v>1</v>
      </c>
      <c r="AL536">
        <v>0</v>
      </c>
      <c r="AM536">
        <v>0</v>
      </c>
      <c r="AN536">
        <v>0</v>
      </c>
      <c r="AO536">
        <v>0</v>
      </c>
      <c r="AP536">
        <v>0</v>
      </c>
      <c r="AQ536">
        <v>0</v>
      </c>
      <c r="AR536">
        <v>0</v>
      </c>
      <c r="AS536">
        <v>0</v>
      </c>
      <c r="AT536">
        <f t="shared" si="26"/>
        <v>6.7760000000000007</v>
      </c>
      <c r="AU536">
        <f t="shared" si="24"/>
        <v>3.32</v>
      </c>
      <c r="AV536">
        <f t="shared" si="25"/>
        <v>889.99200000000008</v>
      </c>
      <c r="AX536">
        <v>996</v>
      </c>
      <c r="AY536">
        <v>1043</v>
      </c>
      <c r="AZ536">
        <v>15.4</v>
      </c>
      <c r="BB536" t="s">
        <v>282</v>
      </c>
      <c r="BC536" t="s">
        <v>108</v>
      </c>
    </row>
    <row r="537" spans="3:55" x14ac:dyDescent="0.45">
      <c r="C537">
        <v>63.96</v>
      </c>
      <c r="D537">
        <v>0</v>
      </c>
      <c r="E537">
        <v>0</v>
      </c>
      <c r="F537">
        <v>0</v>
      </c>
      <c r="G537">
        <v>0</v>
      </c>
      <c r="H537">
        <v>0</v>
      </c>
      <c r="I537">
        <v>0</v>
      </c>
      <c r="J537">
        <v>3.76</v>
      </c>
      <c r="K537">
        <v>24.2</v>
      </c>
      <c r="L537">
        <v>0</v>
      </c>
      <c r="M537">
        <v>8.08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1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0</v>
      </c>
      <c r="AH537">
        <v>525</v>
      </c>
      <c r="AI537">
        <v>1</v>
      </c>
      <c r="AJ537">
        <v>0</v>
      </c>
      <c r="AK537">
        <v>1</v>
      </c>
      <c r="AL537">
        <v>0</v>
      </c>
      <c r="AM537">
        <v>0</v>
      </c>
      <c r="AN537">
        <v>0</v>
      </c>
      <c r="AO537">
        <v>0</v>
      </c>
      <c r="AP537">
        <v>0</v>
      </c>
      <c r="AQ537">
        <v>0</v>
      </c>
      <c r="AR537">
        <v>0</v>
      </c>
      <c r="AS537">
        <v>0</v>
      </c>
      <c r="AT537">
        <f t="shared" si="26"/>
        <v>6.7760000000000007</v>
      </c>
      <c r="AU537">
        <f t="shared" si="24"/>
        <v>3.32</v>
      </c>
      <c r="AV537">
        <f t="shared" si="25"/>
        <v>889.99200000000008</v>
      </c>
      <c r="AX537">
        <v>969</v>
      </c>
      <c r="AY537">
        <v>1017</v>
      </c>
      <c r="AZ537">
        <v>15.6</v>
      </c>
      <c r="BB537" t="s">
        <v>282</v>
      </c>
      <c r="BC537" t="s">
        <v>108</v>
      </c>
    </row>
    <row r="538" spans="3:55" x14ac:dyDescent="0.45">
      <c r="C538">
        <v>63.96</v>
      </c>
      <c r="D538">
        <v>0</v>
      </c>
      <c r="E538">
        <v>0</v>
      </c>
      <c r="F538">
        <v>0</v>
      </c>
      <c r="G538">
        <v>0</v>
      </c>
      <c r="H538">
        <v>0</v>
      </c>
      <c r="I538">
        <v>0</v>
      </c>
      <c r="J538">
        <v>3.76</v>
      </c>
      <c r="K538">
        <v>24.2</v>
      </c>
      <c r="L538">
        <v>0</v>
      </c>
      <c r="M538">
        <v>8.08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1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525</v>
      </c>
      <c r="AI538">
        <v>2</v>
      </c>
      <c r="AJ538">
        <v>0</v>
      </c>
      <c r="AK538">
        <v>1</v>
      </c>
      <c r="AL538">
        <v>0</v>
      </c>
      <c r="AM538">
        <v>0</v>
      </c>
      <c r="AN538">
        <v>0</v>
      </c>
      <c r="AO538">
        <v>0</v>
      </c>
      <c r="AP538">
        <v>0</v>
      </c>
      <c r="AQ538">
        <v>0</v>
      </c>
      <c r="AR538">
        <v>0</v>
      </c>
      <c r="AS538">
        <v>0</v>
      </c>
      <c r="AT538">
        <f t="shared" si="26"/>
        <v>6.7760000000000007</v>
      </c>
      <c r="AU538">
        <f t="shared" si="24"/>
        <v>3.32</v>
      </c>
      <c r="AV538">
        <f t="shared" si="25"/>
        <v>889.99200000000008</v>
      </c>
      <c r="AX538">
        <v>976</v>
      </c>
      <c r="AY538">
        <v>1024</v>
      </c>
      <c r="AZ538">
        <v>16.399999999999999</v>
      </c>
      <c r="BB538" t="s">
        <v>350</v>
      </c>
      <c r="BC538" t="s">
        <v>108</v>
      </c>
    </row>
    <row r="539" spans="3:55" x14ac:dyDescent="0.45">
      <c r="C539">
        <v>63.96</v>
      </c>
      <c r="D539">
        <v>0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3.76</v>
      </c>
      <c r="K539">
        <v>24.2</v>
      </c>
      <c r="L539">
        <v>0</v>
      </c>
      <c r="M539">
        <v>8.08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1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0</v>
      </c>
      <c r="AH539">
        <v>525</v>
      </c>
      <c r="AI539">
        <v>4</v>
      </c>
      <c r="AJ539">
        <v>0</v>
      </c>
      <c r="AK539">
        <v>1</v>
      </c>
      <c r="AL539">
        <v>0</v>
      </c>
      <c r="AM539">
        <v>0</v>
      </c>
      <c r="AN539">
        <v>0</v>
      </c>
      <c r="AO539">
        <v>0</v>
      </c>
      <c r="AP539">
        <v>0</v>
      </c>
      <c r="AQ539">
        <v>0</v>
      </c>
      <c r="AR539">
        <v>0</v>
      </c>
      <c r="AS539">
        <v>0</v>
      </c>
      <c r="AT539">
        <f t="shared" si="26"/>
        <v>6.7760000000000007</v>
      </c>
      <c r="AU539">
        <f t="shared" si="24"/>
        <v>3.32</v>
      </c>
      <c r="AV539">
        <f t="shared" si="25"/>
        <v>889.99200000000008</v>
      </c>
      <c r="AX539">
        <v>1026</v>
      </c>
      <c r="AY539">
        <v>1059</v>
      </c>
      <c r="AZ539">
        <v>15.9</v>
      </c>
      <c r="BB539" t="s">
        <v>350</v>
      </c>
      <c r="BC539" t="s">
        <v>108</v>
      </c>
    </row>
    <row r="540" spans="3:55" x14ac:dyDescent="0.45">
      <c r="C540">
        <v>73.05</v>
      </c>
      <c r="D540">
        <v>0</v>
      </c>
      <c r="E540">
        <v>0</v>
      </c>
      <c r="F540">
        <v>0</v>
      </c>
      <c r="G540">
        <v>0</v>
      </c>
      <c r="H540">
        <v>0</v>
      </c>
      <c r="I540">
        <v>0</v>
      </c>
      <c r="J540">
        <v>4.49</v>
      </c>
      <c r="K540">
        <v>21.09</v>
      </c>
      <c r="L540">
        <v>0</v>
      </c>
      <c r="M540">
        <v>1.37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1</v>
      </c>
      <c r="W540">
        <v>0</v>
      </c>
      <c r="X540">
        <v>0</v>
      </c>
      <c r="Y540">
        <v>0</v>
      </c>
      <c r="Z540">
        <v>1</v>
      </c>
      <c r="AA540">
        <v>0</v>
      </c>
      <c r="AB540">
        <v>0</v>
      </c>
      <c r="AC540">
        <v>0</v>
      </c>
      <c r="AD540">
        <v>0</v>
      </c>
      <c r="AE540">
        <v>1</v>
      </c>
      <c r="AF540">
        <v>0</v>
      </c>
      <c r="AG540">
        <v>0</v>
      </c>
      <c r="AH540">
        <v>0</v>
      </c>
      <c r="AI540">
        <v>0</v>
      </c>
      <c r="AJ540">
        <v>0</v>
      </c>
      <c r="AK540">
        <v>0</v>
      </c>
      <c r="AL540">
        <v>0</v>
      </c>
      <c r="AM540">
        <v>0</v>
      </c>
      <c r="AN540">
        <v>0</v>
      </c>
      <c r="AO540">
        <v>0</v>
      </c>
      <c r="AP540">
        <v>0</v>
      </c>
      <c r="AQ540">
        <v>0</v>
      </c>
      <c r="AR540">
        <v>0</v>
      </c>
      <c r="AS540">
        <v>0</v>
      </c>
      <c r="AT540">
        <f t="shared" si="26"/>
        <v>5.9052000000000007</v>
      </c>
      <c r="AU540">
        <f t="shared" si="24"/>
        <v>1.2050000000000001</v>
      </c>
      <c r="AV540">
        <f t="shared" si="25"/>
        <v>856.77300000000002</v>
      </c>
      <c r="AW540">
        <v>66.900000000000006</v>
      </c>
      <c r="AX540">
        <v>806</v>
      </c>
      <c r="BB540" t="s">
        <v>277</v>
      </c>
      <c r="BC540" t="s">
        <v>60</v>
      </c>
    </row>
    <row r="541" spans="3:55" x14ac:dyDescent="0.45">
      <c r="C541">
        <v>73.05</v>
      </c>
      <c r="D541">
        <v>0</v>
      </c>
      <c r="E541">
        <v>0</v>
      </c>
      <c r="F541">
        <v>0</v>
      </c>
      <c r="G541">
        <v>0</v>
      </c>
      <c r="H541">
        <v>0</v>
      </c>
      <c r="I541">
        <v>0</v>
      </c>
      <c r="J541">
        <v>4.49</v>
      </c>
      <c r="K541">
        <v>21.09</v>
      </c>
      <c r="L541">
        <v>0</v>
      </c>
      <c r="M541">
        <v>1.37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1</v>
      </c>
      <c r="W541">
        <v>0</v>
      </c>
      <c r="X541">
        <v>0</v>
      </c>
      <c r="Y541">
        <v>0</v>
      </c>
      <c r="Z541">
        <v>1</v>
      </c>
      <c r="AA541">
        <v>0</v>
      </c>
      <c r="AB541">
        <v>0</v>
      </c>
      <c r="AC541">
        <v>0</v>
      </c>
      <c r="AD541">
        <v>0</v>
      </c>
      <c r="AE541">
        <v>1</v>
      </c>
      <c r="AF541">
        <v>0</v>
      </c>
      <c r="AG541">
        <v>0</v>
      </c>
      <c r="AH541">
        <v>0</v>
      </c>
      <c r="AI541">
        <v>0</v>
      </c>
      <c r="AJ541">
        <v>0</v>
      </c>
      <c r="AK541">
        <v>0</v>
      </c>
      <c r="AL541">
        <v>0</v>
      </c>
      <c r="AM541">
        <v>0</v>
      </c>
      <c r="AN541">
        <v>0</v>
      </c>
      <c r="AO541">
        <v>0</v>
      </c>
      <c r="AP541">
        <v>0</v>
      </c>
      <c r="AQ541">
        <v>0</v>
      </c>
      <c r="AR541">
        <v>0</v>
      </c>
      <c r="AS541">
        <v>0</v>
      </c>
      <c r="AT541">
        <f t="shared" si="26"/>
        <v>5.9052000000000007</v>
      </c>
      <c r="AU541">
        <f t="shared" si="24"/>
        <v>1.2050000000000001</v>
      </c>
      <c r="AV541">
        <f t="shared" si="25"/>
        <v>856.77300000000002</v>
      </c>
      <c r="AW541">
        <v>54.2</v>
      </c>
      <c r="AX541">
        <v>380</v>
      </c>
      <c r="BB541" t="s">
        <v>278</v>
      </c>
      <c r="BC541" t="s">
        <v>60</v>
      </c>
    </row>
    <row r="542" spans="3:55" x14ac:dyDescent="0.45">
      <c r="C542">
        <v>78.430000000000007</v>
      </c>
      <c r="D542">
        <v>0</v>
      </c>
      <c r="E542">
        <v>0</v>
      </c>
      <c r="F542">
        <v>0</v>
      </c>
      <c r="G542">
        <v>0</v>
      </c>
      <c r="H542">
        <v>0</v>
      </c>
      <c r="I542">
        <v>0</v>
      </c>
      <c r="J542">
        <v>2.52</v>
      </c>
      <c r="K542">
        <v>15.190000000000001</v>
      </c>
      <c r="L542">
        <v>0</v>
      </c>
      <c r="M542">
        <v>3.8699999999999997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1</v>
      </c>
      <c r="W542">
        <v>0</v>
      </c>
      <c r="X542">
        <v>0</v>
      </c>
      <c r="Y542">
        <v>0</v>
      </c>
      <c r="Z542">
        <v>1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1</v>
      </c>
      <c r="AG542">
        <v>0</v>
      </c>
      <c r="AH542">
        <v>0</v>
      </c>
      <c r="AI542">
        <v>0</v>
      </c>
      <c r="AJ542">
        <v>0</v>
      </c>
      <c r="AK542">
        <v>0</v>
      </c>
      <c r="AL542">
        <v>0</v>
      </c>
      <c r="AM542">
        <v>0</v>
      </c>
      <c r="AN542">
        <v>0</v>
      </c>
      <c r="AO542">
        <v>0</v>
      </c>
      <c r="AP542">
        <v>0</v>
      </c>
      <c r="AQ542">
        <v>0</v>
      </c>
      <c r="AR542">
        <v>0</v>
      </c>
      <c r="AS542">
        <v>0</v>
      </c>
      <c r="AT542">
        <f t="shared" si="26"/>
        <v>4.2532000000000005</v>
      </c>
      <c r="AU542">
        <f t="shared" si="24"/>
        <v>1.7099999999999997</v>
      </c>
      <c r="AV542">
        <f t="shared" si="25"/>
        <v>880.86599999999999</v>
      </c>
      <c r="AW542">
        <v>50</v>
      </c>
      <c r="AX542">
        <v>350</v>
      </c>
      <c r="BB542" t="s">
        <v>279</v>
      </c>
      <c r="BC542" t="s">
        <v>60</v>
      </c>
    </row>
    <row r="543" spans="3:55" x14ac:dyDescent="0.45">
      <c r="C543">
        <v>78.83</v>
      </c>
      <c r="D543">
        <v>0</v>
      </c>
      <c r="E543">
        <v>0</v>
      </c>
      <c r="F543">
        <v>0</v>
      </c>
      <c r="G543">
        <v>0</v>
      </c>
      <c r="H543">
        <v>0</v>
      </c>
      <c r="I543">
        <v>0</v>
      </c>
      <c r="J543">
        <v>2.4299999999999997</v>
      </c>
      <c r="K543">
        <v>15</v>
      </c>
      <c r="L543">
        <v>0</v>
      </c>
      <c r="M543">
        <v>3.74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1</v>
      </c>
      <c r="W543">
        <v>0</v>
      </c>
      <c r="X543">
        <v>0</v>
      </c>
      <c r="Y543">
        <v>0</v>
      </c>
      <c r="Z543">
        <v>1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1</v>
      </c>
      <c r="AG543">
        <v>0</v>
      </c>
      <c r="AH543">
        <v>0</v>
      </c>
      <c r="AI543">
        <v>0</v>
      </c>
      <c r="AJ543">
        <v>0</v>
      </c>
      <c r="AK543">
        <v>0</v>
      </c>
      <c r="AL543">
        <v>0</v>
      </c>
      <c r="AM543">
        <v>0</v>
      </c>
      <c r="AN543">
        <v>0</v>
      </c>
      <c r="AO543">
        <v>0</v>
      </c>
      <c r="AP543">
        <v>0</v>
      </c>
      <c r="AQ543">
        <v>0</v>
      </c>
      <c r="AR543">
        <v>0</v>
      </c>
      <c r="AS543">
        <v>0</v>
      </c>
      <c r="AT543">
        <f t="shared" si="26"/>
        <v>4.2</v>
      </c>
      <c r="AU543">
        <f t="shared" si="24"/>
        <v>1.6516666666666668</v>
      </c>
      <c r="AV543">
        <f t="shared" si="25"/>
        <v>880.94099999999992</v>
      </c>
      <c r="AW543">
        <v>59.2</v>
      </c>
      <c r="AX543">
        <v>282</v>
      </c>
      <c r="BB543" t="s">
        <v>280</v>
      </c>
      <c r="BC543" t="s">
        <v>60</v>
      </c>
    </row>
    <row r="544" spans="3:55" x14ac:dyDescent="0.45">
      <c r="C544">
        <v>78.23</v>
      </c>
      <c r="D544">
        <v>0</v>
      </c>
      <c r="E544">
        <v>0</v>
      </c>
      <c r="F544">
        <v>0</v>
      </c>
      <c r="G544">
        <v>0</v>
      </c>
      <c r="H544">
        <v>0</v>
      </c>
      <c r="I544">
        <v>0</v>
      </c>
      <c r="J544">
        <v>2.5700000000000003</v>
      </c>
      <c r="K544">
        <v>15.22</v>
      </c>
      <c r="L544">
        <v>0</v>
      </c>
      <c r="M544">
        <v>3.9800000000000004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1</v>
      </c>
      <c r="W544">
        <v>0</v>
      </c>
      <c r="X544">
        <v>0</v>
      </c>
      <c r="Y544">
        <v>0</v>
      </c>
      <c r="Z544">
        <v>1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1</v>
      </c>
      <c r="AG544">
        <v>0</v>
      </c>
      <c r="AH544">
        <v>0</v>
      </c>
      <c r="AI544">
        <v>0</v>
      </c>
      <c r="AJ544">
        <v>0</v>
      </c>
      <c r="AK544">
        <v>0</v>
      </c>
      <c r="AL544">
        <v>0</v>
      </c>
      <c r="AM544">
        <v>0</v>
      </c>
      <c r="AN544">
        <v>0</v>
      </c>
      <c r="AO544">
        <v>0</v>
      </c>
      <c r="AP544">
        <v>0</v>
      </c>
      <c r="AQ544">
        <v>0</v>
      </c>
      <c r="AR544">
        <v>0</v>
      </c>
      <c r="AS544">
        <v>0</v>
      </c>
      <c r="AT544">
        <f t="shared" si="26"/>
        <v>4.2616000000000005</v>
      </c>
      <c r="AU544">
        <f t="shared" si="24"/>
        <v>1.7550000000000003</v>
      </c>
      <c r="AV544">
        <f t="shared" si="25"/>
        <v>880.98299999999995</v>
      </c>
      <c r="AW544">
        <v>61.6</v>
      </c>
      <c r="AX544">
        <v>380</v>
      </c>
      <c r="BB544" t="s">
        <v>281</v>
      </c>
      <c r="BC544" t="s">
        <v>60</v>
      </c>
    </row>
    <row r="545" spans="3:55" x14ac:dyDescent="0.45">
      <c r="C545">
        <v>78.180000000000007</v>
      </c>
      <c r="D545">
        <v>0</v>
      </c>
      <c r="E545">
        <v>0</v>
      </c>
      <c r="F545">
        <v>0</v>
      </c>
      <c r="G545">
        <v>0</v>
      </c>
      <c r="H545">
        <v>0</v>
      </c>
      <c r="I545">
        <v>0</v>
      </c>
      <c r="J545">
        <v>2.59</v>
      </c>
      <c r="K545">
        <v>15.28</v>
      </c>
      <c r="L545">
        <v>0</v>
      </c>
      <c r="M545">
        <v>3.94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1</v>
      </c>
      <c r="W545">
        <v>0</v>
      </c>
      <c r="X545">
        <v>0</v>
      </c>
      <c r="Y545">
        <v>0</v>
      </c>
      <c r="Z545">
        <v>1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1</v>
      </c>
      <c r="AG545">
        <v>0</v>
      </c>
      <c r="AH545">
        <v>0</v>
      </c>
      <c r="AI545">
        <v>0</v>
      </c>
      <c r="AJ545">
        <v>0</v>
      </c>
      <c r="AK545">
        <v>0</v>
      </c>
      <c r="AL545">
        <v>0</v>
      </c>
      <c r="AM545">
        <v>0</v>
      </c>
      <c r="AN545">
        <v>0</v>
      </c>
      <c r="AO545">
        <v>0</v>
      </c>
      <c r="AP545">
        <v>0</v>
      </c>
      <c r="AQ545">
        <v>0</v>
      </c>
      <c r="AR545">
        <v>0</v>
      </c>
      <c r="AS545">
        <v>0</v>
      </c>
      <c r="AT545">
        <f t="shared" si="26"/>
        <v>4.2784000000000004</v>
      </c>
      <c r="AU545">
        <f t="shared" si="24"/>
        <v>1.7449999999999999</v>
      </c>
      <c r="AV545">
        <f t="shared" si="25"/>
        <v>880.67700000000002</v>
      </c>
      <c r="AW545">
        <v>47.8</v>
      </c>
      <c r="AX545">
        <v>515</v>
      </c>
      <c r="BB545" t="s">
        <v>282</v>
      </c>
      <c r="BC545" t="s">
        <v>60</v>
      </c>
    </row>
    <row r="546" spans="3:55" x14ac:dyDescent="0.45">
      <c r="C546">
        <v>78.61</v>
      </c>
      <c r="D546">
        <v>0</v>
      </c>
      <c r="E546">
        <v>0</v>
      </c>
      <c r="F546">
        <v>0</v>
      </c>
      <c r="G546">
        <v>0</v>
      </c>
      <c r="H546">
        <v>0</v>
      </c>
      <c r="I546">
        <v>0</v>
      </c>
      <c r="J546">
        <v>2.4</v>
      </c>
      <c r="K546">
        <v>15.040000000000001</v>
      </c>
      <c r="L546">
        <v>0</v>
      </c>
      <c r="M546">
        <v>3.95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1</v>
      </c>
      <c r="W546">
        <v>0</v>
      </c>
      <c r="X546">
        <v>0</v>
      </c>
      <c r="Y546">
        <v>0</v>
      </c>
      <c r="Z546">
        <v>1</v>
      </c>
      <c r="AA546">
        <v>0</v>
      </c>
      <c r="AB546">
        <v>0</v>
      </c>
      <c r="AC546">
        <v>0</v>
      </c>
      <c r="AD546">
        <v>0</v>
      </c>
      <c r="AE546">
        <v>0</v>
      </c>
      <c r="AF546">
        <v>1</v>
      </c>
      <c r="AG546">
        <v>0</v>
      </c>
      <c r="AH546">
        <v>0</v>
      </c>
      <c r="AI546">
        <v>0</v>
      </c>
      <c r="AJ546">
        <v>0</v>
      </c>
      <c r="AK546">
        <v>0</v>
      </c>
      <c r="AL546">
        <v>0</v>
      </c>
      <c r="AM546">
        <v>0</v>
      </c>
      <c r="AN546">
        <v>0</v>
      </c>
      <c r="AO546">
        <v>0</v>
      </c>
      <c r="AP546">
        <v>0</v>
      </c>
      <c r="AQ546">
        <v>0</v>
      </c>
      <c r="AR546">
        <v>0</v>
      </c>
      <c r="AS546">
        <v>0</v>
      </c>
      <c r="AT546">
        <f t="shared" si="26"/>
        <v>4.2112000000000007</v>
      </c>
      <c r="AU546">
        <f t="shared" si="24"/>
        <v>1.7166666666666666</v>
      </c>
      <c r="AV546">
        <f t="shared" si="25"/>
        <v>882.03000000000009</v>
      </c>
      <c r="AW546">
        <v>53.2</v>
      </c>
      <c r="AX546">
        <v>649</v>
      </c>
      <c r="BB546" t="s">
        <v>283</v>
      </c>
      <c r="BC546" t="s">
        <v>60</v>
      </c>
    </row>
    <row r="547" spans="3:55" x14ac:dyDescent="0.45">
      <c r="C547">
        <v>83.84</v>
      </c>
      <c r="D547">
        <v>0</v>
      </c>
      <c r="E547">
        <v>0</v>
      </c>
      <c r="F547">
        <v>0</v>
      </c>
      <c r="G547">
        <v>0</v>
      </c>
      <c r="H547">
        <v>0</v>
      </c>
      <c r="I547">
        <v>0</v>
      </c>
      <c r="J547">
        <v>1.51</v>
      </c>
      <c r="K547">
        <v>14.04</v>
      </c>
      <c r="L547">
        <v>0</v>
      </c>
      <c r="M547">
        <v>0.61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1</v>
      </c>
      <c r="W547">
        <v>0</v>
      </c>
      <c r="X547">
        <v>0</v>
      </c>
      <c r="Y547">
        <v>0</v>
      </c>
      <c r="Z547">
        <v>1</v>
      </c>
      <c r="AA547">
        <v>0</v>
      </c>
      <c r="AB547">
        <v>0</v>
      </c>
      <c r="AC547">
        <v>0</v>
      </c>
      <c r="AD547">
        <v>0</v>
      </c>
      <c r="AE547">
        <v>1</v>
      </c>
      <c r="AF547">
        <v>0</v>
      </c>
      <c r="AG547">
        <v>0</v>
      </c>
      <c r="AH547">
        <v>0</v>
      </c>
      <c r="AI547">
        <v>0</v>
      </c>
      <c r="AJ547">
        <v>0</v>
      </c>
      <c r="AK547">
        <v>0</v>
      </c>
      <c r="AL547">
        <v>0</v>
      </c>
      <c r="AM547">
        <v>0</v>
      </c>
      <c r="AN547">
        <v>0</v>
      </c>
      <c r="AO547">
        <v>0</v>
      </c>
      <c r="AP547">
        <v>0</v>
      </c>
      <c r="AQ547">
        <v>0</v>
      </c>
      <c r="AR547">
        <v>0</v>
      </c>
      <c r="AS547">
        <v>0</v>
      </c>
      <c r="AT547">
        <f t="shared" si="26"/>
        <v>3.9312</v>
      </c>
      <c r="AU547">
        <f t="shared" si="24"/>
        <v>0.45499999999999996</v>
      </c>
      <c r="AV547">
        <f t="shared" si="25"/>
        <v>874.14300000000003</v>
      </c>
      <c r="AW547">
        <v>75</v>
      </c>
      <c r="AX547">
        <v>499</v>
      </c>
      <c r="BB547" t="s">
        <v>284</v>
      </c>
      <c r="BC547" t="s">
        <v>60</v>
      </c>
    </row>
    <row r="548" spans="3:55" x14ac:dyDescent="0.45">
      <c r="C548">
        <v>61</v>
      </c>
      <c r="D548">
        <v>0</v>
      </c>
      <c r="E548">
        <v>0</v>
      </c>
      <c r="F548">
        <v>0</v>
      </c>
      <c r="G548">
        <v>0</v>
      </c>
      <c r="H548">
        <v>0</v>
      </c>
      <c r="I548">
        <v>0</v>
      </c>
      <c r="J548">
        <v>9</v>
      </c>
      <c r="K548">
        <v>18.3</v>
      </c>
      <c r="L548">
        <v>0</v>
      </c>
      <c r="M548">
        <v>11.7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1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0</v>
      </c>
      <c r="AI548">
        <v>0</v>
      </c>
      <c r="AJ548">
        <v>0</v>
      </c>
      <c r="AK548">
        <v>0</v>
      </c>
      <c r="AL548">
        <v>0</v>
      </c>
      <c r="AM548">
        <v>0</v>
      </c>
      <c r="AN548">
        <v>0</v>
      </c>
      <c r="AO548">
        <v>0</v>
      </c>
      <c r="AP548">
        <v>0</v>
      </c>
      <c r="AQ548">
        <v>0</v>
      </c>
      <c r="AR548">
        <v>0</v>
      </c>
      <c r="AS548">
        <v>0</v>
      </c>
      <c r="AT548">
        <f t="shared" si="26"/>
        <v>5.1240000000000006</v>
      </c>
      <c r="AU548">
        <f t="shared" si="24"/>
        <v>5.4</v>
      </c>
      <c r="AV548">
        <f t="shared" si="25"/>
        <v>869.04</v>
      </c>
      <c r="AW548">
        <v>56</v>
      </c>
    </row>
    <row r="549" spans="3:55" x14ac:dyDescent="0.45">
      <c r="C549">
        <v>54</v>
      </c>
      <c r="D549">
        <v>0</v>
      </c>
      <c r="E549">
        <v>0</v>
      </c>
      <c r="F549">
        <v>0</v>
      </c>
      <c r="G549">
        <v>0</v>
      </c>
      <c r="H549">
        <v>0</v>
      </c>
      <c r="I549">
        <v>0</v>
      </c>
      <c r="J549">
        <v>17.2</v>
      </c>
      <c r="K549">
        <v>17.600000000000001</v>
      </c>
      <c r="L549">
        <v>0</v>
      </c>
      <c r="M549">
        <v>11.2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1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0</v>
      </c>
      <c r="AF549">
        <v>0</v>
      </c>
      <c r="AG549">
        <v>0</v>
      </c>
      <c r="AH549">
        <v>0</v>
      </c>
      <c r="AI549">
        <v>0</v>
      </c>
      <c r="AJ549">
        <v>0</v>
      </c>
      <c r="AK549">
        <v>0</v>
      </c>
      <c r="AL549">
        <v>0</v>
      </c>
      <c r="AM549">
        <v>0</v>
      </c>
      <c r="AN549">
        <v>0</v>
      </c>
      <c r="AO549">
        <v>0</v>
      </c>
      <c r="AP549">
        <v>0</v>
      </c>
      <c r="AQ549">
        <v>0</v>
      </c>
      <c r="AR549">
        <v>0</v>
      </c>
      <c r="AS549">
        <v>0</v>
      </c>
      <c r="AT549">
        <f t="shared" si="26"/>
        <v>4.9280000000000008</v>
      </c>
      <c r="AU549">
        <f t="shared" si="24"/>
        <v>6.6</v>
      </c>
      <c r="AV549">
        <f t="shared" si="25"/>
        <v>810.3599999999999</v>
      </c>
      <c r="AW549">
        <v>63</v>
      </c>
    </row>
    <row r="550" spans="3:55" x14ac:dyDescent="0.45">
      <c r="C550">
        <v>56.1</v>
      </c>
      <c r="D550">
        <v>0</v>
      </c>
      <c r="E550">
        <v>0</v>
      </c>
      <c r="F550">
        <v>0</v>
      </c>
      <c r="G550">
        <v>0</v>
      </c>
      <c r="H550">
        <v>0</v>
      </c>
      <c r="I550">
        <v>0</v>
      </c>
      <c r="J550">
        <v>8.1</v>
      </c>
      <c r="K550">
        <v>25.2</v>
      </c>
      <c r="L550">
        <v>0</v>
      </c>
      <c r="M550">
        <v>10.6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1</v>
      </c>
      <c r="Z550">
        <v>0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>
        <v>0</v>
      </c>
      <c r="AI550">
        <v>0</v>
      </c>
      <c r="AJ550">
        <v>0</v>
      </c>
      <c r="AK550">
        <v>0</v>
      </c>
      <c r="AL550">
        <v>0</v>
      </c>
      <c r="AM550">
        <v>0</v>
      </c>
      <c r="AN550">
        <v>0</v>
      </c>
      <c r="AO550">
        <v>0</v>
      </c>
      <c r="AP550">
        <v>0</v>
      </c>
      <c r="AQ550">
        <v>0</v>
      </c>
      <c r="AR550">
        <v>0</v>
      </c>
      <c r="AS550">
        <v>0</v>
      </c>
      <c r="AT550">
        <f t="shared" si="26"/>
        <v>7.056</v>
      </c>
      <c r="AU550">
        <f t="shared" si="24"/>
        <v>4.8833333333333329</v>
      </c>
      <c r="AV550">
        <f t="shared" si="25"/>
        <v>870.63</v>
      </c>
      <c r="AW550">
        <v>59</v>
      </c>
    </row>
    <row r="551" spans="3:55" x14ac:dyDescent="0.45">
      <c r="C551">
        <v>49.8</v>
      </c>
      <c r="D551">
        <v>0</v>
      </c>
      <c r="E551">
        <v>0</v>
      </c>
      <c r="F551">
        <v>0</v>
      </c>
      <c r="G551">
        <v>0</v>
      </c>
      <c r="H551">
        <v>0</v>
      </c>
      <c r="I551">
        <v>0</v>
      </c>
      <c r="J551">
        <v>15.8</v>
      </c>
      <c r="K551">
        <v>24.2</v>
      </c>
      <c r="L551">
        <v>0</v>
      </c>
      <c r="M551">
        <v>10.199999999999999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>
        <v>0</v>
      </c>
      <c r="AK551">
        <v>0</v>
      </c>
      <c r="AL551">
        <v>0</v>
      </c>
      <c r="AM551">
        <v>0</v>
      </c>
      <c r="AN551">
        <v>0</v>
      </c>
      <c r="AO551">
        <v>0</v>
      </c>
      <c r="AP551">
        <v>0</v>
      </c>
      <c r="AQ551">
        <v>0</v>
      </c>
      <c r="AR551">
        <v>0</v>
      </c>
      <c r="AS551">
        <v>0</v>
      </c>
      <c r="AT551">
        <f t="shared" si="26"/>
        <v>6.7760000000000007</v>
      </c>
      <c r="AU551">
        <f t="shared" si="24"/>
        <v>6.0333333333333332</v>
      </c>
      <c r="AV551">
        <f t="shared" si="25"/>
        <v>815.82</v>
      </c>
      <c r="AW551">
        <v>64</v>
      </c>
    </row>
    <row r="552" spans="3:55" x14ac:dyDescent="0.45">
      <c r="C552">
        <v>78.16</v>
      </c>
      <c r="D552">
        <v>0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15.38</v>
      </c>
      <c r="K552">
        <v>2.52</v>
      </c>
      <c r="L552">
        <v>0</v>
      </c>
      <c r="M552">
        <v>3.94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1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>
        <v>0</v>
      </c>
      <c r="AI552">
        <v>0</v>
      </c>
      <c r="AJ552">
        <v>0</v>
      </c>
      <c r="AK552">
        <v>0</v>
      </c>
      <c r="AL552">
        <v>0</v>
      </c>
      <c r="AM552">
        <v>0</v>
      </c>
      <c r="AN552">
        <v>0</v>
      </c>
      <c r="AO552">
        <v>0</v>
      </c>
      <c r="AP552">
        <v>0</v>
      </c>
      <c r="AQ552">
        <v>0</v>
      </c>
      <c r="AR552">
        <v>0</v>
      </c>
      <c r="AS552">
        <v>0</v>
      </c>
      <c r="AT552">
        <f t="shared" si="26"/>
        <v>0.70560000000000012</v>
      </c>
      <c r="AU552">
        <f t="shared" si="24"/>
        <v>3.8766666666666669</v>
      </c>
      <c r="AV552">
        <f t="shared" si="25"/>
        <v>792.42599999999993</v>
      </c>
      <c r="AW552">
        <v>53</v>
      </c>
    </row>
    <row r="553" spans="3:55" x14ac:dyDescent="0.45">
      <c r="C553">
        <v>73.05</v>
      </c>
      <c r="D553">
        <v>0</v>
      </c>
      <c r="E553">
        <v>0</v>
      </c>
      <c r="F553">
        <v>0</v>
      </c>
      <c r="G553">
        <v>0</v>
      </c>
      <c r="H553">
        <v>0</v>
      </c>
      <c r="I553">
        <v>0</v>
      </c>
      <c r="J553">
        <v>4.49</v>
      </c>
      <c r="K553">
        <v>21.09</v>
      </c>
      <c r="L553">
        <v>0</v>
      </c>
      <c r="M553">
        <v>1.37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1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>
        <v>0</v>
      </c>
      <c r="AI553">
        <v>0</v>
      </c>
      <c r="AJ553">
        <v>0</v>
      </c>
      <c r="AK553">
        <v>0</v>
      </c>
      <c r="AL553">
        <v>0</v>
      </c>
      <c r="AM553">
        <v>0</v>
      </c>
      <c r="AN553">
        <v>0</v>
      </c>
      <c r="AO553">
        <v>0</v>
      </c>
      <c r="AP553">
        <v>0</v>
      </c>
      <c r="AQ553">
        <v>0</v>
      </c>
      <c r="AR553">
        <v>0</v>
      </c>
      <c r="AS553">
        <v>0</v>
      </c>
      <c r="AT553">
        <f t="shared" si="26"/>
        <v>5.9052000000000007</v>
      </c>
      <c r="AU553">
        <f t="shared" si="24"/>
        <v>1.2050000000000001</v>
      </c>
      <c r="AV553">
        <f t="shared" si="25"/>
        <v>856.77300000000002</v>
      </c>
      <c r="AW553">
        <v>54.2</v>
      </c>
    </row>
    <row r="554" spans="3:55" x14ac:dyDescent="0.45">
      <c r="C554">
        <v>76.47</v>
      </c>
      <c r="D554">
        <v>0</v>
      </c>
      <c r="E554">
        <v>0</v>
      </c>
      <c r="F554">
        <v>0</v>
      </c>
      <c r="G554">
        <v>0</v>
      </c>
      <c r="H554">
        <v>0</v>
      </c>
      <c r="I554">
        <v>0</v>
      </c>
      <c r="J554">
        <v>5.88</v>
      </c>
      <c r="K554">
        <v>11.78</v>
      </c>
      <c r="L554">
        <v>0</v>
      </c>
      <c r="M554">
        <v>5.87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1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  <c r="AK554">
        <v>0</v>
      </c>
      <c r="AL554">
        <v>0</v>
      </c>
      <c r="AM554">
        <v>0</v>
      </c>
      <c r="AN554">
        <v>0</v>
      </c>
      <c r="AO554">
        <v>0</v>
      </c>
      <c r="AP554">
        <v>0</v>
      </c>
      <c r="AQ554">
        <v>0</v>
      </c>
      <c r="AR554">
        <v>0</v>
      </c>
      <c r="AS554">
        <v>0</v>
      </c>
      <c r="AT554">
        <f t="shared" si="26"/>
        <v>3.2984</v>
      </c>
      <c r="AU554">
        <f t="shared" si="24"/>
        <v>2.9366666666666665</v>
      </c>
      <c r="AV554">
        <f t="shared" si="25"/>
        <v>866.08199999999999</v>
      </c>
      <c r="AW554">
        <v>56</v>
      </c>
    </row>
    <row r="555" spans="3:55" x14ac:dyDescent="0.45">
      <c r="C555">
        <v>72.22</v>
      </c>
      <c r="D555">
        <v>0</v>
      </c>
      <c r="E555">
        <v>0</v>
      </c>
      <c r="F555">
        <v>0</v>
      </c>
      <c r="G555">
        <v>0</v>
      </c>
      <c r="H555">
        <v>0</v>
      </c>
      <c r="I555">
        <v>0</v>
      </c>
      <c r="J555">
        <v>5.56</v>
      </c>
      <c r="K555">
        <v>16.66</v>
      </c>
      <c r="L555">
        <v>0</v>
      </c>
      <c r="M555">
        <v>5.56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1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>
        <v>0</v>
      </c>
      <c r="AI555">
        <v>0</v>
      </c>
      <c r="AJ555">
        <v>0</v>
      </c>
      <c r="AK555">
        <v>0</v>
      </c>
      <c r="AL555">
        <v>0</v>
      </c>
      <c r="AM555">
        <v>0</v>
      </c>
      <c r="AN555">
        <v>0</v>
      </c>
      <c r="AO555">
        <v>0</v>
      </c>
      <c r="AP555">
        <v>0</v>
      </c>
      <c r="AQ555">
        <v>0</v>
      </c>
      <c r="AR555">
        <v>0</v>
      </c>
      <c r="AS555">
        <v>0</v>
      </c>
      <c r="AT555">
        <f t="shared" si="26"/>
        <v>4.6648000000000005</v>
      </c>
      <c r="AU555">
        <f t="shared" si="24"/>
        <v>2.78</v>
      </c>
      <c r="AV555">
        <f t="shared" si="25"/>
        <v>866.98799999999994</v>
      </c>
      <c r="AW555">
        <v>59</v>
      </c>
    </row>
    <row r="556" spans="3:55" x14ac:dyDescent="0.45">
      <c r="C556">
        <v>66.67</v>
      </c>
      <c r="D556">
        <v>0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11.11</v>
      </c>
      <c r="K556">
        <v>16.66</v>
      </c>
      <c r="L556">
        <v>0</v>
      </c>
      <c r="M556">
        <v>5.56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1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  <c r="AI556">
        <v>0</v>
      </c>
      <c r="AJ556">
        <v>0</v>
      </c>
      <c r="AK556">
        <v>0</v>
      </c>
      <c r="AL556">
        <v>0</v>
      </c>
      <c r="AM556">
        <v>0</v>
      </c>
      <c r="AN556">
        <v>0</v>
      </c>
      <c r="AO556">
        <v>0</v>
      </c>
      <c r="AP556">
        <v>0</v>
      </c>
      <c r="AQ556">
        <v>0</v>
      </c>
      <c r="AR556">
        <v>0</v>
      </c>
      <c r="AS556">
        <v>0</v>
      </c>
      <c r="AT556">
        <f t="shared" si="26"/>
        <v>4.6648000000000005</v>
      </c>
      <c r="AU556">
        <f t="shared" si="24"/>
        <v>3.7050000000000001</v>
      </c>
      <c r="AV556">
        <f t="shared" si="25"/>
        <v>828.69299999999998</v>
      </c>
      <c r="AW556">
        <v>64</v>
      </c>
    </row>
    <row r="557" spans="3:55" x14ac:dyDescent="0.45">
      <c r="C557">
        <v>72.22</v>
      </c>
      <c r="D557">
        <v>0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5.56</v>
      </c>
      <c r="K557">
        <v>16.66</v>
      </c>
      <c r="L557">
        <v>0</v>
      </c>
      <c r="M557">
        <v>5.56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1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0</v>
      </c>
      <c r="AI557">
        <v>0</v>
      </c>
      <c r="AJ557">
        <v>0</v>
      </c>
      <c r="AK557">
        <v>0</v>
      </c>
      <c r="AL557">
        <v>0</v>
      </c>
      <c r="AM557">
        <v>0</v>
      </c>
      <c r="AN557">
        <v>0</v>
      </c>
      <c r="AO557">
        <v>0</v>
      </c>
      <c r="AP557">
        <v>0</v>
      </c>
      <c r="AQ557">
        <v>0</v>
      </c>
      <c r="AR557">
        <v>0</v>
      </c>
      <c r="AS557">
        <v>0</v>
      </c>
      <c r="AT557">
        <f t="shared" si="26"/>
        <v>4.6648000000000005</v>
      </c>
      <c r="AU557">
        <f t="shared" si="24"/>
        <v>2.78</v>
      </c>
      <c r="AV557">
        <f t="shared" si="25"/>
        <v>866.98799999999994</v>
      </c>
      <c r="AW557">
        <v>59</v>
      </c>
    </row>
    <row r="558" spans="3:55" x14ac:dyDescent="0.45">
      <c r="C558">
        <v>66.67</v>
      </c>
      <c r="D558">
        <v>0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11.11</v>
      </c>
      <c r="K558">
        <v>16.66</v>
      </c>
      <c r="L558">
        <v>0</v>
      </c>
      <c r="M558">
        <v>5.56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1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0</v>
      </c>
      <c r="AG558">
        <v>0</v>
      </c>
      <c r="AH558">
        <v>0</v>
      </c>
      <c r="AI558">
        <v>0</v>
      </c>
      <c r="AJ558">
        <v>0</v>
      </c>
      <c r="AK558">
        <v>0</v>
      </c>
      <c r="AL558">
        <v>0</v>
      </c>
      <c r="AM558">
        <v>0</v>
      </c>
      <c r="AN558">
        <v>0</v>
      </c>
      <c r="AO558">
        <v>0</v>
      </c>
      <c r="AP558">
        <v>0</v>
      </c>
      <c r="AQ558">
        <v>0</v>
      </c>
      <c r="AR558">
        <v>0</v>
      </c>
      <c r="AS558">
        <v>0</v>
      </c>
      <c r="AT558">
        <f t="shared" si="26"/>
        <v>4.6648000000000005</v>
      </c>
      <c r="AU558">
        <f t="shared" si="24"/>
        <v>3.7050000000000001</v>
      </c>
      <c r="AV558">
        <f t="shared" si="25"/>
        <v>828.69299999999998</v>
      </c>
      <c r="AW558">
        <v>64</v>
      </c>
    </row>
    <row r="559" spans="3:55" x14ac:dyDescent="0.45">
      <c r="C559">
        <v>72.22</v>
      </c>
      <c r="D559">
        <v>0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5.56</v>
      </c>
      <c r="K559">
        <v>16.66</v>
      </c>
      <c r="L559">
        <v>0</v>
      </c>
      <c r="M559">
        <v>5.56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1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0</v>
      </c>
      <c r="AG559">
        <v>0</v>
      </c>
      <c r="AH559">
        <v>0</v>
      </c>
      <c r="AI559">
        <v>0</v>
      </c>
      <c r="AJ559">
        <v>0</v>
      </c>
      <c r="AK559">
        <v>0</v>
      </c>
      <c r="AL559">
        <v>0</v>
      </c>
      <c r="AM559">
        <v>0</v>
      </c>
      <c r="AN559">
        <v>0</v>
      </c>
      <c r="AO559">
        <v>0</v>
      </c>
      <c r="AP559">
        <v>0</v>
      </c>
      <c r="AQ559">
        <v>0</v>
      </c>
      <c r="AR559">
        <v>0</v>
      </c>
      <c r="AS559">
        <v>0</v>
      </c>
      <c r="AT559">
        <f t="shared" si="26"/>
        <v>4.6648000000000005</v>
      </c>
      <c r="AU559">
        <f t="shared" si="24"/>
        <v>2.78</v>
      </c>
      <c r="AV559">
        <f t="shared" si="25"/>
        <v>866.98799999999994</v>
      </c>
      <c r="AW559">
        <v>59</v>
      </c>
    </row>
    <row r="560" spans="3:55" x14ac:dyDescent="0.45">
      <c r="C560">
        <v>66.67</v>
      </c>
      <c r="D560">
        <v>0</v>
      </c>
      <c r="E560">
        <v>0</v>
      </c>
      <c r="F560">
        <v>0</v>
      </c>
      <c r="G560">
        <v>0</v>
      </c>
      <c r="H560">
        <v>0</v>
      </c>
      <c r="I560">
        <v>0</v>
      </c>
      <c r="J560">
        <v>11.11</v>
      </c>
      <c r="K560">
        <v>16.66</v>
      </c>
      <c r="L560">
        <v>0</v>
      </c>
      <c r="M560">
        <v>5.56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1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0</v>
      </c>
      <c r="AG560">
        <v>0</v>
      </c>
      <c r="AH560">
        <v>0</v>
      </c>
      <c r="AI560">
        <v>0</v>
      </c>
      <c r="AJ560">
        <v>0</v>
      </c>
      <c r="AK560">
        <v>0</v>
      </c>
      <c r="AL560">
        <v>0</v>
      </c>
      <c r="AM560">
        <v>0</v>
      </c>
      <c r="AN560">
        <v>0</v>
      </c>
      <c r="AO560">
        <v>0</v>
      </c>
      <c r="AP560">
        <v>0</v>
      </c>
      <c r="AQ560">
        <v>0</v>
      </c>
      <c r="AR560">
        <v>0</v>
      </c>
      <c r="AS560">
        <v>0</v>
      </c>
      <c r="AT560">
        <f t="shared" si="26"/>
        <v>4.6648000000000005</v>
      </c>
      <c r="AU560">
        <f t="shared" si="24"/>
        <v>3.7050000000000001</v>
      </c>
      <c r="AV560">
        <f t="shared" si="25"/>
        <v>828.69299999999998</v>
      </c>
      <c r="AW560">
        <v>64</v>
      </c>
    </row>
    <row r="561" spans="3:55" x14ac:dyDescent="0.45">
      <c r="C561">
        <v>76</v>
      </c>
      <c r="D561">
        <v>0</v>
      </c>
      <c r="E561">
        <v>0</v>
      </c>
      <c r="F561">
        <v>0</v>
      </c>
      <c r="G561">
        <v>0</v>
      </c>
      <c r="H561">
        <v>0</v>
      </c>
      <c r="I561">
        <v>0</v>
      </c>
      <c r="J561">
        <v>2.64</v>
      </c>
      <c r="K561">
        <v>15.53</v>
      </c>
      <c r="L561">
        <v>0</v>
      </c>
      <c r="M561">
        <v>5.83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1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>
        <v>0</v>
      </c>
      <c r="AI561">
        <v>0</v>
      </c>
      <c r="AJ561">
        <v>0</v>
      </c>
      <c r="AK561">
        <v>0</v>
      </c>
      <c r="AL561">
        <v>0</v>
      </c>
      <c r="AM561">
        <v>0</v>
      </c>
      <c r="AN561">
        <v>0</v>
      </c>
      <c r="AO561">
        <v>0</v>
      </c>
      <c r="AP561">
        <v>0</v>
      </c>
      <c r="AQ561">
        <v>0</v>
      </c>
      <c r="AR561">
        <v>0</v>
      </c>
      <c r="AS561">
        <v>0</v>
      </c>
      <c r="AT561">
        <f t="shared" si="26"/>
        <v>4.3483999999999998</v>
      </c>
      <c r="AU561">
        <f t="shared" si="24"/>
        <v>2.3833333333333333</v>
      </c>
      <c r="AV561">
        <f t="shared" si="25"/>
        <v>888.27</v>
      </c>
      <c r="AW561">
        <v>88</v>
      </c>
    </row>
    <row r="562" spans="3:55" x14ac:dyDescent="0.45">
      <c r="C562">
        <v>75.540000000000006</v>
      </c>
      <c r="D562">
        <v>0</v>
      </c>
      <c r="E562">
        <v>0</v>
      </c>
      <c r="F562">
        <v>0</v>
      </c>
      <c r="G562">
        <v>0</v>
      </c>
      <c r="H562">
        <v>0</v>
      </c>
      <c r="I562">
        <v>0</v>
      </c>
      <c r="J562">
        <v>5.24</v>
      </c>
      <c r="K562">
        <v>15.44</v>
      </c>
      <c r="L562">
        <v>0</v>
      </c>
      <c r="M562">
        <v>3.78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1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J562">
        <v>0</v>
      </c>
      <c r="AK562">
        <v>0</v>
      </c>
      <c r="AL562">
        <v>0</v>
      </c>
      <c r="AM562">
        <v>0</v>
      </c>
      <c r="AN562">
        <v>0</v>
      </c>
      <c r="AO562">
        <v>0</v>
      </c>
      <c r="AP562">
        <v>0</v>
      </c>
      <c r="AQ562">
        <v>0</v>
      </c>
      <c r="AR562">
        <v>0</v>
      </c>
      <c r="AS562">
        <v>0</v>
      </c>
      <c r="AT562">
        <f t="shared" si="26"/>
        <v>4.3231999999999999</v>
      </c>
      <c r="AU562">
        <f t="shared" si="24"/>
        <v>2.1333333333333333</v>
      </c>
      <c r="AV562">
        <f t="shared" si="25"/>
        <v>861.72</v>
      </c>
      <c r="AW562">
        <v>79</v>
      </c>
    </row>
    <row r="563" spans="3:55" x14ac:dyDescent="0.45">
      <c r="C563">
        <v>77.14</v>
      </c>
      <c r="D563">
        <v>0</v>
      </c>
      <c r="E563">
        <v>0</v>
      </c>
      <c r="F563">
        <v>0</v>
      </c>
      <c r="G563">
        <v>0</v>
      </c>
      <c r="H563">
        <v>0</v>
      </c>
      <c r="I563">
        <v>0</v>
      </c>
      <c r="J563">
        <v>2.59</v>
      </c>
      <c r="K563">
        <v>16.53</v>
      </c>
      <c r="L563">
        <v>0</v>
      </c>
      <c r="M563">
        <v>3.74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1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0</v>
      </c>
      <c r="AK563">
        <v>0</v>
      </c>
      <c r="AL563">
        <v>0</v>
      </c>
      <c r="AM563">
        <v>0</v>
      </c>
      <c r="AN563">
        <v>0</v>
      </c>
      <c r="AO563">
        <v>0</v>
      </c>
      <c r="AP563">
        <v>0</v>
      </c>
      <c r="AQ563">
        <v>0</v>
      </c>
      <c r="AR563">
        <v>0</v>
      </c>
      <c r="AS563">
        <v>0</v>
      </c>
      <c r="AT563">
        <f t="shared" si="26"/>
        <v>4.628400000000001</v>
      </c>
      <c r="AU563">
        <f t="shared" si="24"/>
        <v>1.6783333333333335</v>
      </c>
      <c r="AV563">
        <f t="shared" si="25"/>
        <v>879.83699999999999</v>
      </c>
      <c r="AW563">
        <v>61</v>
      </c>
    </row>
    <row r="564" spans="3:55" x14ac:dyDescent="0.45">
      <c r="C564">
        <v>74.400000000000006</v>
      </c>
      <c r="D564">
        <v>0</v>
      </c>
      <c r="E564">
        <v>0</v>
      </c>
      <c r="F564">
        <v>0</v>
      </c>
      <c r="G564">
        <v>0</v>
      </c>
      <c r="H564">
        <v>0</v>
      </c>
      <c r="I564">
        <v>0</v>
      </c>
      <c r="J564">
        <v>2.66</v>
      </c>
      <c r="K564">
        <v>17.04</v>
      </c>
      <c r="L564">
        <v>0</v>
      </c>
      <c r="M564">
        <v>5.9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1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>
        <v>0</v>
      </c>
      <c r="AI564">
        <v>0</v>
      </c>
      <c r="AJ564">
        <v>0</v>
      </c>
      <c r="AK564">
        <v>0</v>
      </c>
      <c r="AL564">
        <v>0</v>
      </c>
      <c r="AM564">
        <v>0</v>
      </c>
      <c r="AN564">
        <v>0</v>
      </c>
      <c r="AO564">
        <v>0</v>
      </c>
      <c r="AP564">
        <v>0</v>
      </c>
      <c r="AQ564">
        <v>0</v>
      </c>
      <c r="AR564">
        <v>0</v>
      </c>
      <c r="AS564">
        <v>0</v>
      </c>
      <c r="AT564">
        <f t="shared" si="26"/>
        <v>4.7712000000000003</v>
      </c>
      <c r="AU564">
        <f t="shared" si="24"/>
        <v>2.41</v>
      </c>
      <c r="AV564">
        <f t="shared" si="25"/>
        <v>888.42599999999993</v>
      </c>
      <c r="AW564">
        <v>54</v>
      </c>
    </row>
    <row r="565" spans="3:55" x14ac:dyDescent="0.45">
      <c r="C565">
        <v>79.099999999999994</v>
      </c>
      <c r="D565">
        <v>0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2.57</v>
      </c>
      <c r="K565">
        <v>12.64</v>
      </c>
      <c r="L565">
        <v>0</v>
      </c>
      <c r="M565">
        <v>5.69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1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0</v>
      </c>
      <c r="AL565">
        <v>0</v>
      </c>
      <c r="AM565">
        <v>0</v>
      </c>
      <c r="AN565">
        <v>0</v>
      </c>
      <c r="AO565">
        <v>0</v>
      </c>
      <c r="AP565">
        <v>0</v>
      </c>
      <c r="AQ565">
        <v>0</v>
      </c>
      <c r="AR565">
        <v>0</v>
      </c>
      <c r="AS565">
        <v>0</v>
      </c>
      <c r="AT565">
        <f t="shared" si="26"/>
        <v>3.5392000000000006</v>
      </c>
      <c r="AU565">
        <f t="shared" si="24"/>
        <v>2.3250000000000002</v>
      </c>
      <c r="AV565">
        <f t="shared" si="25"/>
        <v>888.16500000000008</v>
      </c>
      <c r="AW565">
        <v>77</v>
      </c>
    </row>
    <row r="566" spans="3:55" x14ac:dyDescent="0.45">
      <c r="C566">
        <v>80.16</v>
      </c>
      <c r="D566">
        <v>0</v>
      </c>
      <c r="E566">
        <v>0</v>
      </c>
      <c r="F566">
        <v>0</v>
      </c>
      <c r="G566">
        <v>0</v>
      </c>
      <c r="H566">
        <v>0</v>
      </c>
      <c r="I566">
        <v>0</v>
      </c>
      <c r="J566">
        <v>2.5299999999999998</v>
      </c>
      <c r="K566">
        <v>13.66</v>
      </c>
      <c r="L566">
        <v>0</v>
      </c>
      <c r="M566">
        <v>3.65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1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0</v>
      </c>
      <c r="AL566">
        <v>0</v>
      </c>
      <c r="AM566">
        <v>0</v>
      </c>
      <c r="AN566">
        <v>0</v>
      </c>
      <c r="AO566">
        <v>0</v>
      </c>
      <c r="AP566">
        <v>0</v>
      </c>
      <c r="AQ566">
        <v>0</v>
      </c>
      <c r="AR566">
        <v>0</v>
      </c>
      <c r="AS566">
        <v>0</v>
      </c>
      <c r="AT566">
        <f t="shared" si="26"/>
        <v>3.8248000000000002</v>
      </c>
      <c r="AU566">
        <f t="shared" si="24"/>
        <v>1.6383333333333332</v>
      </c>
      <c r="AV566">
        <f t="shared" si="25"/>
        <v>879.87300000000005</v>
      </c>
      <c r="AW566">
        <v>61</v>
      </c>
    </row>
    <row r="567" spans="3:55" x14ac:dyDescent="0.45">
      <c r="C567">
        <v>79.73</v>
      </c>
      <c r="D567">
        <v>0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2.52</v>
      </c>
      <c r="K567">
        <v>16.059999999999999</v>
      </c>
      <c r="L567">
        <v>0</v>
      </c>
      <c r="M567">
        <v>1.69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1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  <c r="AK567">
        <v>0</v>
      </c>
      <c r="AL567">
        <v>0</v>
      </c>
      <c r="AM567">
        <v>0</v>
      </c>
      <c r="AN567">
        <v>0</v>
      </c>
      <c r="AO567">
        <v>0</v>
      </c>
      <c r="AP567">
        <v>0</v>
      </c>
      <c r="AQ567">
        <v>0</v>
      </c>
      <c r="AR567">
        <v>0</v>
      </c>
      <c r="AS567">
        <v>0</v>
      </c>
      <c r="AT567">
        <f t="shared" si="26"/>
        <v>4.4968000000000004</v>
      </c>
      <c r="AU567">
        <f t="shared" si="24"/>
        <v>0.98333333333333339</v>
      </c>
      <c r="AV567">
        <f t="shared" si="25"/>
        <v>871.70999999999992</v>
      </c>
      <c r="AW567">
        <v>69</v>
      </c>
    </row>
    <row r="568" spans="3:55" x14ac:dyDescent="0.45">
      <c r="C568">
        <v>81.62</v>
      </c>
      <c r="D568">
        <v>0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2.5</v>
      </c>
      <c r="K568">
        <v>12.28</v>
      </c>
      <c r="L568">
        <v>0</v>
      </c>
      <c r="M568">
        <v>3.6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1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  <c r="AI568">
        <v>0</v>
      </c>
      <c r="AJ568">
        <v>0</v>
      </c>
      <c r="AK568">
        <v>0</v>
      </c>
      <c r="AL568">
        <v>0</v>
      </c>
      <c r="AM568">
        <v>0</v>
      </c>
      <c r="AN568">
        <v>0</v>
      </c>
      <c r="AO568">
        <v>0</v>
      </c>
      <c r="AP568">
        <v>0</v>
      </c>
      <c r="AQ568">
        <v>0</v>
      </c>
      <c r="AR568">
        <v>0</v>
      </c>
      <c r="AS568">
        <v>0</v>
      </c>
      <c r="AT568">
        <f t="shared" si="26"/>
        <v>3.4384000000000001</v>
      </c>
      <c r="AU568">
        <f t="shared" si="24"/>
        <v>1.6166666666666667</v>
      </c>
      <c r="AV568">
        <f t="shared" si="25"/>
        <v>879.87</v>
      </c>
      <c r="AW568">
        <v>73</v>
      </c>
    </row>
    <row r="569" spans="3:55" x14ac:dyDescent="0.45">
      <c r="C569">
        <v>58</v>
      </c>
      <c r="D569">
        <v>0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6</v>
      </c>
      <c r="K569">
        <v>31</v>
      </c>
      <c r="L569">
        <v>5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1</v>
      </c>
      <c r="W569">
        <v>600</v>
      </c>
      <c r="X569">
        <v>75</v>
      </c>
      <c r="Y569">
        <v>0</v>
      </c>
      <c r="Z569">
        <v>1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0</v>
      </c>
      <c r="AK569">
        <v>0</v>
      </c>
      <c r="AL569">
        <v>0</v>
      </c>
      <c r="AM569">
        <v>0</v>
      </c>
      <c r="AN569">
        <v>0</v>
      </c>
      <c r="AO569">
        <v>0</v>
      </c>
      <c r="AP569">
        <v>0</v>
      </c>
      <c r="AQ569">
        <v>0</v>
      </c>
      <c r="AR569">
        <v>0</v>
      </c>
      <c r="AS569">
        <v>0</v>
      </c>
      <c r="AT569">
        <f t="shared" si="26"/>
        <v>13.680000000000001</v>
      </c>
      <c r="AU569">
        <f t="shared" si="24"/>
        <v>1</v>
      </c>
      <c r="AV569">
        <f t="shared" si="25"/>
        <v>793.1</v>
      </c>
      <c r="AY569">
        <v>672</v>
      </c>
      <c r="AZ569">
        <v>26.7</v>
      </c>
      <c r="BC569" t="s">
        <v>140</v>
      </c>
    </row>
    <row r="570" spans="3:55" x14ac:dyDescent="0.45">
      <c r="C570">
        <v>58</v>
      </c>
      <c r="D570">
        <v>0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6</v>
      </c>
      <c r="K570">
        <v>31</v>
      </c>
      <c r="L570">
        <v>5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1</v>
      </c>
      <c r="W570">
        <v>600</v>
      </c>
      <c r="X570">
        <v>75</v>
      </c>
      <c r="Y570">
        <v>0</v>
      </c>
      <c r="Z570">
        <v>1</v>
      </c>
      <c r="AA570">
        <v>0</v>
      </c>
      <c r="AB570">
        <v>0</v>
      </c>
      <c r="AC570">
        <v>800</v>
      </c>
      <c r="AD570">
        <v>0.5</v>
      </c>
      <c r="AE570">
        <v>1</v>
      </c>
      <c r="AF570">
        <v>0</v>
      </c>
      <c r="AG570">
        <v>0</v>
      </c>
      <c r="AH570">
        <v>300</v>
      </c>
      <c r="AI570">
        <v>2</v>
      </c>
      <c r="AJ570">
        <v>1</v>
      </c>
      <c r="AK570">
        <v>0</v>
      </c>
      <c r="AL570">
        <v>0</v>
      </c>
      <c r="AM570">
        <v>0</v>
      </c>
      <c r="AN570">
        <v>0</v>
      </c>
      <c r="AO570">
        <v>0</v>
      </c>
      <c r="AP570">
        <v>0</v>
      </c>
      <c r="AQ570">
        <v>0</v>
      </c>
      <c r="AR570">
        <v>0</v>
      </c>
      <c r="AS570">
        <v>0</v>
      </c>
      <c r="AT570">
        <f t="shared" si="26"/>
        <v>13.680000000000001</v>
      </c>
      <c r="AU570">
        <f t="shared" si="24"/>
        <v>1</v>
      </c>
      <c r="AV570">
        <f t="shared" si="25"/>
        <v>793.1</v>
      </c>
      <c r="AY570">
        <v>747</v>
      </c>
      <c r="AZ570">
        <v>20.6</v>
      </c>
      <c r="BC570" t="s">
        <v>140</v>
      </c>
    </row>
    <row r="571" spans="3:55" x14ac:dyDescent="0.45">
      <c r="C571">
        <v>60</v>
      </c>
      <c r="D571">
        <v>0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4</v>
      </c>
      <c r="K571">
        <v>31</v>
      </c>
      <c r="L571">
        <v>5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1</v>
      </c>
      <c r="W571">
        <v>600</v>
      </c>
      <c r="X571">
        <v>75</v>
      </c>
      <c r="Y571">
        <v>0</v>
      </c>
      <c r="Z571">
        <v>1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>
        <v>0</v>
      </c>
      <c r="AI571">
        <v>0</v>
      </c>
      <c r="AJ571">
        <v>0</v>
      </c>
      <c r="AK571">
        <v>0</v>
      </c>
      <c r="AL571">
        <v>0</v>
      </c>
      <c r="AM571">
        <v>0</v>
      </c>
      <c r="AN571">
        <v>0</v>
      </c>
      <c r="AO571">
        <v>0</v>
      </c>
      <c r="AP571">
        <v>0</v>
      </c>
      <c r="AQ571">
        <v>0</v>
      </c>
      <c r="AR571">
        <v>0</v>
      </c>
      <c r="AS571">
        <v>0</v>
      </c>
      <c r="AT571">
        <f t="shared" si="26"/>
        <v>13.680000000000001</v>
      </c>
      <c r="AU571">
        <f t="shared" si="24"/>
        <v>0.66666666666666663</v>
      </c>
      <c r="AV571">
        <f t="shared" si="25"/>
        <v>806.9</v>
      </c>
      <c r="AY571">
        <v>672</v>
      </c>
      <c r="AZ571">
        <v>26.7</v>
      </c>
      <c r="BC571" t="s">
        <v>141</v>
      </c>
    </row>
    <row r="572" spans="3:55" x14ac:dyDescent="0.45">
      <c r="C572">
        <v>60</v>
      </c>
      <c r="D572">
        <v>0</v>
      </c>
      <c r="E572">
        <v>0</v>
      </c>
      <c r="F572">
        <v>0</v>
      </c>
      <c r="G572">
        <v>0</v>
      </c>
      <c r="H572">
        <v>0</v>
      </c>
      <c r="I572">
        <v>0</v>
      </c>
      <c r="J572">
        <v>4</v>
      </c>
      <c r="K572">
        <v>31</v>
      </c>
      <c r="L572">
        <v>5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1</v>
      </c>
      <c r="W572">
        <v>600</v>
      </c>
      <c r="X572">
        <v>75</v>
      </c>
      <c r="Y572">
        <v>0</v>
      </c>
      <c r="Z572">
        <v>1</v>
      </c>
      <c r="AA572">
        <v>0</v>
      </c>
      <c r="AB572">
        <v>0</v>
      </c>
      <c r="AC572">
        <v>800</v>
      </c>
      <c r="AD572">
        <v>0.5</v>
      </c>
      <c r="AE572">
        <v>1</v>
      </c>
      <c r="AF572">
        <v>0</v>
      </c>
      <c r="AG572">
        <v>0</v>
      </c>
      <c r="AH572">
        <v>300</v>
      </c>
      <c r="AI572">
        <v>2</v>
      </c>
      <c r="AJ572">
        <v>0</v>
      </c>
      <c r="AK572">
        <v>1</v>
      </c>
      <c r="AL572">
        <v>0</v>
      </c>
      <c r="AM572">
        <v>0</v>
      </c>
      <c r="AN572">
        <v>0</v>
      </c>
      <c r="AO572">
        <v>0</v>
      </c>
      <c r="AP572">
        <v>0</v>
      </c>
      <c r="AQ572">
        <v>0</v>
      </c>
      <c r="AR572">
        <v>0</v>
      </c>
      <c r="AS572">
        <v>0</v>
      </c>
      <c r="AT572">
        <f t="shared" si="26"/>
        <v>13.680000000000001</v>
      </c>
      <c r="AU572">
        <f t="shared" si="24"/>
        <v>0.66666666666666663</v>
      </c>
      <c r="AV572">
        <f t="shared" si="25"/>
        <v>806.9</v>
      </c>
      <c r="AY572">
        <v>747</v>
      </c>
      <c r="AZ572">
        <v>20.6</v>
      </c>
      <c r="BC572" t="s">
        <v>142</v>
      </c>
    </row>
    <row r="573" spans="3:55" x14ac:dyDescent="0.45">
      <c r="C573">
        <v>69.510000000000005</v>
      </c>
      <c r="D573">
        <v>0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8.1100000000000012</v>
      </c>
      <c r="K573">
        <v>17.239999999999998</v>
      </c>
      <c r="L573">
        <v>5.1400000000000006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1</v>
      </c>
      <c r="W573">
        <v>0</v>
      </c>
      <c r="X573">
        <v>0</v>
      </c>
      <c r="Y573">
        <v>0</v>
      </c>
      <c r="Z573">
        <v>1</v>
      </c>
      <c r="AA573">
        <v>0</v>
      </c>
      <c r="AB573">
        <v>0</v>
      </c>
      <c r="AC573">
        <v>0</v>
      </c>
      <c r="AD573">
        <v>0</v>
      </c>
      <c r="AE573">
        <v>1</v>
      </c>
      <c r="AF573">
        <v>0</v>
      </c>
      <c r="AG573">
        <v>0</v>
      </c>
      <c r="AH573">
        <v>0</v>
      </c>
      <c r="AI573">
        <v>0</v>
      </c>
      <c r="AJ573">
        <v>0</v>
      </c>
      <c r="AK573">
        <v>0</v>
      </c>
      <c r="AL573">
        <v>0</v>
      </c>
      <c r="AM573">
        <v>0</v>
      </c>
      <c r="AN573">
        <v>0</v>
      </c>
      <c r="AO573">
        <v>0</v>
      </c>
      <c r="AP573">
        <v>0</v>
      </c>
      <c r="AQ573">
        <v>0</v>
      </c>
      <c r="AR573">
        <v>0</v>
      </c>
      <c r="AS573">
        <v>0</v>
      </c>
      <c r="AT573">
        <f t="shared" si="26"/>
        <v>9.9672000000000018</v>
      </c>
      <c r="AU573">
        <f t="shared" si="24"/>
        <v>1.3516666666666668</v>
      </c>
      <c r="AV573">
        <f t="shared" si="25"/>
        <v>777.2109999999999</v>
      </c>
      <c r="AW573">
        <v>66.599999999999994</v>
      </c>
      <c r="AX573">
        <v>754.7</v>
      </c>
      <c r="BC573" t="s">
        <v>60</v>
      </c>
    </row>
    <row r="574" spans="3:55" x14ac:dyDescent="0.45">
      <c r="C574">
        <v>51.71</v>
      </c>
      <c r="D574">
        <v>0</v>
      </c>
      <c r="E574">
        <v>0</v>
      </c>
      <c r="F574">
        <v>0</v>
      </c>
      <c r="G574">
        <v>0</v>
      </c>
      <c r="H574">
        <v>0</v>
      </c>
      <c r="I574">
        <v>0</v>
      </c>
      <c r="J574">
        <v>29.080000000000002</v>
      </c>
      <c r="K574">
        <v>17.760000000000002</v>
      </c>
      <c r="L574">
        <v>1.46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1</v>
      </c>
      <c r="W574">
        <v>0</v>
      </c>
      <c r="X574">
        <v>0</v>
      </c>
      <c r="Y574">
        <v>0</v>
      </c>
      <c r="Z574">
        <v>1</v>
      </c>
      <c r="AA574">
        <v>0</v>
      </c>
      <c r="AB574">
        <v>0</v>
      </c>
      <c r="AC574">
        <v>0</v>
      </c>
      <c r="AD574">
        <v>0</v>
      </c>
      <c r="AE574">
        <v>1</v>
      </c>
      <c r="AF574">
        <v>0</v>
      </c>
      <c r="AG574">
        <v>0</v>
      </c>
      <c r="AH574">
        <v>0</v>
      </c>
      <c r="AI574">
        <v>0</v>
      </c>
      <c r="AJ574">
        <v>0</v>
      </c>
      <c r="AK574">
        <v>0</v>
      </c>
      <c r="AL574">
        <v>0</v>
      </c>
      <c r="AM574">
        <v>0</v>
      </c>
      <c r="AN574">
        <v>0</v>
      </c>
      <c r="AO574">
        <v>0</v>
      </c>
      <c r="AP574">
        <v>0</v>
      </c>
      <c r="AQ574">
        <v>0</v>
      </c>
      <c r="AR574">
        <v>0</v>
      </c>
      <c r="AS574">
        <v>0</v>
      </c>
      <c r="AT574">
        <f t="shared" si="26"/>
        <v>6.4328000000000012</v>
      </c>
      <c r="AU574">
        <f t="shared" si="24"/>
        <v>4.8466666666666667</v>
      </c>
      <c r="AV574">
        <f t="shared" si="25"/>
        <v>667.47799999999995</v>
      </c>
      <c r="AW574">
        <v>64.2</v>
      </c>
      <c r="AX574">
        <v>714</v>
      </c>
      <c r="BC574" t="s">
        <v>60</v>
      </c>
    </row>
    <row r="575" spans="3:55" x14ac:dyDescent="0.45">
      <c r="C575">
        <v>82.13000000000001</v>
      </c>
      <c r="D575">
        <v>0</v>
      </c>
      <c r="E575">
        <v>0</v>
      </c>
      <c r="F575">
        <v>0</v>
      </c>
      <c r="G575">
        <v>0</v>
      </c>
      <c r="H575">
        <v>0</v>
      </c>
      <c r="I575">
        <v>0</v>
      </c>
      <c r="J575">
        <v>3.9600000000000004</v>
      </c>
      <c r="K575">
        <v>5.93</v>
      </c>
      <c r="L575">
        <v>7.9799999999999995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1</v>
      </c>
      <c r="W575">
        <v>0</v>
      </c>
      <c r="X575">
        <v>0</v>
      </c>
      <c r="Y575">
        <v>0</v>
      </c>
      <c r="Z575">
        <v>1</v>
      </c>
      <c r="AA575">
        <v>0</v>
      </c>
      <c r="AB575">
        <v>0</v>
      </c>
      <c r="AC575">
        <v>0</v>
      </c>
      <c r="AD575">
        <v>0</v>
      </c>
      <c r="AE575">
        <v>1</v>
      </c>
      <c r="AF575">
        <v>0</v>
      </c>
      <c r="AG575">
        <v>0</v>
      </c>
      <c r="AH575">
        <v>0</v>
      </c>
      <c r="AI575">
        <v>0</v>
      </c>
      <c r="AJ575">
        <v>0</v>
      </c>
      <c r="AK575">
        <v>0</v>
      </c>
      <c r="AL575">
        <v>0</v>
      </c>
      <c r="AM575">
        <v>0</v>
      </c>
      <c r="AN575">
        <v>0</v>
      </c>
      <c r="AO575">
        <v>0</v>
      </c>
      <c r="AP575">
        <v>0</v>
      </c>
      <c r="AQ575">
        <v>0</v>
      </c>
      <c r="AR575">
        <v>0</v>
      </c>
      <c r="AS575">
        <v>0</v>
      </c>
      <c r="AT575">
        <f t="shared" si="26"/>
        <v>9.6403999999999996</v>
      </c>
      <c r="AU575">
        <f t="shared" si="24"/>
        <v>0.66</v>
      </c>
      <c r="AV575">
        <f t="shared" si="25"/>
        <v>778.8660000000001</v>
      </c>
      <c r="AW575">
        <v>72</v>
      </c>
      <c r="AX575">
        <v>899</v>
      </c>
      <c r="BC575" t="s">
        <v>60</v>
      </c>
    </row>
    <row r="576" spans="3:55" x14ac:dyDescent="0.45">
      <c r="C576">
        <v>84.11</v>
      </c>
      <c r="D576">
        <v>0</v>
      </c>
      <c r="E576">
        <v>0</v>
      </c>
      <c r="F576">
        <v>0</v>
      </c>
      <c r="G576">
        <v>0</v>
      </c>
      <c r="H576">
        <v>0</v>
      </c>
      <c r="I576">
        <v>0</v>
      </c>
      <c r="J576">
        <v>2.97</v>
      </c>
      <c r="K576">
        <v>4.9399999999999995</v>
      </c>
      <c r="L576">
        <v>7.9799999999999995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1</v>
      </c>
      <c r="W576">
        <v>0</v>
      </c>
      <c r="X576">
        <v>0</v>
      </c>
      <c r="Y576">
        <v>0</v>
      </c>
      <c r="Z576">
        <v>1</v>
      </c>
      <c r="AA576">
        <v>0</v>
      </c>
      <c r="AB576">
        <v>0</v>
      </c>
      <c r="AC576">
        <v>0</v>
      </c>
      <c r="AD576">
        <v>0</v>
      </c>
      <c r="AE576">
        <v>1</v>
      </c>
      <c r="AF576">
        <v>0</v>
      </c>
      <c r="AG576">
        <v>0</v>
      </c>
      <c r="AH576">
        <v>0</v>
      </c>
      <c r="AI576">
        <v>0</v>
      </c>
      <c r="AJ576">
        <v>0</v>
      </c>
      <c r="AK576">
        <v>0</v>
      </c>
      <c r="AL576">
        <v>0</v>
      </c>
      <c r="AM576">
        <v>0</v>
      </c>
      <c r="AN576">
        <v>0</v>
      </c>
      <c r="AO576">
        <v>0</v>
      </c>
      <c r="AP576">
        <v>0</v>
      </c>
      <c r="AQ576">
        <v>0</v>
      </c>
      <c r="AR576">
        <v>0</v>
      </c>
      <c r="AS576">
        <v>0</v>
      </c>
      <c r="AT576">
        <f t="shared" si="26"/>
        <v>9.3631999999999991</v>
      </c>
      <c r="AU576">
        <f t="shared" si="24"/>
        <v>0.49500000000000005</v>
      </c>
      <c r="AV576">
        <f t="shared" si="25"/>
        <v>785.697</v>
      </c>
      <c r="AW576">
        <v>69</v>
      </c>
      <c r="AX576">
        <v>947</v>
      </c>
      <c r="BC576" t="s">
        <v>60</v>
      </c>
    </row>
    <row r="577" spans="3:55" x14ac:dyDescent="0.45">
      <c r="C577">
        <v>84.04</v>
      </c>
      <c r="D577">
        <v>0</v>
      </c>
      <c r="E577">
        <v>0</v>
      </c>
      <c r="F577">
        <v>0</v>
      </c>
      <c r="G577">
        <v>0</v>
      </c>
      <c r="H577">
        <v>0</v>
      </c>
      <c r="I577">
        <v>0</v>
      </c>
      <c r="J577">
        <v>5.0200000000000005</v>
      </c>
      <c r="K577">
        <v>2.96</v>
      </c>
      <c r="L577">
        <v>7.9799999999999995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1</v>
      </c>
      <c r="W577">
        <v>0</v>
      </c>
      <c r="X577">
        <v>0</v>
      </c>
      <c r="Y577">
        <v>0</v>
      </c>
      <c r="Z577">
        <v>1</v>
      </c>
      <c r="AA577">
        <v>0</v>
      </c>
      <c r="AB577">
        <v>0</v>
      </c>
      <c r="AC577">
        <v>0</v>
      </c>
      <c r="AD577">
        <v>0</v>
      </c>
      <c r="AE577">
        <v>1</v>
      </c>
      <c r="AF577">
        <v>0</v>
      </c>
      <c r="AG577">
        <v>0</v>
      </c>
      <c r="AH577">
        <v>0</v>
      </c>
      <c r="AI577">
        <v>0</v>
      </c>
      <c r="AJ577">
        <v>0</v>
      </c>
      <c r="AK577">
        <v>0</v>
      </c>
      <c r="AL577">
        <v>0</v>
      </c>
      <c r="AM577">
        <v>0</v>
      </c>
      <c r="AN577">
        <v>0</v>
      </c>
      <c r="AO577">
        <v>0</v>
      </c>
      <c r="AP577">
        <v>0</v>
      </c>
      <c r="AQ577">
        <v>0</v>
      </c>
      <c r="AR577">
        <v>0</v>
      </c>
      <c r="AS577">
        <v>0</v>
      </c>
      <c r="AT577">
        <f t="shared" si="26"/>
        <v>8.8087999999999997</v>
      </c>
      <c r="AU577">
        <f t="shared" si="24"/>
        <v>0.83666666666666678</v>
      </c>
      <c r="AV577">
        <f t="shared" si="25"/>
        <v>771.55200000000002</v>
      </c>
      <c r="AW577">
        <v>52</v>
      </c>
      <c r="AX577">
        <v>483</v>
      </c>
      <c r="BC577" t="s">
        <v>60</v>
      </c>
    </row>
    <row r="578" spans="3:55" x14ac:dyDescent="0.45">
      <c r="C578">
        <v>81.099999999999994</v>
      </c>
      <c r="D578">
        <v>0</v>
      </c>
      <c r="E578">
        <v>0</v>
      </c>
      <c r="F578">
        <v>0</v>
      </c>
      <c r="G578">
        <v>0</v>
      </c>
      <c r="H578">
        <v>0</v>
      </c>
      <c r="I578">
        <v>0</v>
      </c>
      <c r="J578">
        <v>6.3</v>
      </c>
      <c r="K578">
        <v>6.3</v>
      </c>
      <c r="L578">
        <v>6.3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1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>
        <v>0</v>
      </c>
      <c r="AI578">
        <v>0</v>
      </c>
      <c r="AJ578">
        <v>0</v>
      </c>
      <c r="AK578">
        <v>0</v>
      </c>
      <c r="AL578">
        <v>0</v>
      </c>
      <c r="AM578">
        <v>0</v>
      </c>
      <c r="AN578">
        <v>0</v>
      </c>
      <c r="AO578">
        <v>0</v>
      </c>
      <c r="AP578">
        <v>0</v>
      </c>
      <c r="AQ578">
        <v>0</v>
      </c>
      <c r="AR578">
        <v>0</v>
      </c>
      <c r="AS578">
        <v>0</v>
      </c>
      <c r="AT578">
        <f t="shared" si="26"/>
        <v>8.0640000000000001</v>
      </c>
      <c r="AU578">
        <f t="shared" ref="AU578:AU641" si="27">D578+J578/6+M578/3+(T578+S578)/10</f>
        <v>1.05</v>
      </c>
      <c r="AV578">
        <f t="shared" ref="AV578:AV641" si="28">882+2.1*D578-9.5*L578+4.2*M578-6.9*J578-11.8*E578-12.1*F578-15.4*H578+23.3*Q578+123*T578</f>
        <v>778.68</v>
      </c>
      <c r="AW578">
        <v>75</v>
      </c>
    </row>
    <row r="579" spans="3:55" x14ac:dyDescent="0.45">
      <c r="C579">
        <v>74.900000000000006</v>
      </c>
      <c r="D579">
        <v>0</v>
      </c>
      <c r="E579">
        <v>0</v>
      </c>
      <c r="F579">
        <v>0</v>
      </c>
      <c r="G579">
        <v>0</v>
      </c>
      <c r="H579">
        <v>0</v>
      </c>
      <c r="I579">
        <v>0</v>
      </c>
      <c r="J579">
        <v>12.5</v>
      </c>
      <c r="K579">
        <v>6.3</v>
      </c>
      <c r="L579">
        <v>6.3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1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>
        <v>0</v>
      </c>
      <c r="AI579">
        <v>0</v>
      </c>
      <c r="AJ579">
        <v>0</v>
      </c>
      <c r="AK579">
        <v>0</v>
      </c>
      <c r="AL579">
        <v>0</v>
      </c>
      <c r="AM579">
        <v>0</v>
      </c>
      <c r="AN579">
        <v>0</v>
      </c>
      <c r="AO579">
        <v>0</v>
      </c>
      <c r="AP579">
        <v>0</v>
      </c>
      <c r="AQ579">
        <v>0</v>
      </c>
      <c r="AR579">
        <v>0</v>
      </c>
      <c r="AS579">
        <v>0</v>
      </c>
      <c r="AT579">
        <f t="shared" ref="AT579:AT642" si="29">L579+0.67*E579+0.44*P579+0.28*K579+0.22*O579+2.9*H579+1.6*F579+1.7*G579-D579</f>
        <v>8.0640000000000001</v>
      </c>
      <c r="AU579">
        <f t="shared" si="27"/>
        <v>2.0833333333333335</v>
      </c>
      <c r="AV579">
        <f t="shared" si="28"/>
        <v>735.9</v>
      </c>
      <c r="AW579">
        <v>68</v>
      </c>
    </row>
    <row r="580" spans="3:55" x14ac:dyDescent="0.45">
      <c r="C580">
        <v>68.7</v>
      </c>
      <c r="D580">
        <v>0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18.7</v>
      </c>
      <c r="K580">
        <v>6.3</v>
      </c>
      <c r="L580">
        <v>6.3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1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>
        <v>0</v>
      </c>
      <c r="AK580">
        <v>0</v>
      </c>
      <c r="AL580">
        <v>0</v>
      </c>
      <c r="AM580">
        <v>0</v>
      </c>
      <c r="AN580">
        <v>0</v>
      </c>
      <c r="AO580">
        <v>0</v>
      </c>
      <c r="AP580">
        <v>0</v>
      </c>
      <c r="AQ580">
        <v>0</v>
      </c>
      <c r="AR580">
        <v>0</v>
      </c>
      <c r="AS580">
        <v>0</v>
      </c>
      <c r="AT580">
        <f t="shared" si="29"/>
        <v>8.0640000000000001</v>
      </c>
      <c r="AU580">
        <f t="shared" si="27"/>
        <v>3.1166666666666667</v>
      </c>
      <c r="AV580">
        <f t="shared" si="28"/>
        <v>693.12</v>
      </c>
      <c r="AW580">
        <v>79</v>
      </c>
    </row>
    <row r="581" spans="3:55" x14ac:dyDescent="0.45">
      <c r="C581">
        <v>69</v>
      </c>
      <c r="D581">
        <v>0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10.1</v>
      </c>
      <c r="K581">
        <v>10.3</v>
      </c>
      <c r="L581">
        <v>10.6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1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  <c r="AK581">
        <v>0</v>
      </c>
      <c r="AL581">
        <v>0</v>
      </c>
      <c r="AM581">
        <v>0</v>
      </c>
      <c r="AN581">
        <v>0</v>
      </c>
      <c r="AO581">
        <v>0</v>
      </c>
      <c r="AP581">
        <v>0</v>
      </c>
      <c r="AQ581">
        <v>0</v>
      </c>
      <c r="AR581">
        <v>0</v>
      </c>
      <c r="AS581">
        <v>0</v>
      </c>
      <c r="AT581">
        <f t="shared" si="29"/>
        <v>13.484</v>
      </c>
      <c r="AU581">
        <f t="shared" si="27"/>
        <v>1.6833333333333333</v>
      </c>
      <c r="AV581">
        <f t="shared" si="28"/>
        <v>711.6099999999999</v>
      </c>
      <c r="AW581">
        <v>75</v>
      </c>
    </row>
    <row r="582" spans="3:55" x14ac:dyDescent="0.45">
      <c r="C582">
        <v>60.8</v>
      </c>
      <c r="D582">
        <v>0</v>
      </c>
      <c r="E582">
        <v>0</v>
      </c>
      <c r="F582">
        <v>0</v>
      </c>
      <c r="G582">
        <v>0</v>
      </c>
      <c r="H582">
        <v>0</v>
      </c>
      <c r="I582">
        <v>0</v>
      </c>
      <c r="J582">
        <v>19.3</v>
      </c>
      <c r="K582">
        <v>9.8000000000000007</v>
      </c>
      <c r="L582">
        <v>10.1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1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>
        <v>0</v>
      </c>
      <c r="AI582">
        <v>0</v>
      </c>
      <c r="AJ582">
        <v>0</v>
      </c>
      <c r="AK582">
        <v>0</v>
      </c>
      <c r="AL582">
        <v>0</v>
      </c>
      <c r="AM582">
        <v>0</v>
      </c>
      <c r="AN582">
        <v>0</v>
      </c>
      <c r="AO582">
        <v>0</v>
      </c>
      <c r="AP582">
        <v>0</v>
      </c>
      <c r="AQ582">
        <v>0</v>
      </c>
      <c r="AR582">
        <v>0</v>
      </c>
      <c r="AS582">
        <v>0</v>
      </c>
      <c r="AT582">
        <f t="shared" si="29"/>
        <v>12.844000000000001</v>
      </c>
      <c r="AU582">
        <f t="shared" si="27"/>
        <v>3.2166666666666668</v>
      </c>
      <c r="AV582">
        <f t="shared" si="28"/>
        <v>652.87999999999988</v>
      </c>
      <c r="AW582">
        <v>68</v>
      </c>
    </row>
    <row r="583" spans="3:55" x14ac:dyDescent="0.45">
      <c r="C583">
        <v>63.3</v>
      </c>
      <c r="D583">
        <v>0</v>
      </c>
      <c r="E583">
        <v>0</v>
      </c>
      <c r="F583">
        <v>0</v>
      </c>
      <c r="G583">
        <v>0</v>
      </c>
      <c r="H583">
        <v>0</v>
      </c>
      <c r="I583">
        <v>0</v>
      </c>
      <c r="J583">
        <v>17.7</v>
      </c>
      <c r="K583">
        <v>9.4</v>
      </c>
      <c r="L583">
        <v>9.6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1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0</v>
      </c>
      <c r="AI583">
        <v>0</v>
      </c>
      <c r="AJ583">
        <v>0</v>
      </c>
      <c r="AK583">
        <v>0</v>
      </c>
      <c r="AL583">
        <v>0</v>
      </c>
      <c r="AM583">
        <v>0</v>
      </c>
      <c r="AN583">
        <v>0</v>
      </c>
      <c r="AO583">
        <v>0</v>
      </c>
      <c r="AP583">
        <v>0</v>
      </c>
      <c r="AQ583">
        <v>0</v>
      </c>
      <c r="AR583">
        <v>0</v>
      </c>
      <c r="AS583">
        <v>0</v>
      </c>
      <c r="AT583">
        <f t="shared" si="29"/>
        <v>12.231999999999999</v>
      </c>
      <c r="AU583">
        <f t="shared" si="27"/>
        <v>2.9499999999999997</v>
      </c>
      <c r="AV583">
        <f t="shared" si="28"/>
        <v>668.67</v>
      </c>
      <c r="AW583">
        <v>79</v>
      </c>
    </row>
    <row r="584" spans="3:55" x14ac:dyDescent="0.45">
      <c r="C584">
        <v>62.5</v>
      </c>
      <c r="D584">
        <v>0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9.1999999999999993</v>
      </c>
      <c r="K584">
        <v>18.7</v>
      </c>
      <c r="L584">
        <v>9.6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1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0</v>
      </c>
      <c r="AL584">
        <v>0</v>
      </c>
      <c r="AM584">
        <v>0</v>
      </c>
      <c r="AN584">
        <v>0</v>
      </c>
      <c r="AO584">
        <v>0</v>
      </c>
      <c r="AP584">
        <v>0</v>
      </c>
      <c r="AQ584">
        <v>0</v>
      </c>
      <c r="AR584">
        <v>0</v>
      </c>
      <c r="AS584">
        <v>0</v>
      </c>
      <c r="AT584">
        <f t="shared" si="29"/>
        <v>14.836</v>
      </c>
      <c r="AU584">
        <f t="shared" si="27"/>
        <v>1.5333333333333332</v>
      </c>
      <c r="AV584">
        <f t="shared" si="28"/>
        <v>727.31999999999994</v>
      </c>
      <c r="AW584">
        <v>72</v>
      </c>
    </row>
    <row r="585" spans="3:55" x14ac:dyDescent="0.45">
      <c r="C585">
        <v>55.3</v>
      </c>
      <c r="D585">
        <v>0</v>
      </c>
      <c r="E585">
        <v>0</v>
      </c>
      <c r="F585">
        <v>0</v>
      </c>
      <c r="G585">
        <v>0</v>
      </c>
      <c r="H585">
        <v>0</v>
      </c>
      <c r="I585">
        <v>0</v>
      </c>
      <c r="J585">
        <v>17.600000000000001</v>
      </c>
      <c r="K585">
        <v>17.899999999999999</v>
      </c>
      <c r="L585">
        <v>9.1999999999999993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1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>
        <v>0</v>
      </c>
      <c r="AI585">
        <v>0</v>
      </c>
      <c r="AJ585">
        <v>0</v>
      </c>
      <c r="AK585">
        <v>0</v>
      </c>
      <c r="AL585">
        <v>0</v>
      </c>
      <c r="AM585">
        <v>0</v>
      </c>
      <c r="AN585">
        <v>0</v>
      </c>
      <c r="AO585">
        <v>0</v>
      </c>
      <c r="AP585">
        <v>0</v>
      </c>
      <c r="AQ585">
        <v>0</v>
      </c>
      <c r="AR585">
        <v>0</v>
      </c>
      <c r="AS585">
        <v>0</v>
      </c>
      <c r="AT585">
        <f t="shared" si="29"/>
        <v>14.212</v>
      </c>
      <c r="AU585">
        <f t="shared" si="27"/>
        <v>2.9333333333333336</v>
      </c>
      <c r="AV585">
        <f t="shared" si="28"/>
        <v>673.16</v>
      </c>
      <c r="AW585">
        <v>70</v>
      </c>
    </row>
    <row r="586" spans="3:55" x14ac:dyDescent="0.45">
      <c r="C586">
        <v>57.2</v>
      </c>
      <c r="D586">
        <v>0</v>
      </c>
      <c r="E586">
        <v>0</v>
      </c>
      <c r="F586">
        <v>0</v>
      </c>
      <c r="G586">
        <v>0</v>
      </c>
      <c r="H586">
        <v>0</v>
      </c>
      <c r="I586">
        <v>0</v>
      </c>
      <c r="J586">
        <v>8.4</v>
      </c>
      <c r="K586">
        <v>25.6</v>
      </c>
      <c r="L586">
        <v>8.8000000000000007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1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>
        <v>0</v>
      </c>
      <c r="AI586">
        <v>0</v>
      </c>
      <c r="AJ586">
        <v>0</v>
      </c>
      <c r="AK586">
        <v>0</v>
      </c>
      <c r="AL586">
        <v>0</v>
      </c>
      <c r="AM586">
        <v>0</v>
      </c>
      <c r="AN586">
        <v>0</v>
      </c>
      <c r="AO586">
        <v>0</v>
      </c>
      <c r="AP586">
        <v>0</v>
      </c>
      <c r="AQ586">
        <v>0</v>
      </c>
      <c r="AR586">
        <v>0</v>
      </c>
      <c r="AS586">
        <v>0</v>
      </c>
      <c r="AT586">
        <f t="shared" si="29"/>
        <v>15.968000000000002</v>
      </c>
      <c r="AU586">
        <f t="shared" si="27"/>
        <v>1.4000000000000001</v>
      </c>
      <c r="AV586">
        <f t="shared" si="28"/>
        <v>740.43999999999994</v>
      </c>
      <c r="AW586">
        <v>70</v>
      </c>
    </row>
    <row r="587" spans="3:55" x14ac:dyDescent="0.45">
      <c r="C587">
        <v>50.8</v>
      </c>
      <c r="D587">
        <v>0</v>
      </c>
      <c r="E587">
        <v>0</v>
      </c>
      <c r="F587">
        <v>0</v>
      </c>
      <c r="G587">
        <v>0</v>
      </c>
      <c r="H587">
        <v>0</v>
      </c>
      <c r="I587">
        <v>0</v>
      </c>
      <c r="J587">
        <v>16.100000000000001</v>
      </c>
      <c r="K587">
        <v>24.6</v>
      </c>
      <c r="L587">
        <v>8.5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1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>
        <v>0</v>
      </c>
      <c r="AI587">
        <v>0</v>
      </c>
      <c r="AJ587">
        <v>0</v>
      </c>
      <c r="AK587">
        <v>0</v>
      </c>
      <c r="AL587">
        <v>0</v>
      </c>
      <c r="AM587">
        <v>0</v>
      </c>
      <c r="AN587">
        <v>0</v>
      </c>
      <c r="AO587">
        <v>0</v>
      </c>
      <c r="AP587">
        <v>0</v>
      </c>
      <c r="AQ587">
        <v>0</v>
      </c>
      <c r="AR587">
        <v>0</v>
      </c>
      <c r="AS587">
        <v>0</v>
      </c>
      <c r="AT587">
        <f t="shared" si="29"/>
        <v>15.388000000000002</v>
      </c>
      <c r="AU587">
        <f t="shared" si="27"/>
        <v>2.6833333333333336</v>
      </c>
      <c r="AV587">
        <f t="shared" si="28"/>
        <v>690.16</v>
      </c>
      <c r="AW587">
        <v>69</v>
      </c>
    </row>
    <row r="588" spans="3:55" x14ac:dyDescent="0.45">
      <c r="C588">
        <v>38.5</v>
      </c>
      <c r="D588">
        <v>0</v>
      </c>
      <c r="E588">
        <v>0</v>
      </c>
      <c r="F588">
        <v>0</v>
      </c>
      <c r="G588">
        <v>0</v>
      </c>
      <c r="H588">
        <v>0</v>
      </c>
      <c r="I588">
        <v>0</v>
      </c>
      <c r="J588">
        <v>38.5</v>
      </c>
      <c r="K588">
        <v>15</v>
      </c>
      <c r="L588">
        <v>8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1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>
        <v>0</v>
      </c>
      <c r="AI588">
        <v>0</v>
      </c>
      <c r="AJ588">
        <v>0</v>
      </c>
      <c r="AK588">
        <v>0</v>
      </c>
      <c r="AL588">
        <v>0</v>
      </c>
      <c r="AM588">
        <v>0</v>
      </c>
      <c r="AN588">
        <v>0</v>
      </c>
      <c r="AO588">
        <v>0</v>
      </c>
      <c r="AP588">
        <v>0</v>
      </c>
      <c r="AQ588">
        <v>0</v>
      </c>
      <c r="AR588">
        <v>0</v>
      </c>
      <c r="AS588">
        <v>0</v>
      </c>
      <c r="AT588">
        <f t="shared" si="29"/>
        <v>12.2</v>
      </c>
      <c r="AU588">
        <f t="shared" si="27"/>
        <v>6.416666666666667</v>
      </c>
      <c r="AV588">
        <f t="shared" si="28"/>
        <v>540.34999999999991</v>
      </c>
      <c r="AW588">
        <v>96</v>
      </c>
    </row>
    <row r="589" spans="3:55" x14ac:dyDescent="0.45">
      <c r="C589">
        <v>37.5</v>
      </c>
      <c r="D589">
        <v>0</v>
      </c>
      <c r="E589">
        <v>0</v>
      </c>
      <c r="F589">
        <v>0</v>
      </c>
      <c r="G589">
        <v>0</v>
      </c>
      <c r="H589">
        <v>0</v>
      </c>
      <c r="I589">
        <v>0</v>
      </c>
      <c r="J589">
        <v>37.5</v>
      </c>
      <c r="K589">
        <v>15</v>
      </c>
      <c r="L589">
        <v>10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>
        <v>0</v>
      </c>
      <c r="AI589">
        <v>0</v>
      </c>
      <c r="AJ589">
        <v>0</v>
      </c>
      <c r="AK589">
        <v>0</v>
      </c>
      <c r="AL589">
        <v>0</v>
      </c>
      <c r="AM589">
        <v>0</v>
      </c>
      <c r="AN589">
        <v>0</v>
      </c>
      <c r="AO589">
        <v>0</v>
      </c>
      <c r="AP589">
        <v>0</v>
      </c>
      <c r="AQ589">
        <v>0</v>
      </c>
      <c r="AR589">
        <v>0</v>
      </c>
      <c r="AS589">
        <v>0</v>
      </c>
      <c r="AT589">
        <f t="shared" si="29"/>
        <v>14.2</v>
      </c>
      <c r="AU589">
        <f t="shared" si="27"/>
        <v>6.25</v>
      </c>
      <c r="AV589">
        <f t="shared" si="28"/>
        <v>528.25</v>
      </c>
      <c r="AW589">
        <v>97</v>
      </c>
    </row>
    <row r="590" spans="3:55" x14ac:dyDescent="0.45">
      <c r="C590">
        <v>36</v>
      </c>
      <c r="D590">
        <v>0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36</v>
      </c>
      <c r="K590">
        <v>15</v>
      </c>
      <c r="L590">
        <v>13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0</v>
      </c>
      <c r="AJ590">
        <v>0</v>
      </c>
      <c r="AK590">
        <v>0</v>
      </c>
      <c r="AL590">
        <v>0</v>
      </c>
      <c r="AM590">
        <v>0</v>
      </c>
      <c r="AN590">
        <v>0</v>
      </c>
      <c r="AO590">
        <v>0</v>
      </c>
      <c r="AP590">
        <v>0</v>
      </c>
      <c r="AQ590">
        <v>0</v>
      </c>
      <c r="AR590">
        <v>0</v>
      </c>
      <c r="AS590">
        <v>0</v>
      </c>
      <c r="AT590">
        <f t="shared" si="29"/>
        <v>17.2</v>
      </c>
      <c r="AU590">
        <f t="shared" si="27"/>
        <v>6</v>
      </c>
      <c r="AV590">
        <f t="shared" si="28"/>
        <v>510.1</v>
      </c>
      <c r="AW590">
        <v>104</v>
      </c>
    </row>
    <row r="591" spans="3:55" x14ac:dyDescent="0.45">
      <c r="C591">
        <v>35</v>
      </c>
      <c r="D591">
        <v>0</v>
      </c>
      <c r="E591">
        <v>0</v>
      </c>
      <c r="F591">
        <v>0</v>
      </c>
      <c r="G591">
        <v>0</v>
      </c>
      <c r="H591">
        <v>0</v>
      </c>
      <c r="I591">
        <v>0</v>
      </c>
      <c r="J591">
        <v>35</v>
      </c>
      <c r="K591">
        <v>15</v>
      </c>
      <c r="L591">
        <v>15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>
        <v>0</v>
      </c>
      <c r="AI591">
        <v>0</v>
      </c>
      <c r="AJ591">
        <v>0</v>
      </c>
      <c r="AK591">
        <v>0</v>
      </c>
      <c r="AL591">
        <v>0</v>
      </c>
      <c r="AM591">
        <v>0</v>
      </c>
      <c r="AN591">
        <v>0</v>
      </c>
      <c r="AO591">
        <v>0</v>
      </c>
      <c r="AP591">
        <v>0</v>
      </c>
      <c r="AQ591">
        <v>0</v>
      </c>
      <c r="AR591">
        <v>0</v>
      </c>
      <c r="AS591">
        <v>0</v>
      </c>
      <c r="AT591">
        <f t="shared" si="29"/>
        <v>19.2</v>
      </c>
      <c r="AU591">
        <f t="shared" si="27"/>
        <v>5.833333333333333</v>
      </c>
      <c r="AV591">
        <f t="shared" si="28"/>
        <v>498</v>
      </c>
      <c r="AW591">
        <v>105</v>
      </c>
    </row>
    <row r="592" spans="3:55" x14ac:dyDescent="0.45">
      <c r="C592">
        <v>71.930000000000007</v>
      </c>
      <c r="D592">
        <v>0</v>
      </c>
      <c r="E592">
        <v>0</v>
      </c>
      <c r="F592">
        <v>0</v>
      </c>
      <c r="G592">
        <v>0</v>
      </c>
      <c r="H592">
        <v>0</v>
      </c>
      <c r="I592">
        <v>0</v>
      </c>
      <c r="J592">
        <v>9.93</v>
      </c>
      <c r="K592">
        <v>16.25</v>
      </c>
      <c r="L592">
        <v>1.89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0</v>
      </c>
      <c r="AK592">
        <v>0</v>
      </c>
      <c r="AL592">
        <v>0</v>
      </c>
      <c r="AM592">
        <v>0</v>
      </c>
      <c r="AN592">
        <v>0</v>
      </c>
      <c r="AO592">
        <v>0</v>
      </c>
      <c r="AP592">
        <v>0</v>
      </c>
      <c r="AQ592">
        <v>0</v>
      </c>
      <c r="AR592">
        <v>0</v>
      </c>
      <c r="AS592">
        <v>0</v>
      </c>
      <c r="AT592">
        <f t="shared" si="29"/>
        <v>6.44</v>
      </c>
      <c r="AU592">
        <f t="shared" si="27"/>
        <v>1.655</v>
      </c>
      <c r="AV592">
        <f t="shared" si="28"/>
        <v>795.52800000000002</v>
      </c>
      <c r="AW592">
        <v>75</v>
      </c>
    </row>
    <row r="593" spans="3:55" x14ac:dyDescent="0.45">
      <c r="C593">
        <v>84.72</v>
      </c>
      <c r="D593">
        <v>0</v>
      </c>
      <c r="E593">
        <v>0</v>
      </c>
      <c r="F593">
        <v>0</v>
      </c>
      <c r="G593">
        <v>0</v>
      </c>
      <c r="H593">
        <v>0</v>
      </c>
      <c r="I593">
        <v>0</v>
      </c>
      <c r="J593">
        <v>3</v>
      </c>
      <c r="K593">
        <v>8.85</v>
      </c>
      <c r="L593">
        <v>3.43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>
        <v>0</v>
      </c>
      <c r="AI593">
        <v>0</v>
      </c>
      <c r="AJ593">
        <v>0</v>
      </c>
      <c r="AK593">
        <v>0</v>
      </c>
      <c r="AL593">
        <v>0</v>
      </c>
      <c r="AM593">
        <v>0</v>
      </c>
      <c r="AN593">
        <v>0</v>
      </c>
      <c r="AO593">
        <v>0</v>
      </c>
      <c r="AP593">
        <v>0</v>
      </c>
      <c r="AQ593">
        <v>0</v>
      </c>
      <c r="AR593">
        <v>0</v>
      </c>
      <c r="AS593">
        <v>0</v>
      </c>
      <c r="AT593">
        <f t="shared" si="29"/>
        <v>5.9080000000000004</v>
      </c>
      <c r="AU593">
        <f t="shared" si="27"/>
        <v>0.5</v>
      </c>
      <c r="AV593">
        <f t="shared" si="28"/>
        <v>828.71499999999992</v>
      </c>
      <c r="AW593">
        <v>84</v>
      </c>
      <c r="BB593" t="s">
        <v>285</v>
      </c>
    </row>
    <row r="594" spans="3:55" x14ac:dyDescent="0.45">
      <c r="C594">
        <v>79.760000000000005</v>
      </c>
      <c r="D594">
        <v>0</v>
      </c>
      <c r="E594">
        <v>0</v>
      </c>
      <c r="F594">
        <v>0</v>
      </c>
      <c r="G594">
        <v>0</v>
      </c>
      <c r="H594">
        <v>0</v>
      </c>
      <c r="I594">
        <v>0</v>
      </c>
      <c r="J594">
        <v>3.13</v>
      </c>
      <c r="K594">
        <v>15.33</v>
      </c>
      <c r="L594">
        <v>1.78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0</v>
      </c>
      <c r="AF594">
        <v>0</v>
      </c>
      <c r="AG594">
        <v>0</v>
      </c>
      <c r="AH594">
        <v>0</v>
      </c>
      <c r="AI594">
        <v>0</v>
      </c>
      <c r="AJ594">
        <v>0</v>
      </c>
      <c r="AK594">
        <v>0</v>
      </c>
      <c r="AL594">
        <v>0</v>
      </c>
      <c r="AM594">
        <v>0</v>
      </c>
      <c r="AN594">
        <v>0</v>
      </c>
      <c r="AO594">
        <v>0</v>
      </c>
      <c r="AP594">
        <v>0</v>
      </c>
      <c r="AQ594">
        <v>0</v>
      </c>
      <c r="AR594">
        <v>0</v>
      </c>
      <c r="AS594">
        <v>0</v>
      </c>
      <c r="AT594">
        <f t="shared" si="29"/>
        <v>6.0724000000000009</v>
      </c>
      <c r="AU594">
        <f t="shared" si="27"/>
        <v>0.52166666666666661</v>
      </c>
      <c r="AV594">
        <f t="shared" si="28"/>
        <v>843.49300000000005</v>
      </c>
      <c r="AW594">
        <v>67</v>
      </c>
      <c r="BB594" t="s">
        <v>285</v>
      </c>
    </row>
    <row r="595" spans="3:55" x14ac:dyDescent="0.45">
      <c r="C595">
        <v>69</v>
      </c>
      <c r="D595">
        <v>0</v>
      </c>
      <c r="E595">
        <v>0</v>
      </c>
      <c r="F595">
        <v>0</v>
      </c>
      <c r="G595">
        <v>0</v>
      </c>
      <c r="H595">
        <v>0</v>
      </c>
      <c r="I595">
        <v>0</v>
      </c>
      <c r="J595">
        <v>0</v>
      </c>
      <c r="K595">
        <v>25</v>
      </c>
      <c r="L595">
        <v>2</v>
      </c>
      <c r="M595">
        <v>4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1</v>
      </c>
      <c r="W595">
        <v>20</v>
      </c>
      <c r="X595">
        <v>70</v>
      </c>
      <c r="Y595">
        <v>0</v>
      </c>
      <c r="Z595">
        <v>1</v>
      </c>
      <c r="AA595">
        <v>0</v>
      </c>
      <c r="AB595">
        <v>0</v>
      </c>
      <c r="AC595">
        <v>0</v>
      </c>
      <c r="AD595">
        <v>0</v>
      </c>
      <c r="AE595">
        <v>0</v>
      </c>
      <c r="AF595">
        <v>0</v>
      </c>
      <c r="AG595">
        <v>0</v>
      </c>
      <c r="AH595">
        <v>0</v>
      </c>
      <c r="AI595">
        <v>0</v>
      </c>
      <c r="AJ595">
        <v>0</v>
      </c>
      <c r="AK595">
        <v>0</v>
      </c>
      <c r="AL595">
        <v>0</v>
      </c>
      <c r="AM595">
        <v>0</v>
      </c>
      <c r="AN595">
        <v>0</v>
      </c>
      <c r="AO595">
        <v>0</v>
      </c>
      <c r="AP595">
        <v>0</v>
      </c>
      <c r="AQ595">
        <v>0</v>
      </c>
      <c r="AR595">
        <v>0</v>
      </c>
      <c r="AS595">
        <v>0</v>
      </c>
      <c r="AT595">
        <f t="shared" si="29"/>
        <v>9</v>
      </c>
      <c r="AU595">
        <f t="shared" si="27"/>
        <v>1.3333333333333333</v>
      </c>
      <c r="AV595">
        <f t="shared" si="28"/>
        <v>879.8</v>
      </c>
      <c r="AY595">
        <v>813</v>
      </c>
      <c r="AZ595">
        <v>5.22</v>
      </c>
      <c r="BB595" t="s">
        <v>285</v>
      </c>
      <c r="BC595" t="s">
        <v>143</v>
      </c>
    </row>
    <row r="596" spans="3:55" x14ac:dyDescent="0.45">
      <c r="C596">
        <v>69</v>
      </c>
      <c r="D596">
        <v>0</v>
      </c>
      <c r="E596">
        <v>0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25</v>
      </c>
      <c r="L596">
        <v>2</v>
      </c>
      <c r="M596">
        <v>4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1</v>
      </c>
      <c r="W596">
        <v>20</v>
      </c>
      <c r="X596">
        <v>70</v>
      </c>
      <c r="Y596">
        <v>0</v>
      </c>
      <c r="Z596">
        <v>1</v>
      </c>
      <c r="AA596">
        <v>0</v>
      </c>
      <c r="AB596">
        <v>0</v>
      </c>
      <c r="AC596">
        <v>475</v>
      </c>
      <c r="AD596">
        <v>0.25</v>
      </c>
      <c r="AE596">
        <v>1</v>
      </c>
      <c r="AF596">
        <v>0</v>
      </c>
      <c r="AG596">
        <v>0</v>
      </c>
      <c r="AH596">
        <v>0</v>
      </c>
      <c r="AI596">
        <v>0</v>
      </c>
      <c r="AJ596">
        <v>0</v>
      </c>
      <c r="AK596">
        <v>0</v>
      </c>
      <c r="AL596">
        <v>0</v>
      </c>
      <c r="AM596">
        <v>0</v>
      </c>
      <c r="AN596">
        <v>0</v>
      </c>
      <c r="AO596">
        <v>0</v>
      </c>
      <c r="AP596">
        <v>0</v>
      </c>
      <c r="AQ596">
        <v>0</v>
      </c>
      <c r="AR596">
        <v>0</v>
      </c>
      <c r="AS596">
        <v>0</v>
      </c>
      <c r="AT596">
        <f t="shared" si="29"/>
        <v>9</v>
      </c>
      <c r="AU596">
        <f t="shared" si="27"/>
        <v>1.3333333333333333</v>
      </c>
      <c r="AV596">
        <f t="shared" si="28"/>
        <v>879.8</v>
      </c>
      <c r="AY596">
        <v>1113</v>
      </c>
      <c r="AZ596">
        <v>3.62</v>
      </c>
      <c r="BB596" t="s">
        <v>286</v>
      </c>
      <c r="BC596" t="s">
        <v>143</v>
      </c>
    </row>
    <row r="597" spans="3:55" x14ac:dyDescent="0.45">
      <c r="C597">
        <v>78.72</v>
      </c>
      <c r="D597">
        <v>0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18.72</v>
      </c>
      <c r="L597">
        <v>0.6</v>
      </c>
      <c r="M597">
        <v>1.95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1</v>
      </c>
      <c r="W597">
        <v>0</v>
      </c>
      <c r="X597">
        <v>0</v>
      </c>
      <c r="Y597">
        <v>0</v>
      </c>
      <c r="Z597">
        <v>1</v>
      </c>
      <c r="AA597">
        <v>0</v>
      </c>
      <c r="AB597">
        <v>0</v>
      </c>
      <c r="AC597">
        <v>0</v>
      </c>
      <c r="AD597">
        <v>0</v>
      </c>
      <c r="AE597">
        <v>1</v>
      </c>
      <c r="AF597">
        <v>0</v>
      </c>
      <c r="AG597">
        <v>0</v>
      </c>
      <c r="AH597">
        <v>0</v>
      </c>
      <c r="AI597">
        <v>0</v>
      </c>
      <c r="AJ597">
        <v>0</v>
      </c>
      <c r="AK597">
        <v>0</v>
      </c>
      <c r="AL597">
        <v>0</v>
      </c>
      <c r="AM597">
        <v>0</v>
      </c>
      <c r="AN597">
        <v>0</v>
      </c>
      <c r="AO597">
        <v>0</v>
      </c>
      <c r="AP597">
        <v>0</v>
      </c>
      <c r="AQ597">
        <v>0</v>
      </c>
      <c r="AR597">
        <v>0</v>
      </c>
      <c r="AS597">
        <v>0</v>
      </c>
      <c r="AT597">
        <f t="shared" si="29"/>
        <v>5.8415999999999997</v>
      </c>
      <c r="AU597">
        <f t="shared" si="27"/>
        <v>0.65</v>
      </c>
      <c r="AV597">
        <f t="shared" si="28"/>
        <v>884.49</v>
      </c>
      <c r="AW597">
        <v>46</v>
      </c>
      <c r="AX597">
        <v>130</v>
      </c>
      <c r="BC597" t="s">
        <v>60</v>
      </c>
    </row>
    <row r="598" spans="3:55" x14ac:dyDescent="0.45">
      <c r="C598">
        <v>78.72</v>
      </c>
      <c r="D598">
        <v>0</v>
      </c>
      <c r="E598">
        <v>0</v>
      </c>
      <c r="F598">
        <v>0</v>
      </c>
      <c r="G598">
        <v>0</v>
      </c>
      <c r="H598">
        <v>0</v>
      </c>
      <c r="I598">
        <v>0</v>
      </c>
      <c r="J598">
        <v>0</v>
      </c>
      <c r="K598">
        <v>18.72</v>
      </c>
      <c r="L598">
        <v>0.6</v>
      </c>
      <c r="M598">
        <v>1.95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1</v>
      </c>
      <c r="W598">
        <v>0</v>
      </c>
      <c r="X598">
        <v>0</v>
      </c>
      <c r="Y598">
        <v>0</v>
      </c>
      <c r="Z598">
        <v>1</v>
      </c>
      <c r="AA598">
        <v>0</v>
      </c>
      <c r="AB598">
        <v>0</v>
      </c>
      <c r="AC598">
        <v>0</v>
      </c>
      <c r="AD598">
        <v>0</v>
      </c>
      <c r="AE598">
        <v>1</v>
      </c>
      <c r="AF598">
        <v>0</v>
      </c>
      <c r="AG598">
        <v>0</v>
      </c>
      <c r="AH598">
        <v>0</v>
      </c>
      <c r="AI598">
        <v>0</v>
      </c>
      <c r="AJ598">
        <v>0</v>
      </c>
      <c r="AK598">
        <v>0</v>
      </c>
      <c r="AL598">
        <v>0</v>
      </c>
      <c r="AM598">
        <v>0</v>
      </c>
      <c r="AN598">
        <v>0</v>
      </c>
      <c r="AO598">
        <v>0</v>
      </c>
      <c r="AP598">
        <v>0</v>
      </c>
      <c r="AQ598">
        <v>0</v>
      </c>
      <c r="AR598">
        <v>0</v>
      </c>
      <c r="AS598">
        <v>0</v>
      </c>
      <c r="AT598">
        <f t="shared" si="29"/>
        <v>5.8415999999999997</v>
      </c>
      <c r="AU598">
        <f t="shared" si="27"/>
        <v>0.65</v>
      </c>
      <c r="AV598">
        <f t="shared" si="28"/>
        <v>884.49</v>
      </c>
      <c r="AW598">
        <v>45</v>
      </c>
      <c r="AX598">
        <v>220</v>
      </c>
      <c r="BC598" t="s">
        <v>60</v>
      </c>
    </row>
    <row r="599" spans="3:55" x14ac:dyDescent="0.45">
      <c r="C599">
        <v>81.67</v>
      </c>
      <c r="D599">
        <v>0</v>
      </c>
      <c r="E599">
        <v>0</v>
      </c>
      <c r="F599">
        <v>0</v>
      </c>
      <c r="G599">
        <v>0</v>
      </c>
      <c r="H599">
        <v>0</v>
      </c>
      <c r="I599">
        <v>0</v>
      </c>
      <c r="J599">
        <v>0</v>
      </c>
      <c r="K599">
        <v>15.24</v>
      </c>
      <c r="L599">
        <v>1.18</v>
      </c>
      <c r="M599">
        <v>1.91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1</v>
      </c>
      <c r="W599">
        <v>0</v>
      </c>
      <c r="X599">
        <v>0</v>
      </c>
      <c r="Y599">
        <v>0</v>
      </c>
      <c r="Z599">
        <v>1</v>
      </c>
      <c r="AA599">
        <v>0</v>
      </c>
      <c r="AB599">
        <v>0</v>
      </c>
      <c r="AC599">
        <v>0</v>
      </c>
      <c r="AD599">
        <v>0</v>
      </c>
      <c r="AE599">
        <v>1</v>
      </c>
      <c r="AF599">
        <v>0</v>
      </c>
      <c r="AG599">
        <v>0</v>
      </c>
      <c r="AH599">
        <v>0</v>
      </c>
      <c r="AI599">
        <v>0</v>
      </c>
      <c r="AJ599">
        <v>0</v>
      </c>
      <c r="AK599">
        <v>0</v>
      </c>
      <c r="AL599">
        <v>0</v>
      </c>
      <c r="AM599">
        <v>0</v>
      </c>
      <c r="AN599">
        <v>0</v>
      </c>
      <c r="AO599">
        <v>0</v>
      </c>
      <c r="AP599">
        <v>0</v>
      </c>
      <c r="AQ599">
        <v>0</v>
      </c>
      <c r="AR599">
        <v>0</v>
      </c>
      <c r="AS599">
        <v>0</v>
      </c>
      <c r="AT599">
        <f t="shared" si="29"/>
        <v>5.4472000000000005</v>
      </c>
      <c r="AU599">
        <f t="shared" si="27"/>
        <v>0.6366666666666666</v>
      </c>
      <c r="AV599">
        <f t="shared" si="28"/>
        <v>878.81200000000001</v>
      </c>
      <c r="AW599">
        <v>53.1</v>
      </c>
      <c r="AX599">
        <v>361</v>
      </c>
      <c r="BC599" t="s">
        <v>60</v>
      </c>
    </row>
    <row r="600" spans="3:55" x14ac:dyDescent="0.45">
      <c r="C600">
        <v>69.599999999999994</v>
      </c>
      <c r="D600">
        <v>0</v>
      </c>
      <c r="E600">
        <v>0</v>
      </c>
      <c r="F600">
        <v>0</v>
      </c>
      <c r="G600">
        <v>0</v>
      </c>
      <c r="H600">
        <v>0</v>
      </c>
      <c r="I600">
        <v>0</v>
      </c>
      <c r="J600">
        <v>0</v>
      </c>
      <c r="K600">
        <v>19.399999999999999</v>
      </c>
      <c r="L600">
        <v>4.9000000000000004</v>
      </c>
      <c r="M600">
        <v>6.1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1</v>
      </c>
      <c r="Z600">
        <v>0</v>
      </c>
      <c r="AA600">
        <v>0</v>
      </c>
      <c r="AB600">
        <v>0</v>
      </c>
      <c r="AC600">
        <v>0</v>
      </c>
      <c r="AD600">
        <v>0</v>
      </c>
      <c r="AE600">
        <v>0</v>
      </c>
      <c r="AF600">
        <v>0</v>
      </c>
      <c r="AG600">
        <v>0</v>
      </c>
      <c r="AH600">
        <v>0</v>
      </c>
      <c r="AI600">
        <v>0</v>
      </c>
      <c r="AJ600">
        <v>0</v>
      </c>
      <c r="AK600">
        <v>0</v>
      </c>
      <c r="AL600">
        <v>0</v>
      </c>
      <c r="AM600">
        <v>0</v>
      </c>
      <c r="AN600">
        <v>0</v>
      </c>
      <c r="AO600">
        <v>0</v>
      </c>
      <c r="AP600">
        <v>0</v>
      </c>
      <c r="AQ600">
        <v>0</v>
      </c>
      <c r="AR600">
        <v>0</v>
      </c>
      <c r="AS600">
        <v>0</v>
      </c>
      <c r="AT600">
        <f t="shared" si="29"/>
        <v>10.332000000000001</v>
      </c>
      <c r="AU600">
        <f t="shared" si="27"/>
        <v>2.0333333333333332</v>
      </c>
      <c r="AV600">
        <f t="shared" si="28"/>
        <v>861.07</v>
      </c>
      <c r="AW600">
        <v>51</v>
      </c>
    </row>
    <row r="601" spans="3:55" x14ac:dyDescent="0.45">
      <c r="C601">
        <v>82.35</v>
      </c>
      <c r="D601">
        <v>0</v>
      </c>
      <c r="E601">
        <v>0</v>
      </c>
      <c r="F601">
        <v>0</v>
      </c>
      <c r="G601">
        <v>0</v>
      </c>
      <c r="H601">
        <v>0</v>
      </c>
      <c r="I601">
        <v>0</v>
      </c>
      <c r="J601">
        <v>0</v>
      </c>
      <c r="K601">
        <v>11.78</v>
      </c>
      <c r="L601">
        <v>2.94</v>
      </c>
      <c r="M601">
        <v>2.93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1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>
        <v>0</v>
      </c>
      <c r="AI601">
        <v>0</v>
      </c>
      <c r="AJ601">
        <v>0</v>
      </c>
      <c r="AK601">
        <v>0</v>
      </c>
      <c r="AL601">
        <v>0</v>
      </c>
      <c r="AM601">
        <v>0</v>
      </c>
      <c r="AN601">
        <v>0</v>
      </c>
      <c r="AO601">
        <v>0</v>
      </c>
      <c r="AP601">
        <v>0</v>
      </c>
      <c r="AQ601">
        <v>0</v>
      </c>
      <c r="AR601">
        <v>0</v>
      </c>
      <c r="AS601">
        <v>0</v>
      </c>
      <c r="AT601">
        <f t="shared" si="29"/>
        <v>6.2384000000000004</v>
      </c>
      <c r="AU601">
        <f t="shared" si="27"/>
        <v>0.97666666666666668</v>
      </c>
      <c r="AV601">
        <f t="shared" si="28"/>
        <v>866.37600000000009</v>
      </c>
      <c r="AW601">
        <v>51</v>
      </c>
    </row>
    <row r="602" spans="3:55" x14ac:dyDescent="0.45">
      <c r="C602">
        <v>82.35</v>
      </c>
      <c r="D602">
        <v>0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11.76</v>
      </c>
      <c r="L602">
        <v>2.94</v>
      </c>
      <c r="M602">
        <v>2.95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1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>
        <v>0</v>
      </c>
      <c r="AI602">
        <v>0</v>
      </c>
      <c r="AJ602">
        <v>0</v>
      </c>
      <c r="AK602">
        <v>0</v>
      </c>
      <c r="AL602">
        <v>0</v>
      </c>
      <c r="AM602">
        <v>0</v>
      </c>
      <c r="AN602">
        <v>0</v>
      </c>
      <c r="AO602">
        <v>0</v>
      </c>
      <c r="AP602">
        <v>0</v>
      </c>
      <c r="AQ602">
        <v>0</v>
      </c>
      <c r="AR602">
        <v>0</v>
      </c>
      <c r="AS602">
        <v>0</v>
      </c>
      <c r="AT602">
        <f t="shared" si="29"/>
        <v>6.2328000000000001</v>
      </c>
      <c r="AU602">
        <f t="shared" si="27"/>
        <v>0.98333333333333339</v>
      </c>
      <c r="AV602">
        <f t="shared" si="28"/>
        <v>866.46</v>
      </c>
      <c r="AW602">
        <v>51</v>
      </c>
    </row>
    <row r="603" spans="3:55" x14ac:dyDescent="0.45">
      <c r="C603">
        <v>85.5</v>
      </c>
      <c r="D603">
        <v>0</v>
      </c>
      <c r="E603">
        <v>0</v>
      </c>
      <c r="F603">
        <v>0</v>
      </c>
      <c r="G603">
        <v>0</v>
      </c>
      <c r="H603">
        <v>0</v>
      </c>
      <c r="I603">
        <v>0</v>
      </c>
      <c r="J603">
        <v>0</v>
      </c>
      <c r="K603">
        <v>7.5</v>
      </c>
      <c r="L603">
        <v>4</v>
      </c>
      <c r="M603">
        <v>3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1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>
        <v>0</v>
      </c>
      <c r="AI603">
        <v>0</v>
      </c>
      <c r="AJ603">
        <v>0</v>
      </c>
      <c r="AK603">
        <v>0</v>
      </c>
      <c r="AL603">
        <v>0</v>
      </c>
      <c r="AM603">
        <v>0</v>
      </c>
      <c r="AN603">
        <v>0</v>
      </c>
      <c r="AO603">
        <v>0</v>
      </c>
      <c r="AP603">
        <v>0</v>
      </c>
      <c r="AQ603">
        <v>0</v>
      </c>
      <c r="AR603">
        <v>0</v>
      </c>
      <c r="AS603">
        <v>0</v>
      </c>
      <c r="AT603">
        <f t="shared" si="29"/>
        <v>6.1</v>
      </c>
      <c r="AU603">
        <f t="shared" si="27"/>
        <v>1</v>
      </c>
      <c r="AV603">
        <f t="shared" si="28"/>
        <v>856.6</v>
      </c>
      <c r="AW603">
        <v>46</v>
      </c>
    </row>
    <row r="604" spans="3:55" x14ac:dyDescent="0.45">
      <c r="C604">
        <v>84.5</v>
      </c>
      <c r="D604">
        <v>0</v>
      </c>
      <c r="E604">
        <v>0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7.5</v>
      </c>
      <c r="L604">
        <v>4</v>
      </c>
      <c r="M604">
        <v>4</v>
      </c>
      <c r="N604">
        <v>0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1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>
        <v>0</v>
      </c>
      <c r="AI604">
        <v>0</v>
      </c>
      <c r="AJ604">
        <v>0</v>
      </c>
      <c r="AK604">
        <v>0</v>
      </c>
      <c r="AL604">
        <v>0</v>
      </c>
      <c r="AM604">
        <v>0</v>
      </c>
      <c r="AN604">
        <v>0</v>
      </c>
      <c r="AO604">
        <v>0</v>
      </c>
      <c r="AP604">
        <v>0</v>
      </c>
      <c r="AQ604">
        <v>0</v>
      </c>
      <c r="AR604">
        <v>0</v>
      </c>
      <c r="AS604">
        <v>0</v>
      </c>
      <c r="AT604">
        <f t="shared" si="29"/>
        <v>6.1</v>
      </c>
      <c r="AU604">
        <f t="shared" si="27"/>
        <v>1.3333333333333333</v>
      </c>
      <c r="AV604">
        <f t="shared" si="28"/>
        <v>860.8</v>
      </c>
      <c r="AW604">
        <v>87</v>
      </c>
    </row>
    <row r="605" spans="3:55" x14ac:dyDescent="0.45">
      <c r="C605">
        <v>70</v>
      </c>
      <c r="D605">
        <v>0</v>
      </c>
      <c r="E605">
        <v>0</v>
      </c>
      <c r="F605">
        <v>0</v>
      </c>
      <c r="G605">
        <v>0</v>
      </c>
      <c r="H605">
        <v>2</v>
      </c>
      <c r="I605">
        <v>0</v>
      </c>
      <c r="J605">
        <v>0</v>
      </c>
      <c r="K605">
        <v>26</v>
      </c>
      <c r="L605">
        <v>0</v>
      </c>
      <c r="M605">
        <v>2</v>
      </c>
      <c r="N605">
        <v>0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1</v>
      </c>
      <c r="W605">
        <v>20</v>
      </c>
      <c r="X605">
        <v>84</v>
      </c>
      <c r="Y605">
        <v>0</v>
      </c>
      <c r="Z605">
        <v>1</v>
      </c>
      <c r="AA605">
        <v>0</v>
      </c>
      <c r="AB605">
        <v>0</v>
      </c>
      <c r="AC605">
        <v>800</v>
      </c>
      <c r="AD605">
        <v>1</v>
      </c>
      <c r="AE605">
        <v>1</v>
      </c>
      <c r="AF605">
        <v>0</v>
      </c>
      <c r="AG605">
        <v>0</v>
      </c>
      <c r="AH605">
        <v>0</v>
      </c>
      <c r="AI605">
        <v>0</v>
      </c>
      <c r="AJ605">
        <v>0</v>
      </c>
      <c r="AK605">
        <v>0</v>
      </c>
      <c r="AL605">
        <v>0</v>
      </c>
      <c r="AM605">
        <v>0</v>
      </c>
      <c r="AN605">
        <v>0</v>
      </c>
      <c r="AO605">
        <v>0</v>
      </c>
      <c r="AP605">
        <v>0</v>
      </c>
      <c r="AQ605">
        <v>0</v>
      </c>
      <c r="AR605">
        <v>0</v>
      </c>
      <c r="AS605">
        <v>0</v>
      </c>
      <c r="AT605">
        <f t="shared" si="29"/>
        <v>13.080000000000002</v>
      </c>
      <c r="AU605">
        <f t="shared" si="27"/>
        <v>0.66666666666666663</v>
      </c>
      <c r="AV605">
        <f t="shared" si="28"/>
        <v>859.6</v>
      </c>
      <c r="AY605">
        <v>679</v>
      </c>
      <c r="AZ605">
        <v>25.04</v>
      </c>
      <c r="BC605" t="s">
        <v>96</v>
      </c>
    </row>
    <row r="606" spans="3:55" x14ac:dyDescent="0.45">
      <c r="C606">
        <v>68</v>
      </c>
      <c r="D606">
        <v>0</v>
      </c>
      <c r="E606">
        <v>0</v>
      </c>
      <c r="F606">
        <v>0</v>
      </c>
      <c r="G606">
        <v>0</v>
      </c>
      <c r="H606">
        <v>2</v>
      </c>
      <c r="I606">
        <v>0</v>
      </c>
      <c r="J606">
        <v>0</v>
      </c>
      <c r="K606">
        <v>26</v>
      </c>
      <c r="L606">
        <v>0</v>
      </c>
      <c r="M606">
        <v>4</v>
      </c>
      <c r="N606">
        <v>0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1</v>
      </c>
      <c r="W606">
        <v>20</v>
      </c>
      <c r="X606">
        <v>84</v>
      </c>
      <c r="Y606">
        <v>0</v>
      </c>
      <c r="Z606">
        <v>1</v>
      </c>
      <c r="AA606">
        <v>0</v>
      </c>
      <c r="AB606">
        <v>0</v>
      </c>
      <c r="AC606">
        <v>800</v>
      </c>
      <c r="AD606">
        <v>1</v>
      </c>
      <c r="AE606">
        <v>1</v>
      </c>
      <c r="AF606">
        <v>0</v>
      </c>
      <c r="AG606">
        <v>0</v>
      </c>
      <c r="AH606">
        <v>0</v>
      </c>
      <c r="AI606">
        <v>0</v>
      </c>
      <c r="AJ606">
        <v>0</v>
      </c>
      <c r="AK606">
        <v>0</v>
      </c>
      <c r="AL606">
        <v>0</v>
      </c>
      <c r="AM606">
        <v>0</v>
      </c>
      <c r="AN606">
        <v>0</v>
      </c>
      <c r="AO606">
        <v>0</v>
      </c>
      <c r="AP606">
        <v>0</v>
      </c>
      <c r="AQ606">
        <v>0</v>
      </c>
      <c r="AR606">
        <v>0</v>
      </c>
      <c r="AS606">
        <v>0</v>
      </c>
      <c r="AT606">
        <f t="shared" si="29"/>
        <v>13.080000000000002</v>
      </c>
      <c r="AU606">
        <f t="shared" si="27"/>
        <v>1.3333333333333333</v>
      </c>
      <c r="AV606">
        <f t="shared" si="28"/>
        <v>868</v>
      </c>
      <c r="AY606">
        <v>622</v>
      </c>
      <c r="AZ606">
        <v>19.16</v>
      </c>
      <c r="BC606" t="s">
        <v>96</v>
      </c>
    </row>
    <row r="607" spans="3:55" x14ac:dyDescent="0.45">
      <c r="C607">
        <v>66</v>
      </c>
      <c r="D607">
        <v>0</v>
      </c>
      <c r="E607">
        <v>0</v>
      </c>
      <c r="F607">
        <v>0</v>
      </c>
      <c r="G607">
        <v>0</v>
      </c>
      <c r="H607">
        <v>2</v>
      </c>
      <c r="I607">
        <v>0</v>
      </c>
      <c r="J607">
        <v>0</v>
      </c>
      <c r="K607">
        <v>26</v>
      </c>
      <c r="L607">
        <v>0</v>
      </c>
      <c r="M607">
        <v>6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1</v>
      </c>
      <c r="W607">
        <v>20</v>
      </c>
      <c r="X607">
        <v>84</v>
      </c>
      <c r="Y607">
        <v>0</v>
      </c>
      <c r="Z607">
        <v>1</v>
      </c>
      <c r="AA607">
        <v>0</v>
      </c>
      <c r="AB607">
        <v>0</v>
      </c>
      <c r="AC607">
        <v>800</v>
      </c>
      <c r="AD607">
        <v>1</v>
      </c>
      <c r="AE607">
        <v>1</v>
      </c>
      <c r="AF607">
        <v>0</v>
      </c>
      <c r="AG607">
        <v>0</v>
      </c>
      <c r="AH607">
        <v>0</v>
      </c>
      <c r="AI607">
        <v>0</v>
      </c>
      <c r="AJ607">
        <v>0</v>
      </c>
      <c r="AK607">
        <v>0</v>
      </c>
      <c r="AL607">
        <v>0</v>
      </c>
      <c r="AM607">
        <v>0</v>
      </c>
      <c r="AN607">
        <v>0</v>
      </c>
      <c r="AO607">
        <v>0</v>
      </c>
      <c r="AP607">
        <v>0</v>
      </c>
      <c r="AQ607">
        <v>0</v>
      </c>
      <c r="AR607">
        <v>0</v>
      </c>
      <c r="AS607">
        <v>0</v>
      </c>
      <c r="AT607">
        <f t="shared" si="29"/>
        <v>13.080000000000002</v>
      </c>
      <c r="AU607">
        <f t="shared" si="27"/>
        <v>2</v>
      </c>
      <c r="AV607">
        <f t="shared" si="28"/>
        <v>876.40000000000009</v>
      </c>
      <c r="AY607">
        <v>577</v>
      </c>
      <c r="AZ607">
        <v>28.81</v>
      </c>
      <c r="BC607" t="s">
        <v>96</v>
      </c>
    </row>
    <row r="608" spans="3:55" x14ac:dyDescent="0.45">
      <c r="C608">
        <v>64</v>
      </c>
      <c r="D608">
        <v>0</v>
      </c>
      <c r="E608">
        <v>0</v>
      </c>
      <c r="F608">
        <v>0</v>
      </c>
      <c r="G608">
        <v>0</v>
      </c>
      <c r="H608">
        <v>2</v>
      </c>
      <c r="I608">
        <v>0</v>
      </c>
      <c r="J608">
        <v>0</v>
      </c>
      <c r="K608">
        <v>26</v>
      </c>
      <c r="L608">
        <v>0</v>
      </c>
      <c r="M608">
        <v>8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1</v>
      </c>
      <c r="W608">
        <v>20</v>
      </c>
      <c r="X608">
        <v>84</v>
      </c>
      <c r="Y608">
        <v>0</v>
      </c>
      <c r="Z608">
        <v>1</v>
      </c>
      <c r="AA608">
        <v>0</v>
      </c>
      <c r="AB608">
        <v>0</v>
      </c>
      <c r="AC608">
        <v>800</v>
      </c>
      <c r="AD608">
        <v>1</v>
      </c>
      <c r="AE608">
        <v>1</v>
      </c>
      <c r="AF608">
        <v>0</v>
      </c>
      <c r="AG608">
        <v>0</v>
      </c>
      <c r="AH608">
        <v>0</v>
      </c>
      <c r="AI608">
        <v>0</v>
      </c>
      <c r="AJ608">
        <v>0</v>
      </c>
      <c r="AK608">
        <v>0</v>
      </c>
      <c r="AL608">
        <v>0</v>
      </c>
      <c r="AM608">
        <v>0</v>
      </c>
      <c r="AN608">
        <v>0</v>
      </c>
      <c r="AO608">
        <v>0</v>
      </c>
      <c r="AP608">
        <v>0</v>
      </c>
      <c r="AQ608">
        <v>0</v>
      </c>
      <c r="AR608">
        <v>0</v>
      </c>
      <c r="AS608">
        <v>0</v>
      </c>
      <c r="AT608">
        <f t="shared" si="29"/>
        <v>13.080000000000002</v>
      </c>
      <c r="AU608">
        <f t="shared" si="27"/>
        <v>2.6666666666666665</v>
      </c>
      <c r="AV608">
        <f t="shared" si="28"/>
        <v>884.80000000000007</v>
      </c>
      <c r="AY608">
        <v>582</v>
      </c>
      <c r="AZ608">
        <v>23.83</v>
      </c>
      <c r="BC608" t="s">
        <v>96</v>
      </c>
    </row>
    <row r="609" spans="3:55" x14ac:dyDescent="0.45">
      <c r="C609">
        <v>70</v>
      </c>
      <c r="D609">
        <v>0</v>
      </c>
      <c r="E609">
        <v>0</v>
      </c>
      <c r="F609">
        <v>0</v>
      </c>
      <c r="G609">
        <v>0</v>
      </c>
      <c r="H609">
        <v>2</v>
      </c>
      <c r="I609">
        <v>0</v>
      </c>
      <c r="J609">
        <v>0</v>
      </c>
      <c r="K609">
        <v>26</v>
      </c>
      <c r="L609">
        <v>0</v>
      </c>
      <c r="M609">
        <v>2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1</v>
      </c>
      <c r="W609">
        <v>20</v>
      </c>
      <c r="X609">
        <v>84</v>
      </c>
      <c r="Y609">
        <v>0</v>
      </c>
      <c r="Z609">
        <v>1</v>
      </c>
      <c r="AA609">
        <v>0</v>
      </c>
      <c r="AB609">
        <v>0</v>
      </c>
      <c r="AC609">
        <v>800</v>
      </c>
      <c r="AD609">
        <v>1</v>
      </c>
      <c r="AE609">
        <v>1</v>
      </c>
      <c r="AF609">
        <v>0</v>
      </c>
      <c r="AG609">
        <v>0</v>
      </c>
      <c r="AH609">
        <v>0</v>
      </c>
      <c r="AI609">
        <v>0</v>
      </c>
      <c r="AJ609">
        <v>0</v>
      </c>
      <c r="AK609">
        <v>0</v>
      </c>
      <c r="AL609">
        <v>0</v>
      </c>
      <c r="AM609">
        <v>0</v>
      </c>
      <c r="AN609">
        <v>0</v>
      </c>
      <c r="AO609">
        <v>0</v>
      </c>
      <c r="AP609">
        <v>0</v>
      </c>
      <c r="AQ609">
        <v>0</v>
      </c>
      <c r="AR609">
        <v>0</v>
      </c>
      <c r="AS609">
        <v>0</v>
      </c>
      <c r="AT609">
        <f t="shared" si="29"/>
        <v>13.080000000000002</v>
      </c>
      <c r="AU609">
        <f t="shared" si="27"/>
        <v>0.66666666666666663</v>
      </c>
      <c r="AV609">
        <f t="shared" si="28"/>
        <v>859.6</v>
      </c>
      <c r="AY609">
        <v>679</v>
      </c>
      <c r="AZ609">
        <v>25.15</v>
      </c>
      <c r="BC609" t="s">
        <v>144</v>
      </c>
    </row>
    <row r="610" spans="3:55" x14ac:dyDescent="0.45">
      <c r="C610">
        <v>68</v>
      </c>
      <c r="D610">
        <v>0</v>
      </c>
      <c r="E610">
        <v>0</v>
      </c>
      <c r="F610">
        <v>0</v>
      </c>
      <c r="G610">
        <v>0</v>
      </c>
      <c r="H610">
        <v>2</v>
      </c>
      <c r="I610">
        <v>0</v>
      </c>
      <c r="J610">
        <v>0</v>
      </c>
      <c r="K610">
        <v>26</v>
      </c>
      <c r="L610">
        <v>0</v>
      </c>
      <c r="M610">
        <v>4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1</v>
      </c>
      <c r="W610">
        <v>20</v>
      </c>
      <c r="X610">
        <v>84</v>
      </c>
      <c r="Y610">
        <v>0</v>
      </c>
      <c r="Z610">
        <v>1</v>
      </c>
      <c r="AA610">
        <v>0</v>
      </c>
      <c r="AB610">
        <v>0</v>
      </c>
      <c r="AC610">
        <v>800</v>
      </c>
      <c r="AD610">
        <v>1</v>
      </c>
      <c r="AE610">
        <v>1</v>
      </c>
      <c r="AF610">
        <v>0</v>
      </c>
      <c r="AG610">
        <v>0</v>
      </c>
      <c r="AH610">
        <v>0</v>
      </c>
      <c r="AI610">
        <v>0</v>
      </c>
      <c r="AJ610">
        <v>0</v>
      </c>
      <c r="AK610">
        <v>0</v>
      </c>
      <c r="AL610">
        <v>0</v>
      </c>
      <c r="AM610">
        <v>0</v>
      </c>
      <c r="AN610">
        <v>0</v>
      </c>
      <c r="AO610">
        <v>0</v>
      </c>
      <c r="AP610">
        <v>0</v>
      </c>
      <c r="AQ610">
        <v>0</v>
      </c>
      <c r="AR610">
        <v>0</v>
      </c>
      <c r="AS610">
        <v>0</v>
      </c>
      <c r="AT610">
        <f t="shared" si="29"/>
        <v>13.080000000000002</v>
      </c>
      <c r="AU610">
        <f t="shared" si="27"/>
        <v>1.3333333333333333</v>
      </c>
      <c r="AV610">
        <f t="shared" si="28"/>
        <v>868</v>
      </c>
      <c r="AY610">
        <v>622</v>
      </c>
      <c r="AZ610">
        <v>19.04</v>
      </c>
      <c r="BC610" t="s">
        <v>145</v>
      </c>
    </row>
    <row r="611" spans="3:55" x14ac:dyDescent="0.45">
      <c r="C611">
        <v>66</v>
      </c>
      <c r="D611">
        <v>0</v>
      </c>
      <c r="E611">
        <v>0</v>
      </c>
      <c r="F611">
        <v>0</v>
      </c>
      <c r="G611">
        <v>0</v>
      </c>
      <c r="H611">
        <v>2</v>
      </c>
      <c r="I611">
        <v>0</v>
      </c>
      <c r="J611">
        <v>0</v>
      </c>
      <c r="K611">
        <v>26</v>
      </c>
      <c r="L611">
        <v>0</v>
      </c>
      <c r="M611">
        <v>6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1</v>
      </c>
      <c r="W611">
        <v>20</v>
      </c>
      <c r="X611">
        <v>84</v>
      </c>
      <c r="Y611">
        <v>0</v>
      </c>
      <c r="Z611">
        <v>1</v>
      </c>
      <c r="AA611">
        <v>0</v>
      </c>
      <c r="AB611">
        <v>0</v>
      </c>
      <c r="AC611">
        <v>800</v>
      </c>
      <c r="AD611">
        <v>1</v>
      </c>
      <c r="AE611">
        <v>1</v>
      </c>
      <c r="AF611">
        <v>0</v>
      </c>
      <c r="AG611">
        <v>0</v>
      </c>
      <c r="AH611">
        <v>0</v>
      </c>
      <c r="AI611">
        <v>0</v>
      </c>
      <c r="AJ611">
        <v>0</v>
      </c>
      <c r="AK611">
        <v>0</v>
      </c>
      <c r="AL611">
        <v>0</v>
      </c>
      <c r="AM611">
        <v>0</v>
      </c>
      <c r="AN611">
        <v>0</v>
      </c>
      <c r="AO611">
        <v>0</v>
      </c>
      <c r="AP611">
        <v>0</v>
      </c>
      <c r="AQ611">
        <v>0</v>
      </c>
      <c r="AR611">
        <v>0</v>
      </c>
      <c r="AS611">
        <v>0</v>
      </c>
      <c r="AT611">
        <f t="shared" si="29"/>
        <v>13.080000000000002</v>
      </c>
      <c r="AU611">
        <f t="shared" si="27"/>
        <v>2</v>
      </c>
      <c r="AV611">
        <f t="shared" si="28"/>
        <v>876.40000000000009</v>
      </c>
      <c r="AY611">
        <v>577</v>
      </c>
      <c r="AZ611">
        <v>28.77</v>
      </c>
      <c r="BC611" t="s">
        <v>146</v>
      </c>
    </row>
    <row r="612" spans="3:55" x14ac:dyDescent="0.45">
      <c r="C612">
        <v>64</v>
      </c>
      <c r="D612">
        <v>0</v>
      </c>
      <c r="E612">
        <v>0</v>
      </c>
      <c r="F612">
        <v>0</v>
      </c>
      <c r="G612">
        <v>0</v>
      </c>
      <c r="H612">
        <v>2</v>
      </c>
      <c r="I612">
        <v>0</v>
      </c>
      <c r="J612">
        <v>0</v>
      </c>
      <c r="K612">
        <v>26</v>
      </c>
      <c r="L612">
        <v>0</v>
      </c>
      <c r="M612">
        <v>8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1</v>
      </c>
      <c r="W612">
        <v>20</v>
      </c>
      <c r="X612">
        <v>84</v>
      </c>
      <c r="Y612">
        <v>0</v>
      </c>
      <c r="Z612">
        <v>1</v>
      </c>
      <c r="AA612">
        <v>0</v>
      </c>
      <c r="AB612">
        <v>0</v>
      </c>
      <c r="AC612">
        <v>800</v>
      </c>
      <c r="AD612">
        <v>1</v>
      </c>
      <c r="AE612">
        <v>1</v>
      </c>
      <c r="AF612">
        <v>0</v>
      </c>
      <c r="AG612">
        <v>0</v>
      </c>
      <c r="AH612">
        <v>0</v>
      </c>
      <c r="AI612">
        <v>0</v>
      </c>
      <c r="AJ612">
        <v>0</v>
      </c>
      <c r="AK612">
        <v>0</v>
      </c>
      <c r="AL612">
        <v>0</v>
      </c>
      <c r="AM612">
        <v>0</v>
      </c>
      <c r="AN612">
        <v>0</v>
      </c>
      <c r="AO612">
        <v>0</v>
      </c>
      <c r="AP612">
        <v>0</v>
      </c>
      <c r="AQ612">
        <v>0</v>
      </c>
      <c r="AR612">
        <v>0</v>
      </c>
      <c r="AS612">
        <v>0</v>
      </c>
      <c r="AT612">
        <f t="shared" si="29"/>
        <v>13.080000000000002</v>
      </c>
      <c r="AU612">
        <f t="shared" si="27"/>
        <v>2.6666666666666665</v>
      </c>
      <c r="AV612">
        <f t="shared" si="28"/>
        <v>884.80000000000007</v>
      </c>
      <c r="AY612">
        <v>582</v>
      </c>
      <c r="AZ612">
        <v>23.78</v>
      </c>
      <c r="BC612" t="s">
        <v>147</v>
      </c>
    </row>
    <row r="613" spans="3:55" x14ac:dyDescent="0.45">
      <c r="C613">
        <v>83.76</v>
      </c>
      <c r="D613">
        <v>0</v>
      </c>
      <c r="E613">
        <v>0</v>
      </c>
      <c r="F613">
        <v>0</v>
      </c>
      <c r="G613">
        <v>0</v>
      </c>
      <c r="H613">
        <v>2.56</v>
      </c>
      <c r="I613">
        <v>0</v>
      </c>
      <c r="J613">
        <v>0</v>
      </c>
      <c r="K613">
        <v>11</v>
      </c>
      <c r="L613">
        <v>0</v>
      </c>
      <c r="M613">
        <v>2.68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1</v>
      </c>
      <c r="W613">
        <v>0</v>
      </c>
      <c r="X613">
        <v>0</v>
      </c>
      <c r="Y613">
        <v>0</v>
      </c>
      <c r="Z613">
        <v>1</v>
      </c>
      <c r="AA613">
        <v>0</v>
      </c>
      <c r="AB613">
        <v>0</v>
      </c>
      <c r="AC613">
        <v>0</v>
      </c>
      <c r="AD613">
        <v>0</v>
      </c>
      <c r="AE613">
        <v>1</v>
      </c>
      <c r="AF613">
        <v>0</v>
      </c>
      <c r="AG613">
        <v>0</v>
      </c>
      <c r="AH613">
        <v>0</v>
      </c>
      <c r="AI613">
        <v>0</v>
      </c>
      <c r="AJ613">
        <v>0</v>
      </c>
      <c r="AK613">
        <v>0</v>
      </c>
      <c r="AL613">
        <v>0</v>
      </c>
      <c r="AM613">
        <v>0</v>
      </c>
      <c r="AN613">
        <v>0</v>
      </c>
      <c r="AO613">
        <v>0</v>
      </c>
      <c r="AP613">
        <v>0</v>
      </c>
      <c r="AQ613">
        <v>0</v>
      </c>
      <c r="AR613">
        <v>0</v>
      </c>
      <c r="AS613">
        <v>0</v>
      </c>
      <c r="AT613">
        <f t="shared" si="29"/>
        <v>10.504</v>
      </c>
      <c r="AU613">
        <f t="shared" si="27"/>
        <v>0.89333333333333342</v>
      </c>
      <c r="AV613">
        <f t="shared" si="28"/>
        <v>853.83199999999999</v>
      </c>
      <c r="AW613">
        <v>71</v>
      </c>
      <c r="AX613">
        <v>765</v>
      </c>
      <c r="BC613" t="s">
        <v>60</v>
      </c>
    </row>
    <row r="614" spans="3:55" x14ac:dyDescent="0.45">
      <c r="C614">
        <v>87.5</v>
      </c>
      <c r="D614">
        <v>5</v>
      </c>
      <c r="E614">
        <v>0</v>
      </c>
      <c r="F614">
        <v>0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5</v>
      </c>
      <c r="M614">
        <v>2.5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1</v>
      </c>
      <c r="Z614">
        <v>0</v>
      </c>
      <c r="AA614">
        <v>0</v>
      </c>
      <c r="AB614">
        <v>0</v>
      </c>
      <c r="AC614">
        <v>1000</v>
      </c>
      <c r="AD614">
        <v>1</v>
      </c>
      <c r="AE614">
        <v>0</v>
      </c>
      <c r="AF614">
        <v>0</v>
      </c>
      <c r="AG614">
        <v>1</v>
      </c>
      <c r="AH614">
        <v>0</v>
      </c>
      <c r="AI614">
        <v>0</v>
      </c>
      <c r="AJ614">
        <v>0</v>
      </c>
      <c r="AK614">
        <v>0</v>
      </c>
      <c r="AL614">
        <v>0</v>
      </c>
      <c r="AM614">
        <v>0</v>
      </c>
      <c r="AN614">
        <v>0</v>
      </c>
      <c r="AO614">
        <v>0</v>
      </c>
      <c r="AP614">
        <v>0</v>
      </c>
      <c r="AQ614">
        <v>0</v>
      </c>
      <c r="AR614">
        <v>0</v>
      </c>
      <c r="AS614">
        <v>0</v>
      </c>
      <c r="AT614">
        <f t="shared" si="29"/>
        <v>0</v>
      </c>
      <c r="AU614">
        <f t="shared" si="27"/>
        <v>5.833333333333333</v>
      </c>
      <c r="AV614">
        <f t="shared" si="28"/>
        <v>855.5</v>
      </c>
      <c r="AY614">
        <v>1016</v>
      </c>
      <c r="AZ614">
        <v>5.8</v>
      </c>
      <c r="BC614" t="s">
        <v>114</v>
      </c>
    </row>
    <row r="615" spans="3:55" x14ac:dyDescent="0.45">
      <c r="C615">
        <v>82.5</v>
      </c>
      <c r="D615">
        <v>5</v>
      </c>
      <c r="E615">
        <v>0</v>
      </c>
      <c r="F615">
        <v>0</v>
      </c>
      <c r="G615">
        <v>0</v>
      </c>
      <c r="H615">
        <v>0</v>
      </c>
      <c r="I615">
        <v>0</v>
      </c>
      <c r="J615">
        <v>0</v>
      </c>
      <c r="K615">
        <v>0</v>
      </c>
      <c r="L615">
        <v>10</v>
      </c>
      <c r="M615">
        <v>2.5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1</v>
      </c>
      <c r="Z615">
        <v>0</v>
      </c>
      <c r="AA615">
        <v>0</v>
      </c>
      <c r="AB615">
        <v>0</v>
      </c>
      <c r="AC615">
        <v>1000</v>
      </c>
      <c r="AD615">
        <v>1</v>
      </c>
      <c r="AE615">
        <v>0</v>
      </c>
      <c r="AF615">
        <v>0</v>
      </c>
      <c r="AG615">
        <v>1</v>
      </c>
      <c r="AH615">
        <v>0</v>
      </c>
      <c r="AI615">
        <v>0</v>
      </c>
      <c r="AJ615">
        <v>0</v>
      </c>
      <c r="AK615">
        <v>0</v>
      </c>
      <c r="AL615">
        <v>0</v>
      </c>
      <c r="AM615">
        <v>0</v>
      </c>
      <c r="AN615">
        <v>0</v>
      </c>
      <c r="AO615">
        <v>0</v>
      </c>
      <c r="AP615">
        <v>0</v>
      </c>
      <c r="AQ615">
        <v>0</v>
      </c>
      <c r="AR615">
        <v>0</v>
      </c>
      <c r="AS615">
        <v>0</v>
      </c>
      <c r="AT615">
        <f t="shared" si="29"/>
        <v>5</v>
      </c>
      <c r="AU615">
        <f t="shared" si="27"/>
        <v>5.833333333333333</v>
      </c>
      <c r="AV615">
        <f t="shared" si="28"/>
        <v>808</v>
      </c>
      <c r="AY615">
        <v>1260</v>
      </c>
      <c r="AZ615">
        <v>8.4</v>
      </c>
      <c r="BC615" t="s">
        <v>114</v>
      </c>
    </row>
    <row r="616" spans="3:55" x14ac:dyDescent="0.45">
      <c r="C616">
        <v>77.5</v>
      </c>
      <c r="D616">
        <v>5</v>
      </c>
      <c r="E616">
        <v>0</v>
      </c>
      <c r="F616">
        <v>0</v>
      </c>
      <c r="G616">
        <v>0</v>
      </c>
      <c r="H616">
        <v>0</v>
      </c>
      <c r="I616">
        <v>0</v>
      </c>
      <c r="J616">
        <v>0</v>
      </c>
      <c r="K616">
        <v>0</v>
      </c>
      <c r="L616">
        <v>15</v>
      </c>
      <c r="M616">
        <v>2.5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1</v>
      </c>
      <c r="Z616">
        <v>0</v>
      </c>
      <c r="AA616">
        <v>0</v>
      </c>
      <c r="AB616">
        <v>0</v>
      </c>
      <c r="AC616">
        <v>1000</v>
      </c>
      <c r="AD616">
        <v>1</v>
      </c>
      <c r="AE616">
        <v>0</v>
      </c>
      <c r="AF616">
        <v>0</v>
      </c>
      <c r="AG616">
        <v>1</v>
      </c>
      <c r="AH616">
        <v>0</v>
      </c>
      <c r="AI616">
        <v>0</v>
      </c>
      <c r="AJ616">
        <v>0</v>
      </c>
      <c r="AK616">
        <v>0</v>
      </c>
      <c r="AL616">
        <v>0</v>
      </c>
      <c r="AM616">
        <v>0</v>
      </c>
      <c r="AN616">
        <v>0</v>
      </c>
      <c r="AO616">
        <v>0</v>
      </c>
      <c r="AP616">
        <v>0</v>
      </c>
      <c r="AQ616">
        <v>0</v>
      </c>
      <c r="AR616">
        <v>0</v>
      </c>
      <c r="AS616">
        <v>0</v>
      </c>
      <c r="AT616">
        <f t="shared" si="29"/>
        <v>10</v>
      </c>
      <c r="AU616">
        <f t="shared" si="27"/>
        <v>5.833333333333333</v>
      </c>
      <c r="AV616">
        <f t="shared" si="28"/>
        <v>760.5</v>
      </c>
      <c r="AY616">
        <v>724</v>
      </c>
      <c r="AZ616">
        <v>9.3000000000000007</v>
      </c>
      <c r="BC616" t="s">
        <v>114</v>
      </c>
    </row>
    <row r="617" spans="3:55" x14ac:dyDescent="0.45">
      <c r="C617">
        <v>87.5</v>
      </c>
      <c r="D617">
        <v>5</v>
      </c>
      <c r="E617">
        <v>0</v>
      </c>
      <c r="F617">
        <v>0</v>
      </c>
      <c r="G617">
        <v>0</v>
      </c>
      <c r="H617">
        <v>0</v>
      </c>
      <c r="I617">
        <v>0</v>
      </c>
      <c r="J617">
        <v>0</v>
      </c>
      <c r="K617">
        <v>0</v>
      </c>
      <c r="L617">
        <v>5</v>
      </c>
      <c r="M617">
        <v>2.5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1</v>
      </c>
      <c r="W617">
        <v>0</v>
      </c>
      <c r="X617">
        <v>0</v>
      </c>
      <c r="Y617">
        <v>0</v>
      </c>
      <c r="Z617">
        <v>1</v>
      </c>
      <c r="AA617">
        <v>0</v>
      </c>
      <c r="AB617">
        <v>0</v>
      </c>
      <c r="AC617">
        <v>0</v>
      </c>
      <c r="AD617">
        <v>0</v>
      </c>
      <c r="AE617">
        <v>0</v>
      </c>
      <c r="AF617">
        <v>0</v>
      </c>
      <c r="AG617">
        <v>0</v>
      </c>
      <c r="AH617">
        <v>0</v>
      </c>
      <c r="AI617">
        <v>0</v>
      </c>
      <c r="AJ617">
        <v>0</v>
      </c>
      <c r="AK617">
        <v>0</v>
      </c>
      <c r="AL617">
        <v>0</v>
      </c>
      <c r="AM617">
        <v>0</v>
      </c>
      <c r="AN617">
        <v>0</v>
      </c>
      <c r="AO617">
        <v>0</v>
      </c>
      <c r="AP617">
        <v>0</v>
      </c>
      <c r="AQ617">
        <v>0</v>
      </c>
      <c r="AR617">
        <v>0</v>
      </c>
      <c r="AS617">
        <v>0</v>
      </c>
      <c r="AT617">
        <f t="shared" si="29"/>
        <v>0</v>
      </c>
      <c r="AU617">
        <f t="shared" si="27"/>
        <v>5.833333333333333</v>
      </c>
      <c r="AV617">
        <f t="shared" si="28"/>
        <v>855.5</v>
      </c>
      <c r="AX617">
        <v>966</v>
      </c>
      <c r="AY617">
        <v>1016</v>
      </c>
      <c r="AZ617">
        <v>5.8</v>
      </c>
      <c r="BA617">
        <v>342</v>
      </c>
      <c r="BC617" t="s">
        <v>98</v>
      </c>
    </row>
    <row r="618" spans="3:55" x14ac:dyDescent="0.45">
      <c r="C618">
        <v>82.5</v>
      </c>
      <c r="D618">
        <v>5</v>
      </c>
      <c r="E618">
        <v>0</v>
      </c>
      <c r="F618">
        <v>0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10</v>
      </c>
      <c r="M618">
        <v>2.5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1</v>
      </c>
      <c r="W618">
        <v>0</v>
      </c>
      <c r="X618">
        <v>0</v>
      </c>
      <c r="Y618">
        <v>0</v>
      </c>
      <c r="Z618">
        <v>1</v>
      </c>
      <c r="AA618">
        <v>0</v>
      </c>
      <c r="AB618">
        <v>0</v>
      </c>
      <c r="AC618">
        <v>0</v>
      </c>
      <c r="AD618">
        <v>0</v>
      </c>
      <c r="AE618">
        <v>0</v>
      </c>
      <c r="AF618">
        <v>0</v>
      </c>
      <c r="AG618">
        <v>0</v>
      </c>
      <c r="AH618">
        <v>0</v>
      </c>
      <c r="AI618">
        <v>0</v>
      </c>
      <c r="AJ618">
        <v>0</v>
      </c>
      <c r="AK618">
        <v>0</v>
      </c>
      <c r="AL618">
        <v>0</v>
      </c>
      <c r="AM618">
        <v>0</v>
      </c>
      <c r="AN618">
        <v>0</v>
      </c>
      <c r="AO618">
        <v>0</v>
      </c>
      <c r="AP618">
        <v>0</v>
      </c>
      <c r="AQ618">
        <v>0</v>
      </c>
      <c r="AR618">
        <v>0</v>
      </c>
      <c r="AS618">
        <v>0</v>
      </c>
      <c r="AT618">
        <f t="shared" si="29"/>
        <v>5</v>
      </c>
      <c r="AU618">
        <f t="shared" si="27"/>
        <v>5.833333333333333</v>
      </c>
      <c r="AV618">
        <f t="shared" si="28"/>
        <v>808</v>
      </c>
      <c r="AX618">
        <v>1198</v>
      </c>
      <c r="AY618">
        <v>1260</v>
      </c>
      <c r="AZ618">
        <v>8.4</v>
      </c>
      <c r="BA618">
        <v>388</v>
      </c>
      <c r="BC618" t="s">
        <v>98</v>
      </c>
    </row>
    <row r="619" spans="3:55" x14ac:dyDescent="0.45">
      <c r="C619">
        <v>77.5</v>
      </c>
      <c r="D619">
        <v>5</v>
      </c>
      <c r="E619">
        <v>0</v>
      </c>
      <c r="F619">
        <v>0</v>
      </c>
      <c r="G619">
        <v>0</v>
      </c>
      <c r="H619">
        <v>0</v>
      </c>
      <c r="I619">
        <v>0</v>
      </c>
      <c r="J619">
        <v>0</v>
      </c>
      <c r="K619">
        <v>0</v>
      </c>
      <c r="L619">
        <v>15</v>
      </c>
      <c r="M619">
        <v>2.5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1</v>
      </c>
      <c r="W619">
        <v>0</v>
      </c>
      <c r="X619">
        <v>0</v>
      </c>
      <c r="Y619">
        <v>0</v>
      </c>
      <c r="Z619">
        <v>1</v>
      </c>
      <c r="AA619">
        <v>0</v>
      </c>
      <c r="AB619">
        <v>0</v>
      </c>
      <c r="AC619">
        <v>0</v>
      </c>
      <c r="AD619">
        <v>0</v>
      </c>
      <c r="AE619">
        <v>0</v>
      </c>
      <c r="AF619">
        <v>0</v>
      </c>
      <c r="AG619">
        <v>0</v>
      </c>
      <c r="AH619">
        <v>0</v>
      </c>
      <c r="AI619">
        <v>0</v>
      </c>
      <c r="AJ619">
        <v>0</v>
      </c>
      <c r="AK619">
        <v>0</v>
      </c>
      <c r="AL619">
        <v>0</v>
      </c>
      <c r="AM619">
        <v>0</v>
      </c>
      <c r="AN619">
        <v>0</v>
      </c>
      <c r="AO619">
        <v>0</v>
      </c>
      <c r="AP619">
        <v>0</v>
      </c>
      <c r="AQ619">
        <v>0</v>
      </c>
      <c r="AR619">
        <v>0</v>
      </c>
      <c r="AS619">
        <v>0</v>
      </c>
      <c r="AT619">
        <f t="shared" si="29"/>
        <v>10</v>
      </c>
      <c r="AU619">
        <f t="shared" si="27"/>
        <v>5.833333333333333</v>
      </c>
      <c r="AV619">
        <f t="shared" si="28"/>
        <v>760.5</v>
      </c>
      <c r="AX619">
        <v>711</v>
      </c>
      <c r="AY619">
        <v>724</v>
      </c>
      <c r="AZ619">
        <v>9.3000000000000007</v>
      </c>
      <c r="BA619">
        <v>275</v>
      </c>
      <c r="BB619" t="s">
        <v>351</v>
      </c>
      <c r="BC619" t="s">
        <v>98</v>
      </c>
    </row>
    <row r="620" spans="3:55" x14ac:dyDescent="0.45">
      <c r="C620">
        <v>90.1</v>
      </c>
      <c r="D620">
        <v>7.1</v>
      </c>
      <c r="E620">
        <v>1.2</v>
      </c>
      <c r="F620">
        <v>0</v>
      </c>
      <c r="G620">
        <v>0</v>
      </c>
      <c r="H620">
        <v>0</v>
      </c>
      <c r="I620">
        <v>0</v>
      </c>
      <c r="J620">
        <v>1.6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1</v>
      </c>
      <c r="Z620">
        <v>0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0</v>
      </c>
      <c r="AG620">
        <v>0</v>
      </c>
      <c r="AH620">
        <v>0</v>
      </c>
      <c r="AI620">
        <v>0</v>
      </c>
      <c r="AJ620">
        <v>0</v>
      </c>
      <c r="AK620">
        <v>0</v>
      </c>
      <c r="AL620">
        <v>0</v>
      </c>
      <c r="AM620">
        <v>0</v>
      </c>
      <c r="AN620">
        <v>0</v>
      </c>
      <c r="AO620">
        <v>0</v>
      </c>
      <c r="AP620">
        <v>0</v>
      </c>
      <c r="AQ620">
        <v>0</v>
      </c>
      <c r="AR620">
        <v>0</v>
      </c>
      <c r="AS620">
        <v>0</v>
      </c>
      <c r="AT620">
        <f t="shared" si="29"/>
        <v>-6.2959999999999994</v>
      </c>
      <c r="AU620">
        <f t="shared" si="27"/>
        <v>7.3666666666666663</v>
      </c>
      <c r="AV620">
        <f t="shared" si="28"/>
        <v>871.71</v>
      </c>
      <c r="AY620">
        <v>787.75</v>
      </c>
      <c r="AZ620">
        <v>13.42</v>
      </c>
      <c r="BB620" t="s">
        <v>351</v>
      </c>
      <c r="BC620" t="s">
        <v>148</v>
      </c>
    </row>
    <row r="621" spans="3:55" x14ac:dyDescent="0.45">
      <c r="C621">
        <v>87.9</v>
      </c>
      <c r="D621">
        <v>6.8</v>
      </c>
      <c r="E621">
        <v>2.4</v>
      </c>
      <c r="F621">
        <v>0</v>
      </c>
      <c r="G621">
        <v>0</v>
      </c>
      <c r="H621">
        <v>0</v>
      </c>
      <c r="I621">
        <v>0</v>
      </c>
      <c r="J621">
        <v>2.9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1</v>
      </c>
      <c r="Z621">
        <v>0</v>
      </c>
      <c r="AA621">
        <v>0</v>
      </c>
      <c r="AB621">
        <v>0</v>
      </c>
      <c r="AC621">
        <v>0</v>
      </c>
      <c r="AD621">
        <v>0</v>
      </c>
      <c r="AE621">
        <v>0</v>
      </c>
      <c r="AF621">
        <v>0</v>
      </c>
      <c r="AG621">
        <v>0</v>
      </c>
      <c r="AH621">
        <v>0</v>
      </c>
      <c r="AI621">
        <v>0</v>
      </c>
      <c r="AJ621">
        <v>0</v>
      </c>
      <c r="AK621">
        <v>0</v>
      </c>
      <c r="AL621">
        <v>0</v>
      </c>
      <c r="AM621">
        <v>0</v>
      </c>
      <c r="AN621">
        <v>0</v>
      </c>
      <c r="AO621">
        <v>0</v>
      </c>
      <c r="AP621">
        <v>0</v>
      </c>
      <c r="AQ621">
        <v>0</v>
      </c>
      <c r="AR621">
        <v>0</v>
      </c>
      <c r="AS621">
        <v>0</v>
      </c>
      <c r="AT621">
        <f t="shared" si="29"/>
        <v>-5.1920000000000002</v>
      </c>
      <c r="AU621">
        <f t="shared" si="27"/>
        <v>7.2833333333333332</v>
      </c>
      <c r="AV621">
        <f t="shared" si="28"/>
        <v>847.94999999999993</v>
      </c>
      <c r="AY621">
        <v>840.86</v>
      </c>
      <c r="AZ621">
        <v>10.41</v>
      </c>
      <c r="BC621" t="s">
        <v>148</v>
      </c>
    </row>
    <row r="622" spans="3:55" x14ac:dyDescent="0.45">
      <c r="C622">
        <v>85.8</v>
      </c>
      <c r="D622">
        <v>6.5</v>
      </c>
      <c r="E622">
        <v>3.5</v>
      </c>
      <c r="F622">
        <v>0</v>
      </c>
      <c r="G622">
        <v>0</v>
      </c>
      <c r="H622">
        <v>0</v>
      </c>
      <c r="I622">
        <v>0</v>
      </c>
      <c r="J622">
        <v>4.2</v>
      </c>
      <c r="K622">
        <v>0</v>
      </c>
      <c r="L622">
        <v>0</v>
      </c>
      <c r="M622">
        <v>0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1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0</v>
      </c>
      <c r="AF622">
        <v>0</v>
      </c>
      <c r="AG622">
        <v>0</v>
      </c>
      <c r="AH622">
        <v>0</v>
      </c>
      <c r="AI622">
        <v>0</v>
      </c>
      <c r="AJ622">
        <v>0</v>
      </c>
      <c r="AK622">
        <v>0</v>
      </c>
      <c r="AL622">
        <v>0</v>
      </c>
      <c r="AM622">
        <v>0</v>
      </c>
      <c r="AN622">
        <v>0</v>
      </c>
      <c r="AO622">
        <v>0</v>
      </c>
      <c r="AP622">
        <v>0</v>
      </c>
      <c r="AQ622">
        <v>0</v>
      </c>
      <c r="AR622">
        <v>0</v>
      </c>
      <c r="AS622">
        <v>0</v>
      </c>
      <c r="AT622">
        <f t="shared" si="29"/>
        <v>-4.1549999999999994</v>
      </c>
      <c r="AU622">
        <f t="shared" si="27"/>
        <v>7.2</v>
      </c>
      <c r="AV622">
        <f t="shared" si="28"/>
        <v>825.37</v>
      </c>
      <c r="AY622">
        <v>963.77</v>
      </c>
      <c r="AZ622">
        <v>7.18</v>
      </c>
      <c r="BC622" t="s">
        <v>148</v>
      </c>
    </row>
    <row r="623" spans="3:55" x14ac:dyDescent="0.45">
      <c r="C623">
        <v>83.6</v>
      </c>
      <c r="D623">
        <v>6.2</v>
      </c>
      <c r="E623">
        <v>4.5999999999999996</v>
      </c>
      <c r="F623">
        <v>0</v>
      </c>
      <c r="G623">
        <v>0</v>
      </c>
      <c r="H623">
        <v>0</v>
      </c>
      <c r="I623">
        <v>0</v>
      </c>
      <c r="J623">
        <v>5.6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1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0</v>
      </c>
      <c r="AF623">
        <v>0</v>
      </c>
      <c r="AG623">
        <v>0</v>
      </c>
      <c r="AH623">
        <v>0</v>
      </c>
      <c r="AI623">
        <v>0</v>
      </c>
      <c r="AJ623">
        <v>0</v>
      </c>
      <c r="AK623">
        <v>0</v>
      </c>
      <c r="AL623">
        <v>0</v>
      </c>
      <c r="AM623">
        <v>0</v>
      </c>
      <c r="AN623">
        <v>0</v>
      </c>
      <c r="AO623">
        <v>0</v>
      </c>
      <c r="AP623">
        <v>0</v>
      </c>
      <c r="AQ623">
        <v>0</v>
      </c>
      <c r="AR623">
        <v>0</v>
      </c>
      <c r="AS623">
        <v>0</v>
      </c>
      <c r="AT623">
        <f t="shared" si="29"/>
        <v>-3.1180000000000003</v>
      </c>
      <c r="AU623">
        <f t="shared" si="27"/>
        <v>7.1333333333333337</v>
      </c>
      <c r="AV623">
        <f t="shared" si="28"/>
        <v>802.1</v>
      </c>
      <c r="AY623">
        <v>1070.49</v>
      </c>
      <c r="AZ623">
        <v>5.13</v>
      </c>
      <c r="BC623" t="s">
        <v>148</v>
      </c>
    </row>
    <row r="624" spans="3:55" x14ac:dyDescent="0.45">
      <c r="C624">
        <v>81.599999999999994</v>
      </c>
      <c r="D624">
        <v>5.9</v>
      </c>
      <c r="E624">
        <v>5.7</v>
      </c>
      <c r="F624">
        <v>0</v>
      </c>
      <c r="G624">
        <v>0</v>
      </c>
      <c r="H624">
        <v>0</v>
      </c>
      <c r="I624">
        <v>0</v>
      </c>
      <c r="J624">
        <v>6.8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1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0</v>
      </c>
      <c r="AF624">
        <v>0</v>
      </c>
      <c r="AG624">
        <v>0</v>
      </c>
      <c r="AH624">
        <v>0</v>
      </c>
      <c r="AI624">
        <v>0</v>
      </c>
      <c r="AJ624">
        <v>0</v>
      </c>
      <c r="AK624">
        <v>0</v>
      </c>
      <c r="AL624">
        <v>0</v>
      </c>
      <c r="AM624">
        <v>0</v>
      </c>
      <c r="AN624">
        <v>0</v>
      </c>
      <c r="AO624">
        <v>0</v>
      </c>
      <c r="AP624">
        <v>0</v>
      </c>
      <c r="AQ624">
        <v>0</v>
      </c>
      <c r="AR624">
        <v>0</v>
      </c>
      <c r="AS624">
        <v>0</v>
      </c>
      <c r="AT624">
        <f t="shared" si="29"/>
        <v>-2.081</v>
      </c>
      <c r="AU624">
        <f t="shared" si="27"/>
        <v>7.0333333333333332</v>
      </c>
      <c r="AV624">
        <f t="shared" si="28"/>
        <v>780.21</v>
      </c>
      <c r="AY624">
        <v>1193.4000000000001</v>
      </c>
      <c r="AZ624">
        <v>1.79</v>
      </c>
      <c r="BC624" t="s">
        <v>148</v>
      </c>
    </row>
    <row r="625" spans="3:55" x14ac:dyDescent="0.45">
      <c r="C625">
        <v>79.5</v>
      </c>
      <c r="D625">
        <v>5.6</v>
      </c>
      <c r="E625">
        <v>6.8</v>
      </c>
      <c r="F625">
        <v>0</v>
      </c>
      <c r="G625">
        <v>0</v>
      </c>
      <c r="H625">
        <v>0</v>
      </c>
      <c r="I625">
        <v>0</v>
      </c>
      <c r="J625">
        <v>8.1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1</v>
      </c>
      <c r="Z625">
        <v>0</v>
      </c>
      <c r="AA625">
        <v>0</v>
      </c>
      <c r="AB625">
        <v>0</v>
      </c>
      <c r="AC625">
        <v>0</v>
      </c>
      <c r="AD625">
        <v>0</v>
      </c>
      <c r="AE625">
        <v>0</v>
      </c>
      <c r="AF625">
        <v>0</v>
      </c>
      <c r="AG625">
        <v>0</v>
      </c>
      <c r="AH625">
        <v>0</v>
      </c>
      <c r="AI625">
        <v>0</v>
      </c>
      <c r="AJ625">
        <v>0</v>
      </c>
      <c r="AK625">
        <v>0</v>
      </c>
      <c r="AL625">
        <v>0</v>
      </c>
      <c r="AM625">
        <v>0</v>
      </c>
      <c r="AN625">
        <v>0</v>
      </c>
      <c r="AO625">
        <v>0</v>
      </c>
      <c r="AP625">
        <v>0</v>
      </c>
      <c r="AQ625">
        <v>0</v>
      </c>
      <c r="AR625">
        <v>0</v>
      </c>
      <c r="AS625">
        <v>0</v>
      </c>
      <c r="AT625">
        <f t="shared" si="29"/>
        <v>-1.0439999999999996</v>
      </c>
      <c r="AU625">
        <f t="shared" si="27"/>
        <v>6.9499999999999993</v>
      </c>
      <c r="AV625">
        <f t="shared" si="28"/>
        <v>757.63</v>
      </c>
      <c r="AY625">
        <v>1293</v>
      </c>
      <c r="AZ625">
        <v>2.0099999999999998</v>
      </c>
      <c r="BC625" t="s">
        <v>148</v>
      </c>
    </row>
    <row r="626" spans="3:55" x14ac:dyDescent="0.45">
      <c r="C626">
        <v>77.599999999999994</v>
      </c>
      <c r="D626">
        <v>5.3</v>
      </c>
      <c r="E626">
        <v>7.8</v>
      </c>
      <c r="F626">
        <v>0</v>
      </c>
      <c r="G626">
        <v>0</v>
      </c>
      <c r="H626">
        <v>0</v>
      </c>
      <c r="I626">
        <v>0</v>
      </c>
      <c r="J626">
        <v>9.3000000000000007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1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>
        <v>0</v>
      </c>
      <c r="AI626">
        <v>0</v>
      </c>
      <c r="AJ626">
        <v>0</v>
      </c>
      <c r="AK626">
        <v>0</v>
      </c>
      <c r="AL626">
        <v>0</v>
      </c>
      <c r="AM626">
        <v>0</v>
      </c>
      <c r="AN626">
        <v>0</v>
      </c>
      <c r="AO626">
        <v>0</v>
      </c>
      <c r="AP626">
        <v>0</v>
      </c>
      <c r="AQ626">
        <v>0</v>
      </c>
      <c r="AR626">
        <v>0</v>
      </c>
      <c r="AS626">
        <v>0</v>
      </c>
      <c r="AT626">
        <f t="shared" si="29"/>
        <v>-7.3999999999999844E-2</v>
      </c>
      <c r="AU626">
        <f t="shared" si="27"/>
        <v>6.85</v>
      </c>
      <c r="AV626">
        <f t="shared" si="28"/>
        <v>736.92000000000007</v>
      </c>
      <c r="AY626">
        <v>1253.07</v>
      </c>
      <c r="AZ626">
        <v>4.79</v>
      </c>
      <c r="BC626" t="s">
        <v>148</v>
      </c>
    </row>
    <row r="627" spans="3:55" x14ac:dyDescent="0.45">
      <c r="C627">
        <v>90.1</v>
      </c>
      <c r="D627">
        <v>7.1</v>
      </c>
      <c r="E627">
        <v>1.2</v>
      </c>
      <c r="F627">
        <v>0</v>
      </c>
      <c r="G627">
        <v>0</v>
      </c>
      <c r="H627">
        <v>0</v>
      </c>
      <c r="I627">
        <v>0</v>
      </c>
      <c r="J627">
        <v>1.6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1</v>
      </c>
      <c r="W627">
        <v>0</v>
      </c>
      <c r="X627">
        <v>0</v>
      </c>
      <c r="Y627">
        <v>0</v>
      </c>
      <c r="Z627">
        <v>1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>
        <v>0</v>
      </c>
      <c r="AI627">
        <v>0</v>
      </c>
      <c r="AJ627">
        <v>0</v>
      </c>
      <c r="AK627">
        <v>0</v>
      </c>
      <c r="AL627">
        <v>0</v>
      </c>
      <c r="AM627">
        <v>0</v>
      </c>
      <c r="AN627">
        <v>0</v>
      </c>
      <c r="AO627">
        <v>0</v>
      </c>
      <c r="AP627">
        <v>0</v>
      </c>
      <c r="AQ627">
        <v>0</v>
      </c>
      <c r="AR627">
        <v>0</v>
      </c>
      <c r="AS627">
        <v>0</v>
      </c>
      <c r="AT627">
        <f t="shared" si="29"/>
        <v>-6.2959999999999994</v>
      </c>
      <c r="AU627">
        <f t="shared" si="27"/>
        <v>7.3666666666666663</v>
      </c>
      <c r="AV627">
        <f t="shared" si="28"/>
        <v>871.71</v>
      </c>
      <c r="AY627">
        <v>787.75</v>
      </c>
      <c r="AZ627">
        <v>14</v>
      </c>
      <c r="BC627" t="s">
        <v>149</v>
      </c>
    </row>
    <row r="628" spans="3:55" x14ac:dyDescent="0.45">
      <c r="C628">
        <v>87.9</v>
      </c>
      <c r="D628">
        <v>6.8</v>
      </c>
      <c r="E628">
        <v>2.4</v>
      </c>
      <c r="F628">
        <v>0</v>
      </c>
      <c r="G628">
        <v>0</v>
      </c>
      <c r="H628">
        <v>0</v>
      </c>
      <c r="I628">
        <v>0</v>
      </c>
      <c r="J628">
        <v>2.9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1</v>
      </c>
      <c r="W628">
        <v>0</v>
      </c>
      <c r="X628">
        <v>0</v>
      </c>
      <c r="Y628">
        <v>0</v>
      </c>
      <c r="Z628">
        <v>1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>
        <v>0</v>
      </c>
      <c r="AI628">
        <v>0</v>
      </c>
      <c r="AJ628">
        <v>0</v>
      </c>
      <c r="AK628">
        <v>0</v>
      </c>
      <c r="AL628">
        <v>0</v>
      </c>
      <c r="AM628">
        <v>0</v>
      </c>
      <c r="AN628">
        <v>0</v>
      </c>
      <c r="AO628">
        <v>0</v>
      </c>
      <c r="AP628">
        <v>0</v>
      </c>
      <c r="AQ628">
        <v>0</v>
      </c>
      <c r="AR628">
        <v>0</v>
      </c>
      <c r="AS628">
        <v>0</v>
      </c>
      <c r="AT628">
        <f t="shared" si="29"/>
        <v>-5.1920000000000002</v>
      </c>
      <c r="AU628">
        <f t="shared" si="27"/>
        <v>7.2833333333333332</v>
      </c>
      <c r="AV628">
        <f t="shared" si="28"/>
        <v>847.94999999999993</v>
      </c>
      <c r="AY628">
        <v>840.86</v>
      </c>
      <c r="AZ628">
        <v>10.44</v>
      </c>
      <c r="BC628" t="s">
        <v>149</v>
      </c>
    </row>
    <row r="629" spans="3:55" x14ac:dyDescent="0.45">
      <c r="C629">
        <v>85.8</v>
      </c>
      <c r="D629">
        <v>6.5</v>
      </c>
      <c r="E629">
        <v>3.5</v>
      </c>
      <c r="F629">
        <v>0</v>
      </c>
      <c r="G629">
        <v>0</v>
      </c>
      <c r="H629">
        <v>0</v>
      </c>
      <c r="I629">
        <v>0</v>
      </c>
      <c r="J629">
        <v>4.2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1</v>
      </c>
      <c r="W629">
        <v>0</v>
      </c>
      <c r="X629">
        <v>0</v>
      </c>
      <c r="Y629">
        <v>0</v>
      </c>
      <c r="Z629">
        <v>1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>
        <v>0</v>
      </c>
      <c r="AI629">
        <v>0</v>
      </c>
      <c r="AJ629">
        <v>0</v>
      </c>
      <c r="AK629">
        <v>0</v>
      </c>
      <c r="AL629">
        <v>0</v>
      </c>
      <c r="AM629">
        <v>0</v>
      </c>
      <c r="AN629">
        <v>0</v>
      </c>
      <c r="AO629">
        <v>0</v>
      </c>
      <c r="AP629">
        <v>0</v>
      </c>
      <c r="AQ629">
        <v>0</v>
      </c>
      <c r="AR629">
        <v>0</v>
      </c>
      <c r="AS629">
        <v>0</v>
      </c>
      <c r="AT629">
        <f t="shared" si="29"/>
        <v>-4.1549999999999994</v>
      </c>
      <c r="AU629">
        <f t="shared" si="27"/>
        <v>7.2</v>
      </c>
      <c r="AV629">
        <f t="shared" si="28"/>
        <v>825.37</v>
      </c>
      <c r="AY629">
        <v>963.77</v>
      </c>
      <c r="AZ629">
        <v>7.2</v>
      </c>
      <c r="BB629" t="s">
        <v>251</v>
      </c>
      <c r="BC629" t="s">
        <v>149</v>
      </c>
    </row>
    <row r="630" spans="3:55" x14ac:dyDescent="0.45">
      <c r="C630">
        <v>83.6</v>
      </c>
      <c r="D630">
        <v>6.2</v>
      </c>
      <c r="E630">
        <v>4.5999999999999996</v>
      </c>
      <c r="F630">
        <v>0</v>
      </c>
      <c r="G630">
        <v>0</v>
      </c>
      <c r="H630">
        <v>0</v>
      </c>
      <c r="I630">
        <v>0</v>
      </c>
      <c r="J630">
        <v>5.6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1</v>
      </c>
      <c r="W630">
        <v>0</v>
      </c>
      <c r="X630">
        <v>0</v>
      </c>
      <c r="Y630">
        <v>0</v>
      </c>
      <c r="Z630">
        <v>1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>
        <v>0</v>
      </c>
      <c r="AI630">
        <v>0</v>
      </c>
      <c r="AJ630">
        <v>0</v>
      </c>
      <c r="AK630">
        <v>0</v>
      </c>
      <c r="AL630">
        <v>0</v>
      </c>
      <c r="AM630">
        <v>0</v>
      </c>
      <c r="AN630">
        <v>0</v>
      </c>
      <c r="AO630">
        <v>0</v>
      </c>
      <c r="AP630">
        <v>0</v>
      </c>
      <c r="AQ630">
        <v>0</v>
      </c>
      <c r="AR630">
        <v>0</v>
      </c>
      <c r="AS630">
        <v>0</v>
      </c>
      <c r="AT630">
        <f t="shared" si="29"/>
        <v>-3.1180000000000003</v>
      </c>
      <c r="AU630">
        <f t="shared" si="27"/>
        <v>7.1333333333333337</v>
      </c>
      <c r="AV630">
        <f t="shared" si="28"/>
        <v>802.1</v>
      </c>
      <c r="AY630">
        <v>1070.49</v>
      </c>
      <c r="AZ630">
        <v>5.24</v>
      </c>
      <c r="BB630" t="s">
        <v>251</v>
      </c>
      <c r="BC630" t="s">
        <v>149</v>
      </c>
    </row>
    <row r="631" spans="3:55" x14ac:dyDescent="0.45">
      <c r="C631">
        <v>81.599999999999994</v>
      </c>
      <c r="D631">
        <v>5.9</v>
      </c>
      <c r="E631">
        <v>5.7</v>
      </c>
      <c r="F631">
        <v>0</v>
      </c>
      <c r="G631">
        <v>0</v>
      </c>
      <c r="H631">
        <v>0</v>
      </c>
      <c r="I631">
        <v>0</v>
      </c>
      <c r="J631">
        <v>6.8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1</v>
      </c>
      <c r="W631">
        <v>0</v>
      </c>
      <c r="X631">
        <v>0</v>
      </c>
      <c r="Y631">
        <v>0</v>
      </c>
      <c r="Z631">
        <v>1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>
        <v>0</v>
      </c>
      <c r="AI631">
        <v>0</v>
      </c>
      <c r="AJ631">
        <v>0</v>
      </c>
      <c r="AK631">
        <v>0</v>
      </c>
      <c r="AL631">
        <v>0</v>
      </c>
      <c r="AM631">
        <v>0</v>
      </c>
      <c r="AN631">
        <v>0</v>
      </c>
      <c r="AO631">
        <v>0</v>
      </c>
      <c r="AP631">
        <v>0</v>
      </c>
      <c r="AQ631">
        <v>0</v>
      </c>
      <c r="AR631">
        <v>0</v>
      </c>
      <c r="AS631">
        <v>0</v>
      </c>
      <c r="AT631">
        <f t="shared" si="29"/>
        <v>-2.081</v>
      </c>
      <c r="AU631">
        <f t="shared" si="27"/>
        <v>7.0333333333333332</v>
      </c>
      <c r="AV631">
        <f t="shared" si="28"/>
        <v>780.21</v>
      </c>
      <c r="AY631">
        <v>1193.4000000000001</v>
      </c>
      <c r="AZ631">
        <v>1.81</v>
      </c>
      <c r="BB631" t="s">
        <v>251</v>
      </c>
      <c r="BC631" t="s">
        <v>149</v>
      </c>
    </row>
    <row r="632" spans="3:55" x14ac:dyDescent="0.45">
      <c r="C632">
        <v>79.5</v>
      </c>
      <c r="D632">
        <v>5.6</v>
      </c>
      <c r="E632">
        <v>6.8</v>
      </c>
      <c r="F632">
        <v>0</v>
      </c>
      <c r="G632">
        <v>0</v>
      </c>
      <c r="H632">
        <v>0</v>
      </c>
      <c r="I632">
        <v>0</v>
      </c>
      <c r="J632">
        <v>8.1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1</v>
      </c>
      <c r="W632">
        <v>0</v>
      </c>
      <c r="X632">
        <v>0</v>
      </c>
      <c r="Y632">
        <v>0</v>
      </c>
      <c r="Z632">
        <v>1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>
        <v>0</v>
      </c>
      <c r="AI632">
        <v>0</v>
      </c>
      <c r="AJ632">
        <v>0</v>
      </c>
      <c r="AK632">
        <v>0</v>
      </c>
      <c r="AL632">
        <v>0</v>
      </c>
      <c r="AM632">
        <v>0</v>
      </c>
      <c r="AN632">
        <v>0</v>
      </c>
      <c r="AO632">
        <v>0</v>
      </c>
      <c r="AP632">
        <v>0</v>
      </c>
      <c r="AQ632">
        <v>0</v>
      </c>
      <c r="AR632">
        <v>0</v>
      </c>
      <c r="AS632">
        <v>0</v>
      </c>
      <c r="AT632">
        <f t="shared" si="29"/>
        <v>-1.0439999999999996</v>
      </c>
      <c r="AU632">
        <f t="shared" si="27"/>
        <v>6.9499999999999993</v>
      </c>
      <c r="AV632">
        <f t="shared" si="28"/>
        <v>757.63</v>
      </c>
      <c r="AY632">
        <v>1293</v>
      </c>
      <c r="AZ632">
        <v>2</v>
      </c>
      <c r="BB632" t="s">
        <v>251</v>
      </c>
      <c r="BC632" t="s">
        <v>149</v>
      </c>
    </row>
    <row r="633" spans="3:55" x14ac:dyDescent="0.45">
      <c r="C633">
        <v>77.599999999999994</v>
      </c>
      <c r="D633">
        <v>5.3</v>
      </c>
      <c r="E633">
        <v>7.8</v>
      </c>
      <c r="F633">
        <v>0</v>
      </c>
      <c r="G633">
        <v>0</v>
      </c>
      <c r="H633">
        <v>0</v>
      </c>
      <c r="I633">
        <v>0</v>
      </c>
      <c r="J633">
        <v>9.3000000000000007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1</v>
      </c>
      <c r="W633">
        <v>0</v>
      </c>
      <c r="X633">
        <v>0</v>
      </c>
      <c r="Y633">
        <v>0</v>
      </c>
      <c r="Z633">
        <v>1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0</v>
      </c>
      <c r="AG633">
        <v>0</v>
      </c>
      <c r="AH633">
        <v>0</v>
      </c>
      <c r="AI633">
        <v>0</v>
      </c>
      <c r="AJ633">
        <v>0</v>
      </c>
      <c r="AK633">
        <v>0</v>
      </c>
      <c r="AL633">
        <v>0</v>
      </c>
      <c r="AM633">
        <v>0</v>
      </c>
      <c r="AN633">
        <v>0</v>
      </c>
      <c r="AO633">
        <v>0</v>
      </c>
      <c r="AP633">
        <v>0</v>
      </c>
      <c r="AQ633">
        <v>0</v>
      </c>
      <c r="AR633">
        <v>0</v>
      </c>
      <c r="AS633">
        <v>0</v>
      </c>
      <c r="AT633">
        <f t="shared" si="29"/>
        <v>-7.3999999999999844E-2</v>
      </c>
      <c r="AU633">
        <f t="shared" si="27"/>
        <v>6.85</v>
      </c>
      <c r="AV633">
        <f t="shared" si="28"/>
        <v>736.92000000000007</v>
      </c>
      <c r="AY633">
        <v>1253.07</v>
      </c>
      <c r="AZ633">
        <v>4.63</v>
      </c>
      <c r="BB633" t="s">
        <v>287</v>
      </c>
      <c r="BC633" t="s">
        <v>149</v>
      </c>
    </row>
    <row r="634" spans="3:55" x14ac:dyDescent="0.45">
      <c r="C634">
        <v>69.33</v>
      </c>
      <c r="D634">
        <v>9.92</v>
      </c>
      <c r="E634">
        <v>3.15</v>
      </c>
      <c r="F634">
        <v>0</v>
      </c>
      <c r="G634">
        <v>0</v>
      </c>
      <c r="H634">
        <v>0</v>
      </c>
      <c r="I634">
        <v>0</v>
      </c>
      <c r="J634">
        <v>17.599999999999998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1</v>
      </c>
      <c r="W634">
        <v>0</v>
      </c>
      <c r="X634">
        <v>0</v>
      </c>
      <c r="Y634">
        <v>0</v>
      </c>
      <c r="Z634">
        <v>1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1</v>
      </c>
      <c r="AG634">
        <v>0</v>
      </c>
      <c r="AH634">
        <v>0</v>
      </c>
      <c r="AI634">
        <v>0</v>
      </c>
      <c r="AJ634">
        <v>0</v>
      </c>
      <c r="AK634">
        <v>0</v>
      </c>
      <c r="AL634">
        <v>0</v>
      </c>
      <c r="AM634">
        <v>0</v>
      </c>
      <c r="AN634">
        <v>0</v>
      </c>
      <c r="AO634">
        <v>0</v>
      </c>
      <c r="AP634">
        <v>0</v>
      </c>
      <c r="AQ634">
        <v>0</v>
      </c>
      <c r="AR634">
        <v>0</v>
      </c>
      <c r="AS634">
        <v>0</v>
      </c>
      <c r="AT634">
        <f t="shared" si="29"/>
        <v>-7.8094999999999999</v>
      </c>
      <c r="AU634">
        <f t="shared" si="27"/>
        <v>12.853333333333333</v>
      </c>
      <c r="AV634">
        <f t="shared" si="28"/>
        <v>744.22200000000009</v>
      </c>
      <c r="AW634">
        <v>97</v>
      </c>
      <c r="AX634">
        <v>1181</v>
      </c>
      <c r="BB634" t="s">
        <v>288</v>
      </c>
      <c r="BC634" t="s">
        <v>60</v>
      </c>
    </row>
    <row r="635" spans="3:55" x14ac:dyDescent="0.45">
      <c r="C635">
        <v>57.69</v>
      </c>
      <c r="D635">
        <v>10.89</v>
      </c>
      <c r="E635">
        <v>1.1499999999999999</v>
      </c>
      <c r="F635">
        <v>0</v>
      </c>
      <c r="G635">
        <v>0</v>
      </c>
      <c r="H635">
        <v>0</v>
      </c>
      <c r="I635">
        <v>0</v>
      </c>
      <c r="J635">
        <v>30.270000000000003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1</v>
      </c>
      <c r="W635">
        <v>0</v>
      </c>
      <c r="X635">
        <v>0</v>
      </c>
      <c r="Y635">
        <v>0</v>
      </c>
      <c r="Z635">
        <v>1</v>
      </c>
      <c r="AA635">
        <v>0</v>
      </c>
      <c r="AB635">
        <v>0</v>
      </c>
      <c r="AC635">
        <v>0</v>
      </c>
      <c r="AD635">
        <v>0</v>
      </c>
      <c r="AE635">
        <v>1</v>
      </c>
      <c r="AF635">
        <v>0</v>
      </c>
      <c r="AG635">
        <v>0</v>
      </c>
      <c r="AH635">
        <v>0</v>
      </c>
      <c r="AI635">
        <v>0</v>
      </c>
      <c r="AJ635">
        <v>0</v>
      </c>
      <c r="AK635">
        <v>0</v>
      </c>
      <c r="AL635">
        <v>0</v>
      </c>
      <c r="AM635">
        <v>0</v>
      </c>
      <c r="AN635">
        <v>0</v>
      </c>
      <c r="AO635">
        <v>0</v>
      </c>
      <c r="AP635">
        <v>0</v>
      </c>
      <c r="AQ635">
        <v>0</v>
      </c>
      <c r="AR635">
        <v>0</v>
      </c>
      <c r="AS635">
        <v>0</v>
      </c>
      <c r="AT635">
        <f t="shared" si="29"/>
        <v>-10.1195</v>
      </c>
      <c r="AU635">
        <f t="shared" si="27"/>
        <v>15.935000000000002</v>
      </c>
      <c r="AV635">
        <f t="shared" si="28"/>
        <v>682.43599999999992</v>
      </c>
      <c r="AW635">
        <v>72</v>
      </c>
      <c r="AX635">
        <v>740</v>
      </c>
      <c r="BB635" t="s">
        <v>289</v>
      </c>
      <c r="BC635" t="s">
        <v>60</v>
      </c>
    </row>
    <row r="636" spans="3:55" x14ac:dyDescent="0.45">
      <c r="C636">
        <v>56.220000000000006</v>
      </c>
      <c r="D636">
        <v>10.84</v>
      </c>
      <c r="E636">
        <v>3.45</v>
      </c>
      <c r="F636">
        <v>0</v>
      </c>
      <c r="G636">
        <v>0</v>
      </c>
      <c r="H636">
        <v>0</v>
      </c>
      <c r="I636">
        <v>0</v>
      </c>
      <c r="J636">
        <v>29.5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1</v>
      </c>
      <c r="W636">
        <v>0</v>
      </c>
      <c r="X636">
        <v>0</v>
      </c>
      <c r="Y636">
        <v>0</v>
      </c>
      <c r="Z636">
        <v>1</v>
      </c>
      <c r="AA636">
        <v>0</v>
      </c>
      <c r="AB636">
        <v>0</v>
      </c>
      <c r="AC636">
        <v>0</v>
      </c>
      <c r="AD636">
        <v>0</v>
      </c>
      <c r="AE636">
        <v>1</v>
      </c>
      <c r="AF636">
        <v>0</v>
      </c>
      <c r="AG636">
        <v>0</v>
      </c>
      <c r="AH636">
        <v>0</v>
      </c>
      <c r="AI636">
        <v>0</v>
      </c>
      <c r="AJ636">
        <v>0</v>
      </c>
      <c r="AK636">
        <v>0</v>
      </c>
      <c r="AL636">
        <v>0</v>
      </c>
      <c r="AM636">
        <v>0</v>
      </c>
      <c r="AN636">
        <v>0</v>
      </c>
      <c r="AO636">
        <v>0</v>
      </c>
      <c r="AP636">
        <v>0</v>
      </c>
      <c r="AQ636">
        <v>0</v>
      </c>
      <c r="AR636">
        <v>0</v>
      </c>
      <c r="AS636">
        <v>0</v>
      </c>
      <c r="AT636">
        <f t="shared" si="29"/>
        <v>-8.5284999999999993</v>
      </c>
      <c r="AU636">
        <f t="shared" si="27"/>
        <v>15.756666666666668</v>
      </c>
      <c r="AV636">
        <f t="shared" si="28"/>
        <v>660.50399999999991</v>
      </c>
      <c r="AW636">
        <v>68</v>
      </c>
      <c r="AX636">
        <v>690</v>
      </c>
      <c r="BB636" t="s">
        <v>290</v>
      </c>
      <c r="BC636" t="s">
        <v>60</v>
      </c>
    </row>
    <row r="637" spans="3:55" x14ac:dyDescent="0.45">
      <c r="C637">
        <v>54.76</v>
      </c>
      <c r="D637">
        <v>10.79</v>
      </c>
      <c r="E637">
        <v>5.72</v>
      </c>
      <c r="F637">
        <v>0</v>
      </c>
      <c r="G637">
        <v>0</v>
      </c>
      <c r="H637">
        <v>0</v>
      </c>
      <c r="I637">
        <v>0</v>
      </c>
      <c r="J637">
        <v>28.73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1</v>
      </c>
      <c r="W637">
        <v>0</v>
      </c>
      <c r="X637">
        <v>0</v>
      </c>
      <c r="Y637">
        <v>0</v>
      </c>
      <c r="Z637">
        <v>1</v>
      </c>
      <c r="AA637">
        <v>0</v>
      </c>
      <c r="AB637">
        <v>0</v>
      </c>
      <c r="AC637">
        <v>0</v>
      </c>
      <c r="AD637">
        <v>0</v>
      </c>
      <c r="AE637">
        <v>1</v>
      </c>
      <c r="AF637">
        <v>0</v>
      </c>
      <c r="AG637">
        <v>0</v>
      </c>
      <c r="AH637">
        <v>0</v>
      </c>
      <c r="AI637">
        <v>0</v>
      </c>
      <c r="AJ637">
        <v>0</v>
      </c>
      <c r="AK637">
        <v>0</v>
      </c>
      <c r="AL637">
        <v>0</v>
      </c>
      <c r="AM637">
        <v>0</v>
      </c>
      <c r="AN637">
        <v>0</v>
      </c>
      <c r="AO637">
        <v>0</v>
      </c>
      <c r="AP637">
        <v>0</v>
      </c>
      <c r="AQ637">
        <v>0</v>
      </c>
      <c r="AR637">
        <v>0</v>
      </c>
      <c r="AS637">
        <v>0</v>
      </c>
      <c r="AT637">
        <f t="shared" si="29"/>
        <v>-6.9575999999999993</v>
      </c>
      <c r="AU637">
        <f t="shared" si="27"/>
        <v>15.578333333333333</v>
      </c>
      <c r="AV637">
        <f t="shared" si="28"/>
        <v>638.92600000000004</v>
      </c>
      <c r="AW637">
        <v>73</v>
      </c>
      <c r="AX637">
        <v>955</v>
      </c>
      <c r="BC637" t="s">
        <v>60</v>
      </c>
    </row>
    <row r="638" spans="3:55" x14ac:dyDescent="0.45">
      <c r="C638">
        <v>53.31</v>
      </c>
      <c r="D638">
        <v>10.75</v>
      </c>
      <c r="E638">
        <v>7.9699999999999989</v>
      </c>
      <c r="F638">
        <v>0</v>
      </c>
      <c r="G638">
        <v>0</v>
      </c>
      <c r="H638">
        <v>0</v>
      </c>
      <c r="I638">
        <v>0</v>
      </c>
      <c r="J638">
        <v>27.97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1</v>
      </c>
      <c r="W638">
        <v>0</v>
      </c>
      <c r="X638">
        <v>0</v>
      </c>
      <c r="Y638">
        <v>0</v>
      </c>
      <c r="Z638">
        <v>1</v>
      </c>
      <c r="AA638">
        <v>0</v>
      </c>
      <c r="AB638">
        <v>0</v>
      </c>
      <c r="AC638">
        <v>0</v>
      </c>
      <c r="AD638">
        <v>0</v>
      </c>
      <c r="AE638">
        <v>1</v>
      </c>
      <c r="AF638">
        <v>0</v>
      </c>
      <c r="AG638">
        <v>0</v>
      </c>
      <c r="AH638">
        <v>0</v>
      </c>
      <c r="AI638">
        <v>0</v>
      </c>
      <c r="AJ638">
        <v>0</v>
      </c>
      <c r="AK638">
        <v>0</v>
      </c>
      <c r="AL638">
        <v>0</v>
      </c>
      <c r="AM638">
        <v>0</v>
      </c>
      <c r="AN638">
        <v>0</v>
      </c>
      <c r="AO638">
        <v>0</v>
      </c>
      <c r="AP638">
        <v>0</v>
      </c>
      <c r="AQ638">
        <v>0</v>
      </c>
      <c r="AR638">
        <v>0</v>
      </c>
      <c r="AS638">
        <v>0</v>
      </c>
      <c r="AT638">
        <f t="shared" si="29"/>
        <v>-5.4101000000000008</v>
      </c>
      <c r="AU638">
        <f t="shared" si="27"/>
        <v>15.411666666666665</v>
      </c>
      <c r="AV638">
        <f t="shared" si="28"/>
        <v>617.53600000000006</v>
      </c>
      <c r="AW638">
        <v>81</v>
      </c>
      <c r="AX638">
        <v>1065</v>
      </c>
      <c r="BB638" t="s">
        <v>252</v>
      </c>
      <c r="BC638" t="s">
        <v>60</v>
      </c>
    </row>
    <row r="639" spans="3:55" x14ac:dyDescent="0.45">
      <c r="C639">
        <v>89.02</v>
      </c>
      <c r="D639">
        <v>5.07</v>
      </c>
      <c r="E639">
        <v>2.96</v>
      </c>
      <c r="F639">
        <v>0</v>
      </c>
      <c r="G639">
        <v>0</v>
      </c>
      <c r="H639">
        <v>0</v>
      </c>
      <c r="I639">
        <v>0</v>
      </c>
      <c r="J639">
        <v>2.95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1</v>
      </c>
      <c r="Z639">
        <v>0</v>
      </c>
      <c r="AA639">
        <v>0</v>
      </c>
      <c r="AB639">
        <v>0</v>
      </c>
      <c r="AC639">
        <v>700</v>
      </c>
      <c r="AD639">
        <v>1</v>
      </c>
      <c r="AE639">
        <v>0</v>
      </c>
      <c r="AF639">
        <v>1</v>
      </c>
      <c r="AG639">
        <v>0</v>
      </c>
      <c r="AH639">
        <v>0</v>
      </c>
      <c r="AI639">
        <v>0</v>
      </c>
      <c r="AJ639">
        <v>0</v>
      </c>
      <c r="AK639">
        <v>0</v>
      </c>
      <c r="AL639">
        <v>0</v>
      </c>
      <c r="AM639">
        <v>0</v>
      </c>
      <c r="AN639">
        <v>0</v>
      </c>
      <c r="AO639">
        <v>0</v>
      </c>
      <c r="AP639">
        <v>0</v>
      </c>
      <c r="AQ639">
        <v>0</v>
      </c>
      <c r="AR639">
        <v>0</v>
      </c>
      <c r="AS639">
        <v>0</v>
      </c>
      <c r="AT639">
        <f t="shared" si="29"/>
        <v>-3.0868000000000002</v>
      </c>
      <c r="AU639">
        <f t="shared" si="27"/>
        <v>5.5616666666666674</v>
      </c>
      <c r="AV639">
        <f t="shared" si="28"/>
        <v>837.36400000000003</v>
      </c>
      <c r="AX639">
        <v>832.57899999999995</v>
      </c>
      <c r="AY639">
        <v>904.97699999999998</v>
      </c>
      <c r="AZ639">
        <v>17.3749</v>
      </c>
      <c r="BB639" t="s">
        <v>252</v>
      </c>
      <c r="BC639" t="s">
        <v>108</v>
      </c>
    </row>
    <row r="640" spans="3:55" x14ac:dyDescent="0.45">
      <c r="C640">
        <v>89.02</v>
      </c>
      <c r="D640">
        <v>5.07</v>
      </c>
      <c r="E640">
        <v>2.96</v>
      </c>
      <c r="F640">
        <v>0</v>
      </c>
      <c r="G640">
        <v>0</v>
      </c>
      <c r="H640">
        <v>0</v>
      </c>
      <c r="I640">
        <v>0</v>
      </c>
      <c r="J640">
        <v>2.95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1</v>
      </c>
      <c r="Z640">
        <v>0</v>
      </c>
      <c r="AA640">
        <v>0</v>
      </c>
      <c r="AB640">
        <v>0</v>
      </c>
      <c r="AC640">
        <v>750</v>
      </c>
      <c r="AD640">
        <v>1</v>
      </c>
      <c r="AE640">
        <v>0</v>
      </c>
      <c r="AF640">
        <v>1</v>
      </c>
      <c r="AG640">
        <v>0</v>
      </c>
      <c r="AH640">
        <v>0</v>
      </c>
      <c r="AI640">
        <v>0</v>
      </c>
      <c r="AJ640">
        <v>0</v>
      </c>
      <c r="AK640">
        <v>0</v>
      </c>
      <c r="AL640">
        <v>0</v>
      </c>
      <c r="AM640">
        <v>0</v>
      </c>
      <c r="AN640">
        <v>0</v>
      </c>
      <c r="AO640">
        <v>0</v>
      </c>
      <c r="AP640">
        <v>0</v>
      </c>
      <c r="AQ640">
        <v>0</v>
      </c>
      <c r="AR640">
        <v>0</v>
      </c>
      <c r="AS640">
        <v>0</v>
      </c>
      <c r="AT640">
        <f t="shared" si="29"/>
        <v>-3.0868000000000002</v>
      </c>
      <c r="AU640">
        <f t="shared" si="27"/>
        <v>5.5616666666666674</v>
      </c>
      <c r="AV640">
        <f t="shared" si="28"/>
        <v>837.36400000000003</v>
      </c>
      <c r="AX640">
        <v>744.34400000000005</v>
      </c>
      <c r="AY640">
        <v>839.36699999999996</v>
      </c>
      <c r="AZ640">
        <v>18.279499999999999</v>
      </c>
      <c r="BB640" t="s">
        <v>252</v>
      </c>
      <c r="BC640" t="s">
        <v>108</v>
      </c>
    </row>
    <row r="641" spans="3:55" x14ac:dyDescent="0.45">
      <c r="C641">
        <v>89.02</v>
      </c>
      <c r="D641">
        <v>5.07</v>
      </c>
      <c r="E641">
        <v>2.96</v>
      </c>
      <c r="F641">
        <v>0</v>
      </c>
      <c r="G641">
        <v>0</v>
      </c>
      <c r="H641">
        <v>0</v>
      </c>
      <c r="I641">
        <v>0</v>
      </c>
      <c r="J641">
        <v>2.95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1</v>
      </c>
      <c r="Z641">
        <v>0</v>
      </c>
      <c r="AA641">
        <v>0</v>
      </c>
      <c r="AB641">
        <v>0</v>
      </c>
      <c r="AC641">
        <v>800</v>
      </c>
      <c r="AD641">
        <v>1</v>
      </c>
      <c r="AE641">
        <v>0</v>
      </c>
      <c r="AF641">
        <v>1</v>
      </c>
      <c r="AG641">
        <v>0</v>
      </c>
      <c r="AH641">
        <v>0</v>
      </c>
      <c r="AI641">
        <v>0</v>
      </c>
      <c r="AJ641">
        <v>0</v>
      </c>
      <c r="AK641">
        <v>0</v>
      </c>
      <c r="AL641">
        <v>0</v>
      </c>
      <c r="AM641">
        <v>0</v>
      </c>
      <c r="AN641">
        <v>0</v>
      </c>
      <c r="AO641">
        <v>0</v>
      </c>
      <c r="AP641">
        <v>0</v>
      </c>
      <c r="AQ641">
        <v>0</v>
      </c>
      <c r="AR641">
        <v>0</v>
      </c>
      <c r="AS641">
        <v>0</v>
      </c>
      <c r="AT641">
        <f t="shared" si="29"/>
        <v>-3.0868000000000002</v>
      </c>
      <c r="AU641">
        <f t="shared" si="27"/>
        <v>5.5616666666666674</v>
      </c>
      <c r="AV641">
        <f t="shared" si="28"/>
        <v>837.36400000000003</v>
      </c>
      <c r="AX641">
        <v>721.71900000000005</v>
      </c>
      <c r="AY641">
        <v>823.529</v>
      </c>
      <c r="AZ641">
        <v>18.341200000000001</v>
      </c>
      <c r="BB641" t="s">
        <v>291</v>
      </c>
      <c r="BC641" t="s">
        <v>108</v>
      </c>
    </row>
    <row r="642" spans="3:55" x14ac:dyDescent="0.45">
      <c r="C642">
        <v>89.02</v>
      </c>
      <c r="D642">
        <v>5.07</v>
      </c>
      <c r="E642">
        <v>2.96</v>
      </c>
      <c r="F642">
        <v>0</v>
      </c>
      <c r="G642">
        <v>0</v>
      </c>
      <c r="H642">
        <v>0</v>
      </c>
      <c r="I642">
        <v>0</v>
      </c>
      <c r="J642">
        <v>2.95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1</v>
      </c>
      <c r="Z642">
        <v>0</v>
      </c>
      <c r="AA642">
        <v>0</v>
      </c>
      <c r="AB642">
        <v>0</v>
      </c>
      <c r="AC642">
        <v>900</v>
      </c>
      <c r="AD642">
        <v>1</v>
      </c>
      <c r="AE642">
        <v>0</v>
      </c>
      <c r="AF642">
        <v>1</v>
      </c>
      <c r="AG642">
        <v>0</v>
      </c>
      <c r="AH642">
        <v>0</v>
      </c>
      <c r="AI642">
        <v>0</v>
      </c>
      <c r="AJ642">
        <v>0</v>
      </c>
      <c r="AK642">
        <v>0</v>
      </c>
      <c r="AL642">
        <v>0</v>
      </c>
      <c r="AM642">
        <v>0</v>
      </c>
      <c r="AN642">
        <v>0</v>
      </c>
      <c r="AO642">
        <v>0</v>
      </c>
      <c r="AP642">
        <v>0</v>
      </c>
      <c r="AQ642">
        <v>0</v>
      </c>
      <c r="AR642">
        <v>0</v>
      </c>
      <c r="AS642">
        <v>0</v>
      </c>
      <c r="AT642">
        <f t="shared" si="29"/>
        <v>-3.0868000000000002</v>
      </c>
      <c r="AU642">
        <f t="shared" ref="AU642:AU705" si="30">D642+J642/6+M642/3+(T642+S642)/10</f>
        <v>5.5616666666666674</v>
      </c>
      <c r="AV642">
        <f t="shared" ref="AV642:AV705" si="31">882+2.1*D642-9.5*L642+4.2*M642-6.9*J642-11.8*E642-12.1*F642-15.4*H642+23.3*Q642+123*T642</f>
        <v>837.36400000000003</v>
      </c>
      <c r="AX642">
        <v>721.71900000000005</v>
      </c>
      <c r="AY642">
        <v>841.62900000000002</v>
      </c>
      <c r="AZ642">
        <v>18.224599999999999</v>
      </c>
      <c r="BB642" t="s">
        <v>292</v>
      </c>
      <c r="BC642" t="s">
        <v>108</v>
      </c>
    </row>
    <row r="643" spans="3:55" x14ac:dyDescent="0.45">
      <c r="C643">
        <v>89.02</v>
      </c>
      <c r="D643">
        <v>5.07</v>
      </c>
      <c r="E643">
        <v>2.96</v>
      </c>
      <c r="F643">
        <v>0</v>
      </c>
      <c r="G643">
        <v>0</v>
      </c>
      <c r="H643">
        <v>0</v>
      </c>
      <c r="I643">
        <v>0</v>
      </c>
      <c r="J643">
        <v>2.95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1</v>
      </c>
      <c r="Z643">
        <v>0</v>
      </c>
      <c r="AA643">
        <v>0</v>
      </c>
      <c r="AB643">
        <v>0</v>
      </c>
      <c r="AC643">
        <v>950</v>
      </c>
      <c r="AD643">
        <v>1</v>
      </c>
      <c r="AE643">
        <v>0</v>
      </c>
      <c r="AF643">
        <v>1</v>
      </c>
      <c r="AG643">
        <v>0</v>
      </c>
      <c r="AH643">
        <v>0</v>
      </c>
      <c r="AI643">
        <v>0</v>
      </c>
      <c r="AJ643">
        <v>0</v>
      </c>
      <c r="AK643">
        <v>0</v>
      </c>
      <c r="AL643">
        <v>0</v>
      </c>
      <c r="AM643">
        <v>0</v>
      </c>
      <c r="AN643">
        <v>0</v>
      </c>
      <c r="AO643">
        <v>0</v>
      </c>
      <c r="AP643">
        <v>0</v>
      </c>
      <c r="AQ643">
        <v>0</v>
      </c>
      <c r="AR643">
        <v>0</v>
      </c>
      <c r="AS643">
        <v>0</v>
      </c>
      <c r="AT643">
        <f t="shared" ref="AT643:AT706" si="32">L643+0.67*E643+0.44*P643+0.28*K643+0.22*O643+2.9*H643+1.6*F643+1.7*G643-D643</f>
        <v>-3.0868000000000002</v>
      </c>
      <c r="AU643">
        <f t="shared" si="30"/>
        <v>5.5616666666666674</v>
      </c>
      <c r="AV643">
        <f t="shared" si="31"/>
        <v>837.36400000000003</v>
      </c>
      <c r="AX643">
        <v>676.471</v>
      </c>
      <c r="AY643">
        <v>837.10400000000004</v>
      </c>
      <c r="AZ643">
        <v>14.2483</v>
      </c>
      <c r="BB643" t="s">
        <v>293</v>
      </c>
      <c r="BC643" t="s">
        <v>108</v>
      </c>
    </row>
    <row r="644" spans="3:55" x14ac:dyDescent="0.45">
      <c r="C644">
        <v>64</v>
      </c>
      <c r="D644">
        <v>1</v>
      </c>
      <c r="E644">
        <v>0</v>
      </c>
      <c r="F644">
        <v>0</v>
      </c>
      <c r="G644">
        <v>0</v>
      </c>
      <c r="H644">
        <v>0</v>
      </c>
      <c r="I644">
        <v>0</v>
      </c>
      <c r="J644">
        <v>30</v>
      </c>
      <c r="K644">
        <v>0</v>
      </c>
      <c r="L644">
        <v>5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1</v>
      </c>
      <c r="W644">
        <v>1000</v>
      </c>
      <c r="X644">
        <v>70</v>
      </c>
      <c r="Y644">
        <v>0</v>
      </c>
      <c r="Z644">
        <v>1</v>
      </c>
      <c r="AA644">
        <v>0</v>
      </c>
      <c r="AB644">
        <v>0</v>
      </c>
      <c r="AC644">
        <v>850</v>
      </c>
      <c r="AD644">
        <v>1</v>
      </c>
      <c r="AE644">
        <v>1</v>
      </c>
      <c r="AF644">
        <v>0</v>
      </c>
      <c r="AG644">
        <v>0</v>
      </c>
      <c r="AH644">
        <v>0</v>
      </c>
      <c r="AI644">
        <v>0</v>
      </c>
      <c r="AJ644">
        <v>0</v>
      </c>
      <c r="AK644">
        <v>0</v>
      </c>
      <c r="AL644">
        <v>0</v>
      </c>
      <c r="AM644">
        <v>0</v>
      </c>
      <c r="AN644">
        <v>0</v>
      </c>
      <c r="AO644">
        <v>0</v>
      </c>
      <c r="AP644">
        <v>0</v>
      </c>
      <c r="AQ644">
        <v>0</v>
      </c>
      <c r="AR644">
        <v>0</v>
      </c>
      <c r="AS644">
        <v>0</v>
      </c>
      <c r="AT644">
        <f t="shared" si="32"/>
        <v>4</v>
      </c>
      <c r="AU644">
        <f t="shared" si="30"/>
        <v>6</v>
      </c>
      <c r="AV644">
        <f t="shared" si="31"/>
        <v>629.6</v>
      </c>
      <c r="AY644">
        <v>762</v>
      </c>
      <c r="AZ644">
        <v>18.32</v>
      </c>
      <c r="BB644" t="s">
        <v>294</v>
      </c>
      <c r="BC644" t="s">
        <v>150</v>
      </c>
    </row>
    <row r="645" spans="3:55" x14ac:dyDescent="0.45">
      <c r="C645">
        <v>62</v>
      </c>
      <c r="D645">
        <v>2</v>
      </c>
      <c r="E645">
        <v>0</v>
      </c>
      <c r="F645">
        <v>0</v>
      </c>
      <c r="G645">
        <v>0</v>
      </c>
      <c r="H645">
        <v>0</v>
      </c>
      <c r="I645">
        <v>0</v>
      </c>
      <c r="J645">
        <v>30</v>
      </c>
      <c r="K645">
        <v>0</v>
      </c>
      <c r="L645">
        <v>6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1</v>
      </c>
      <c r="W645">
        <v>1000</v>
      </c>
      <c r="X645">
        <v>70</v>
      </c>
      <c r="Y645">
        <v>0</v>
      </c>
      <c r="Z645">
        <v>1</v>
      </c>
      <c r="AA645">
        <v>0</v>
      </c>
      <c r="AB645">
        <v>0</v>
      </c>
      <c r="AC645">
        <v>850</v>
      </c>
      <c r="AD645">
        <v>1</v>
      </c>
      <c r="AE645">
        <v>1</v>
      </c>
      <c r="AF645">
        <v>0</v>
      </c>
      <c r="AG645">
        <v>0</v>
      </c>
      <c r="AH645">
        <v>0</v>
      </c>
      <c r="AI645">
        <v>0</v>
      </c>
      <c r="AJ645">
        <v>0</v>
      </c>
      <c r="AK645">
        <v>0</v>
      </c>
      <c r="AL645">
        <v>0</v>
      </c>
      <c r="AM645">
        <v>0</v>
      </c>
      <c r="AN645">
        <v>0</v>
      </c>
      <c r="AO645">
        <v>0</v>
      </c>
      <c r="AP645">
        <v>0</v>
      </c>
      <c r="AQ645">
        <v>0</v>
      </c>
      <c r="AR645">
        <v>0</v>
      </c>
      <c r="AS645">
        <v>0</v>
      </c>
      <c r="AT645">
        <f t="shared" si="32"/>
        <v>4</v>
      </c>
      <c r="AU645">
        <f t="shared" si="30"/>
        <v>7</v>
      </c>
      <c r="AV645">
        <f t="shared" si="31"/>
        <v>622.20000000000005</v>
      </c>
      <c r="AY645">
        <v>723</v>
      </c>
      <c r="AZ645">
        <v>33.32</v>
      </c>
      <c r="BB645" t="s">
        <v>294</v>
      </c>
      <c r="BC645" t="s">
        <v>151</v>
      </c>
    </row>
    <row r="646" spans="3:55" x14ac:dyDescent="0.45">
      <c r="C646">
        <v>60</v>
      </c>
      <c r="D646">
        <v>3</v>
      </c>
      <c r="E646">
        <v>0</v>
      </c>
      <c r="F646">
        <v>0</v>
      </c>
      <c r="G646">
        <v>0</v>
      </c>
      <c r="H646">
        <v>0</v>
      </c>
      <c r="I646">
        <v>0</v>
      </c>
      <c r="J646">
        <v>30</v>
      </c>
      <c r="K646">
        <v>0</v>
      </c>
      <c r="L646">
        <v>7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1</v>
      </c>
      <c r="W646">
        <v>1000</v>
      </c>
      <c r="X646">
        <v>70</v>
      </c>
      <c r="Y646">
        <v>0</v>
      </c>
      <c r="Z646">
        <v>1</v>
      </c>
      <c r="AA646">
        <v>0</v>
      </c>
      <c r="AB646">
        <v>0</v>
      </c>
      <c r="AC646">
        <v>850</v>
      </c>
      <c r="AD646">
        <v>1</v>
      </c>
      <c r="AE646">
        <v>1</v>
      </c>
      <c r="AF646">
        <v>0</v>
      </c>
      <c r="AG646">
        <v>0</v>
      </c>
      <c r="AH646">
        <v>0</v>
      </c>
      <c r="AI646">
        <v>0</v>
      </c>
      <c r="AJ646">
        <v>0</v>
      </c>
      <c r="AK646">
        <v>0</v>
      </c>
      <c r="AL646">
        <v>0</v>
      </c>
      <c r="AM646">
        <v>0</v>
      </c>
      <c r="AN646">
        <v>0</v>
      </c>
      <c r="AO646">
        <v>0</v>
      </c>
      <c r="AP646">
        <v>0</v>
      </c>
      <c r="AQ646">
        <v>0</v>
      </c>
      <c r="AR646">
        <v>0</v>
      </c>
      <c r="AS646">
        <v>0</v>
      </c>
      <c r="AT646">
        <f t="shared" si="32"/>
        <v>4</v>
      </c>
      <c r="AU646">
        <f t="shared" si="30"/>
        <v>8</v>
      </c>
      <c r="AV646">
        <f t="shared" si="31"/>
        <v>614.79999999999995</v>
      </c>
      <c r="AY646">
        <v>782</v>
      </c>
      <c r="AZ646">
        <v>18.850000000000001</v>
      </c>
      <c r="BB646" t="s">
        <v>294</v>
      </c>
      <c r="BC646" t="s">
        <v>152</v>
      </c>
    </row>
    <row r="647" spans="3:55" x14ac:dyDescent="0.45">
      <c r="C647">
        <v>88.05</v>
      </c>
      <c r="D647">
        <v>6.5</v>
      </c>
      <c r="E647">
        <v>0</v>
      </c>
      <c r="F647">
        <v>0</v>
      </c>
      <c r="G647">
        <v>0</v>
      </c>
      <c r="H647">
        <v>0</v>
      </c>
      <c r="I647">
        <v>0</v>
      </c>
      <c r="J647">
        <v>1.9</v>
      </c>
      <c r="K647">
        <v>0</v>
      </c>
      <c r="L647">
        <v>3.3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1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>
        <v>0</v>
      </c>
      <c r="AI647">
        <v>0</v>
      </c>
      <c r="AJ647">
        <v>0</v>
      </c>
      <c r="AK647">
        <v>0</v>
      </c>
      <c r="AL647">
        <v>0</v>
      </c>
      <c r="AM647">
        <v>0</v>
      </c>
      <c r="AN647">
        <v>0</v>
      </c>
      <c r="AO647">
        <v>0</v>
      </c>
      <c r="AP647">
        <v>0</v>
      </c>
      <c r="AQ647">
        <v>0</v>
      </c>
      <c r="AR647">
        <v>0</v>
      </c>
      <c r="AS647">
        <v>0</v>
      </c>
      <c r="AT647">
        <f t="shared" si="32"/>
        <v>-3.2</v>
      </c>
      <c r="AU647">
        <f t="shared" si="30"/>
        <v>6.8166666666666664</v>
      </c>
      <c r="AV647">
        <f t="shared" si="31"/>
        <v>851.18999999999994</v>
      </c>
      <c r="BB647" t="s">
        <v>294</v>
      </c>
      <c r="BC647" t="s">
        <v>154</v>
      </c>
    </row>
    <row r="648" spans="3:55" x14ac:dyDescent="0.45">
      <c r="C648">
        <v>88.05</v>
      </c>
      <c r="D648">
        <v>6.5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1.9</v>
      </c>
      <c r="K648">
        <v>0</v>
      </c>
      <c r="L648">
        <v>3.3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1</v>
      </c>
      <c r="Z648">
        <v>0</v>
      </c>
      <c r="AA648">
        <v>0</v>
      </c>
      <c r="AB648">
        <v>0</v>
      </c>
      <c r="AC648">
        <v>530</v>
      </c>
      <c r="AD648">
        <v>6</v>
      </c>
      <c r="AE648">
        <v>0</v>
      </c>
      <c r="AF648">
        <v>1</v>
      </c>
      <c r="AG648">
        <v>0</v>
      </c>
      <c r="AH648">
        <v>0</v>
      </c>
      <c r="AI648">
        <v>0</v>
      </c>
      <c r="AJ648">
        <v>0</v>
      </c>
      <c r="AK648">
        <v>0</v>
      </c>
      <c r="AL648">
        <v>0</v>
      </c>
      <c r="AM648">
        <v>0</v>
      </c>
      <c r="AN648">
        <v>0</v>
      </c>
      <c r="AO648">
        <v>0</v>
      </c>
      <c r="AP648">
        <v>0</v>
      </c>
      <c r="AQ648">
        <v>0</v>
      </c>
      <c r="AR648">
        <v>0</v>
      </c>
      <c r="AS648">
        <v>0</v>
      </c>
      <c r="AT648">
        <f t="shared" si="32"/>
        <v>-3.2</v>
      </c>
      <c r="AU648">
        <f t="shared" si="30"/>
        <v>6.8166666666666664</v>
      </c>
      <c r="AV648">
        <f t="shared" si="31"/>
        <v>851.18999999999994</v>
      </c>
      <c r="BB648" t="s">
        <v>294</v>
      </c>
      <c r="BC648" t="s">
        <v>154</v>
      </c>
    </row>
    <row r="649" spans="3:55" x14ac:dyDescent="0.45">
      <c r="C649">
        <v>88.05</v>
      </c>
      <c r="D649">
        <v>6.5</v>
      </c>
      <c r="E649">
        <v>0</v>
      </c>
      <c r="F649">
        <v>0</v>
      </c>
      <c r="G649">
        <v>0</v>
      </c>
      <c r="H649">
        <v>0</v>
      </c>
      <c r="I649">
        <v>0</v>
      </c>
      <c r="J649">
        <v>1.9</v>
      </c>
      <c r="K649">
        <v>0</v>
      </c>
      <c r="L649">
        <v>3.3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1</v>
      </c>
      <c r="Z649">
        <v>0</v>
      </c>
      <c r="AA649">
        <v>0</v>
      </c>
      <c r="AB649">
        <v>0</v>
      </c>
      <c r="AC649">
        <v>700</v>
      </c>
      <c r="AD649">
        <v>6</v>
      </c>
      <c r="AE649">
        <v>0</v>
      </c>
      <c r="AF649">
        <v>1</v>
      </c>
      <c r="AG649">
        <v>0</v>
      </c>
      <c r="AH649">
        <v>0</v>
      </c>
      <c r="AI649">
        <v>0</v>
      </c>
      <c r="AJ649">
        <v>0</v>
      </c>
      <c r="AK649">
        <v>0</v>
      </c>
      <c r="AL649">
        <v>0</v>
      </c>
      <c r="AM649">
        <v>0</v>
      </c>
      <c r="AN649">
        <v>0</v>
      </c>
      <c r="AO649">
        <v>0</v>
      </c>
      <c r="AP649">
        <v>0</v>
      </c>
      <c r="AQ649">
        <v>0</v>
      </c>
      <c r="AR649">
        <v>0</v>
      </c>
      <c r="AS649">
        <v>0</v>
      </c>
      <c r="AT649">
        <f t="shared" si="32"/>
        <v>-3.2</v>
      </c>
      <c r="AU649">
        <f t="shared" si="30"/>
        <v>6.8166666666666664</v>
      </c>
      <c r="AV649">
        <f t="shared" si="31"/>
        <v>851.18999999999994</v>
      </c>
      <c r="BB649" t="s">
        <v>295</v>
      </c>
      <c r="BC649" t="s">
        <v>154</v>
      </c>
    </row>
    <row r="650" spans="3:55" x14ac:dyDescent="0.45">
      <c r="C650">
        <v>88.05</v>
      </c>
      <c r="D650">
        <v>6.5</v>
      </c>
      <c r="E650">
        <v>0</v>
      </c>
      <c r="F650">
        <v>0</v>
      </c>
      <c r="G650">
        <v>0</v>
      </c>
      <c r="H650">
        <v>0</v>
      </c>
      <c r="I650">
        <v>0</v>
      </c>
      <c r="J650">
        <v>1.9</v>
      </c>
      <c r="K650">
        <v>0</v>
      </c>
      <c r="L650">
        <v>3.3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1</v>
      </c>
      <c r="Z650">
        <v>0</v>
      </c>
      <c r="AA650">
        <v>0</v>
      </c>
      <c r="AB650">
        <v>0</v>
      </c>
      <c r="AC650">
        <v>960</v>
      </c>
      <c r="AD650">
        <v>1</v>
      </c>
      <c r="AE650">
        <v>0</v>
      </c>
      <c r="AF650">
        <v>1</v>
      </c>
      <c r="AG650">
        <v>0</v>
      </c>
      <c r="AH650">
        <v>0</v>
      </c>
      <c r="AI650">
        <v>0</v>
      </c>
      <c r="AJ650">
        <v>0</v>
      </c>
      <c r="AK650">
        <v>0</v>
      </c>
      <c r="AL650">
        <v>0</v>
      </c>
      <c r="AM650">
        <v>0</v>
      </c>
      <c r="AN650">
        <v>0</v>
      </c>
      <c r="AO650">
        <v>0</v>
      </c>
      <c r="AP650">
        <v>0</v>
      </c>
      <c r="AQ650">
        <v>0</v>
      </c>
      <c r="AR650">
        <v>0</v>
      </c>
      <c r="AS650">
        <v>0</v>
      </c>
      <c r="AT650">
        <f t="shared" si="32"/>
        <v>-3.2</v>
      </c>
      <c r="AU650">
        <f t="shared" si="30"/>
        <v>6.8166666666666664</v>
      </c>
      <c r="AV650">
        <f t="shared" si="31"/>
        <v>851.18999999999994</v>
      </c>
      <c r="BB650" t="s">
        <v>296</v>
      </c>
      <c r="BC650" t="s">
        <v>154</v>
      </c>
    </row>
    <row r="651" spans="3:55" x14ac:dyDescent="0.45">
      <c r="C651">
        <v>88.05</v>
      </c>
      <c r="D651">
        <v>6.5</v>
      </c>
      <c r="E651">
        <v>0</v>
      </c>
      <c r="F651">
        <v>0</v>
      </c>
      <c r="G651">
        <v>0</v>
      </c>
      <c r="H651">
        <v>0</v>
      </c>
      <c r="I651">
        <v>0</v>
      </c>
      <c r="J651">
        <v>1.9</v>
      </c>
      <c r="K651">
        <v>0</v>
      </c>
      <c r="L651">
        <v>3.3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1</v>
      </c>
      <c r="Z651">
        <v>0</v>
      </c>
      <c r="AA651">
        <v>0</v>
      </c>
      <c r="AB651">
        <v>0</v>
      </c>
      <c r="AC651">
        <v>960</v>
      </c>
      <c r="AD651">
        <v>1</v>
      </c>
      <c r="AE651">
        <v>1</v>
      </c>
      <c r="AF651">
        <v>0</v>
      </c>
      <c r="AG651">
        <v>0</v>
      </c>
      <c r="AH651">
        <v>0</v>
      </c>
      <c r="AI651">
        <v>0</v>
      </c>
      <c r="AJ651">
        <v>0</v>
      </c>
      <c r="AK651">
        <v>0</v>
      </c>
      <c r="AL651">
        <v>0</v>
      </c>
      <c r="AM651">
        <v>0</v>
      </c>
      <c r="AN651">
        <v>0</v>
      </c>
      <c r="AO651">
        <v>0</v>
      </c>
      <c r="AP651">
        <v>0</v>
      </c>
      <c r="AQ651">
        <v>0</v>
      </c>
      <c r="AR651">
        <v>0</v>
      </c>
      <c r="AS651">
        <v>0</v>
      </c>
      <c r="AT651">
        <f t="shared" si="32"/>
        <v>-3.2</v>
      </c>
      <c r="AU651">
        <f t="shared" si="30"/>
        <v>6.8166666666666664</v>
      </c>
      <c r="AV651">
        <f t="shared" si="31"/>
        <v>851.18999999999994</v>
      </c>
      <c r="BB651" t="s">
        <v>297</v>
      </c>
      <c r="BC651" t="s">
        <v>154</v>
      </c>
    </row>
    <row r="652" spans="3:55" x14ac:dyDescent="0.45">
      <c r="C652">
        <v>88.05</v>
      </c>
      <c r="D652">
        <v>6.5</v>
      </c>
      <c r="E652">
        <v>0</v>
      </c>
      <c r="F652">
        <v>0</v>
      </c>
      <c r="G652">
        <v>0</v>
      </c>
      <c r="H652">
        <v>0</v>
      </c>
      <c r="I652">
        <v>0</v>
      </c>
      <c r="J652">
        <v>1.9</v>
      </c>
      <c r="K652">
        <v>0</v>
      </c>
      <c r="L652">
        <v>3.3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1</v>
      </c>
      <c r="Z652">
        <v>0</v>
      </c>
      <c r="AA652">
        <v>0</v>
      </c>
      <c r="AB652">
        <v>0</v>
      </c>
      <c r="AC652">
        <v>960</v>
      </c>
      <c r="AD652">
        <v>24</v>
      </c>
      <c r="AE652">
        <v>0</v>
      </c>
      <c r="AF652">
        <v>1</v>
      </c>
      <c r="AG652">
        <v>0</v>
      </c>
      <c r="AH652">
        <v>0</v>
      </c>
      <c r="AI652">
        <v>0</v>
      </c>
      <c r="AJ652">
        <v>0</v>
      </c>
      <c r="AK652">
        <v>0</v>
      </c>
      <c r="AL652">
        <v>0</v>
      </c>
      <c r="AM652">
        <v>0</v>
      </c>
      <c r="AN652">
        <v>0</v>
      </c>
      <c r="AO652">
        <v>0</v>
      </c>
      <c r="AP652">
        <v>0</v>
      </c>
      <c r="AQ652">
        <v>0</v>
      </c>
      <c r="AR652">
        <v>0</v>
      </c>
      <c r="AS652">
        <v>0</v>
      </c>
      <c r="AT652">
        <f t="shared" si="32"/>
        <v>-3.2</v>
      </c>
      <c r="AU652">
        <f t="shared" si="30"/>
        <v>6.8166666666666664</v>
      </c>
      <c r="AV652">
        <f t="shared" si="31"/>
        <v>851.18999999999994</v>
      </c>
      <c r="BB652" t="s">
        <v>298</v>
      </c>
      <c r="BC652" t="s">
        <v>154</v>
      </c>
    </row>
    <row r="653" spans="3:55" x14ac:dyDescent="0.45">
      <c r="C653">
        <v>88.2</v>
      </c>
      <c r="D653">
        <v>6.5</v>
      </c>
      <c r="E653">
        <v>0</v>
      </c>
      <c r="F653">
        <v>0</v>
      </c>
      <c r="G653">
        <v>0</v>
      </c>
      <c r="H653">
        <v>0</v>
      </c>
      <c r="I653">
        <v>0</v>
      </c>
      <c r="J653">
        <v>1.5</v>
      </c>
      <c r="K653">
        <v>0</v>
      </c>
      <c r="L653">
        <v>3.5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1</v>
      </c>
      <c r="Z653">
        <v>0</v>
      </c>
      <c r="AA653">
        <v>0</v>
      </c>
      <c r="AB653">
        <v>0</v>
      </c>
      <c r="AC653">
        <v>940</v>
      </c>
      <c r="AD653">
        <v>1</v>
      </c>
      <c r="AE653">
        <v>0</v>
      </c>
      <c r="AF653">
        <v>1</v>
      </c>
      <c r="AG653">
        <v>0</v>
      </c>
      <c r="AH653">
        <v>530</v>
      </c>
      <c r="AI653">
        <v>6</v>
      </c>
      <c r="AJ653">
        <v>0</v>
      </c>
      <c r="AK653">
        <v>1</v>
      </c>
      <c r="AL653">
        <v>0</v>
      </c>
      <c r="AM653">
        <v>0</v>
      </c>
      <c r="AN653">
        <v>0</v>
      </c>
      <c r="AO653">
        <v>0</v>
      </c>
      <c r="AP653">
        <v>0</v>
      </c>
      <c r="AQ653">
        <v>0</v>
      </c>
      <c r="AR653">
        <v>0</v>
      </c>
      <c r="AS653">
        <v>0</v>
      </c>
      <c r="AT653">
        <f t="shared" si="32"/>
        <v>-3</v>
      </c>
      <c r="AU653">
        <f t="shared" si="30"/>
        <v>6.75</v>
      </c>
      <c r="AV653">
        <f t="shared" si="31"/>
        <v>852.05</v>
      </c>
      <c r="AZ653">
        <v>17.673300000000001</v>
      </c>
      <c r="BB653" t="s">
        <v>299</v>
      </c>
      <c r="BC653" t="s">
        <v>108</v>
      </c>
    </row>
    <row r="654" spans="3:55" x14ac:dyDescent="0.45">
      <c r="C654">
        <v>88.2</v>
      </c>
      <c r="D654">
        <v>6.5</v>
      </c>
      <c r="E654">
        <v>0</v>
      </c>
      <c r="F654">
        <v>0</v>
      </c>
      <c r="G654">
        <v>0</v>
      </c>
      <c r="H654">
        <v>0</v>
      </c>
      <c r="I654">
        <v>0</v>
      </c>
      <c r="J654">
        <v>1.5</v>
      </c>
      <c r="K654">
        <v>0</v>
      </c>
      <c r="L654">
        <v>3.5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1</v>
      </c>
      <c r="Z654">
        <v>0</v>
      </c>
      <c r="AA654">
        <v>0</v>
      </c>
      <c r="AB654">
        <v>0</v>
      </c>
      <c r="AC654">
        <v>940</v>
      </c>
      <c r="AD654">
        <v>1</v>
      </c>
      <c r="AE654">
        <v>1</v>
      </c>
      <c r="AF654">
        <v>0</v>
      </c>
      <c r="AG654">
        <v>0</v>
      </c>
      <c r="AH654">
        <v>530</v>
      </c>
      <c r="AI654">
        <v>6</v>
      </c>
      <c r="AJ654">
        <v>0</v>
      </c>
      <c r="AK654">
        <v>1</v>
      </c>
      <c r="AL654">
        <v>0</v>
      </c>
      <c r="AM654">
        <v>0</v>
      </c>
      <c r="AN654">
        <v>0</v>
      </c>
      <c r="AO654">
        <v>0</v>
      </c>
      <c r="AP654">
        <v>0</v>
      </c>
      <c r="AQ654">
        <v>0</v>
      </c>
      <c r="AR654">
        <v>0</v>
      </c>
      <c r="AS654">
        <v>0</v>
      </c>
      <c r="AT654">
        <f t="shared" si="32"/>
        <v>-3</v>
      </c>
      <c r="AU654">
        <f t="shared" si="30"/>
        <v>6.75</v>
      </c>
      <c r="AV654">
        <f t="shared" si="31"/>
        <v>852.05</v>
      </c>
      <c r="AZ654">
        <v>7.1818299999999997</v>
      </c>
      <c r="BB654" t="s">
        <v>300</v>
      </c>
      <c r="BC654" t="s">
        <v>108</v>
      </c>
    </row>
    <row r="655" spans="3:55" x14ac:dyDescent="0.45">
      <c r="C655">
        <v>88.2</v>
      </c>
      <c r="D655">
        <v>6.5</v>
      </c>
      <c r="E655">
        <v>0</v>
      </c>
      <c r="F655">
        <v>0</v>
      </c>
      <c r="G655">
        <v>0</v>
      </c>
      <c r="H655">
        <v>0</v>
      </c>
      <c r="I655">
        <v>0</v>
      </c>
      <c r="J655">
        <v>1.5</v>
      </c>
      <c r="K655">
        <v>0</v>
      </c>
      <c r="L655">
        <v>3.5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1</v>
      </c>
      <c r="Z655">
        <v>0</v>
      </c>
      <c r="AA655">
        <v>0</v>
      </c>
      <c r="AB655">
        <v>0</v>
      </c>
      <c r="AC655">
        <v>960</v>
      </c>
      <c r="AD655">
        <v>1</v>
      </c>
      <c r="AE655">
        <v>0</v>
      </c>
      <c r="AF655">
        <v>1</v>
      </c>
      <c r="AG655">
        <v>0</v>
      </c>
      <c r="AH655">
        <v>530</v>
      </c>
      <c r="AI655">
        <v>6</v>
      </c>
      <c r="AJ655">
        <v>0</v>
      </c>
      <c r="AK655">
        <v>1</v>
      </c>
      <c r="AL655">
        <v>0</v>
      </c>
      <c r="AM655">
        <v>0</v>
      </c>
      <c r="AN655">
        <v>0</v>
      </c>
      <c r="AO655">
        <v>0</v>
      </c>
      <c r="AP655">
        <v>0</v>
      </c>
      <c r="AQ655">
        <v>0</v>
      </c>
      <c r="AR655">
        <v>0</v>
      </c>
      <c r="AS655">
        <v>0</v>
      </c>
      <c r="AT655">
        <f t="shared" si="32"/>
        <v>-3</v>
      </c>
      <c r="AU655">
        <f t="shared" si="30"/>
        <v>6.75</v>
      </c>
      <c r="AV655">
        <f t="shared" si="31"/>
        <v>852.05</v>
      </c>
      <c r="AZ655">
        <v>15.350300000000001</v>
      </c>
      <c r="BC655" t="s">
        <v>108</v>
      </c>
    </row>
    <row r="656" spans="3:55" x14ac:dyDescent="0.45">
      <c r="C656">
        <v>88.2</v>
      </c>
      <c r="D656">
        <v>6.5</v>
      </c>
      <c r="E656">
        <v>0</v>
      </c>
      <c r="F656">
        <v>0</v>
      </c>
      <c r="G656">
        <v>0</v>
      </c>
      <c r="H656">
        <v>0</v>
      </c>
      <c r="I656">
        <v>0</v>
      </c>
      <c r="J656">
        <v>1.5</v>
      </c>
      <c r="K656">
        <v>0</v>
      </c>
      <c r="L656">
        <v>3.5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1</v>
      </c>
      <c r="Z656">
        <v>0</v>
      </c>
      <c r="AA656">
        <v>0</v>
      </c>
      <c r="AB656">
        <v>0</v>
      </c>
      <c r="AC656">
        <v>960</v>
      </c>
      <c r="AD656">
        <v>1</v>
      </c>
      <c r="AE656">
        <v>0</v>
      </c>
      <c r="AF656">
        <v>1</v>
      </c>
      <c r="AG656">
        <v>0</v>
      </c>
      <c r="AH656">
        <v>530</v>
      </c>
      <c r="AI656">
        <v>6</v>
      </c>
      <c r="AJ656">
        <v>0</v>
      </c>
      <c r="AK656">
        <v>1</v>
      </c>
      <c r="AL656">
        <v>0</v>
      </c>
      <c r="AM656">
        <v>0</v>
      </c>
      <c r="AN656">
        <v>0</v>
      </c>
      <c r="AO656">
        <v>0</v>
      </c>
      <c r="AP656">
        <v>0</v>
      </c>
      <c r="AQ656">
        <v>0</v>
      </c>
      <c r="AR656">
        <v>0</v>
      </c>
      <c r="AS656">
        <v>0</v>
      </c>
      <c r="AT656">
        <f t="shared" si="32"/>
        <v>-3</v>
      </c>
      <c r="AU656">
        <f t="shared" si="30"/>
        <v>6.75</v>
      </c>
      <c r="AV656">
        <f t="shared" si="31"/>
        <v>852.05</v>
      </c>
      <c r="AZ656">
        <v>15.9556</v>
      </c>
      <c r="BC656" t="s">
        <v>108</v>
      </c>
    </row>
    <row r="657" spans="3:55" x14ac:dyDescent="0.45">
      <c r="C657">
        <v>88.2</v>
      </c>
      <c r="D657">
        <v>6.5</v>
      </c>
      <c r="E657">
        <v>0</v>
      </c>
      <c r="F657">
        <v>0</v>
      </c>
      <c r="G657">
        <v>0</v>
      </c>
      <c r="H657">
        <v>0</v>
      </c>
      <c r="I657">
        <v>0</v>
      </c>
      <c r="J657">
        <v>1.5</v>
      </c>
      <c r="K657">
        <v>0</v>
      </c>
      <c r="L657">
        <v>3.5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1</v>
      </c>
      <c r="Z657">
        <v>0</v>
      </c>
      <c r="AA657">
        <v>0</v>
      </c>
      <c r="AB657">
        <v>0</v>
      </c>
      <c r="AC657">
        <v>960</v>
      </c>
      <c r="AD657">
        <v>1</v>
      </c>
      <c r="AE657">
        <v>1</v>
      </c>
      <c r="AF657">
        <v>0</v>
      </c>
      <c r="AG657">
        <v>0</v>
      </c>
      <c r="AH657">
        <v>530</v>
      </c>
      <c r="AI657">
        <v>6</v>
      </c>
      <c r="AJ657">
        <v>0</v>
      </c>
      <c r="AK657">
        <v>1</v>
      </c>
      <c r="AL657">
        <v>0</v>
      </c>
      <c r="AM657">
        <v>0</v>
      </c>
      <c r="AN657">
        <v>0</v>
      </c>
      <c r="AO657">
        <v>0</v>
      </c>
      <c r="AP657">
        <v>0</v>
      </c>
      <c r="AQ657">
        <v>0</v>
      </c>
      <c r="AR657">
        <v>0</v>
      </c>
      <c r="AS657">
        <v>0</v>
      </c>
      <c r="AT657">
        <f t="shared" si="32"/>
        <v>-3</v>
      </c>
      <c r="AU657">
        <f t="shared" si="30"/>
        <v>6.75</v>
      </c>
      <c r="AV657">
        <f t="shared" si="31"/>
        <v>852.05</v>
      </c>
      <c r="AZ657">
        <v>6.68804</v>
      </c>
      <c r="BC657" t="s">
        <v>108</v>
      </c>
    </row>
    <row r="658" spans="3:55" x14ac:dyDescent="0.45">
      <c r="C658">
        <v>88.2</v>
      </c>
      <c r="D658">
        <v>6.5</v>
      </c>
      <c r="E658">
        <v>0</v>
      </c>
      <c r="F658">
        <v>0</v>
      </c>
      <c r="G658">
        <v>0</v>
      </c>
      <c r="H658">
        <v>0</v>
      </c>
      <c r="I658">
        <v>0</v>
      </c>
      <c r="J658">
        <v>1.5</v>
      </c>
      <c r="K658">
        <v>0</v>
      </c>
      <c r="L658">
        <v>3.5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1</v>
      </c>
      <c r="Z658">
        <v>0</v>
      </c>
      <c r="AA658">
        <v>0</v>
      </c>
      <c r="AB658">
        <v>0</v>
      </c>
      <c r="AC658">
        <v>980</v>
      </c>
      <c r="AD658">
        <v>1</v>
      </c>
      <c r="AE658">
        <v>0</v>
      </c>
      <c r="AF658">
        <v>1</v>
      </c>
      <c r="AG658">
        <v>0</v>
      </c>
      <c r="AH658">
        <v>530</v>
      </c>
      <c r="AI658">
        <v>6</v>
      </c>
      <c r="AJ658">
        <v>0</v>
      </c>
      <c r="AK658">
        <v>1</v>
      </c>
      <c r="AL658">
        <v>0</v>
      </c>
      <c r="AM658">
        <v>0</v>
      </c>
      <c r="AN658">
        <v>0</v>
      </c>
      <c r="AO658">
        <v>0</v>
      </c>
      <c r="AP658">
        <v>0</v>
      </c>
      <c r="AQ658">
        <v>0</v>
      </c>
      <c r="AR658">
        <v>0</v>
      </c>
      <c r="AS658">
        <v>0</v>
      </c>
      <c r="AT658">
        <f t="shared" si="32"/>
        <v>-3</v>
      </c>
      <c r="AU658">
        <f t="shared" si="30"/>
        <v>6.75</v>
      </c>
      <c r="AV658">
        <f t="shared" si="31"/>
        <v>852.05</v>
      </c>
      <c r="AZ658">
        <v>15.8582</v>
      </c>
      <c r="BC658" t="s">
        <v>108</v>
      </c>
    </row>
    <row r="659" spans="3:55" x14ac:dyDescent="0.45">
      <c r="C659">
        <v>88.2</v>
      </c>
      <c r="D659">
        <v>6.5</v>
      </c>
      <c r="E659">
        <v>0</v>
      </c>
      <c r="F659">
        <v>0</v>
      </c>
      <c r="G659">
        <v>0</v>
      </c>
      <c r="H659">
        <v>0</v>
      </c>
      <c r="I659">
        <v>0</v>
      </c>
      <c r="J659">
        <v>1.5</v>
      </c>
      <c r="K659">
        <v>0</v>
      </c>
      <c r="L659">
        <v>3.5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1</v>
      </c>
      <c r="Z659">
        <v>0</v>
      </c>
      <c r="AA659">
        <v>0</v>
      </c>
      <c r="AB659">
        <v>0</v>
      </c>
      <c r="AC659">
        <v>960</v>
      </c>
      <c r="AD659">
        <v>1</v>
      </c>
      <c r="AE659">
        <v>0</v>
      </c>
      <c r="AF659">
        <v>1</v>
      </c>
      <c r="AG659">
        <v>0</v>
      </c>
      <c r="AH659">
        <v>530</v>
      </c>
      <c r="AI659">
        <v>1</v>
      </c>
      <c r="AJ659">
        <v>0</v>
      </c>
      <c r="AK659">
        <v>1</v>
      </c>
      <c r="AL659">
        <v>0</v>
      </c>
      <c r="AM659">
        <v>0</v>
      </c>
      <c r="AN659">
        <v>0</v>
      </c>
      <c r="AO659">
        <v>0</v>
      </c>
      <c r="AP659">
        <v>0</v>
      </c>
      <c r="AQ659">
        <v>0</v>
      </c>
      <c r="AR659">
        <v>0</v>
      </c>
      <c r="AS659">
        <v>0</v>
      </c>
      <c r="AT659">
        <f t="shared" si="32"/>
        <v>-3</v>
      </c>
      <c r="AU659">
        <f t="shared" si="30"/>
        <v>6.75</v>
      </c>
      <c r="AV659">
        <f t="shared" si="31"/>
        <v>852.05</v>
      </c>
      <c r="AZ659">
        <v>16.339600000000001</v>
      </c>
      <c r="BC659" t="s">
        <v>108</v>
      </c>
    </row>
    <row r="660" spans="3:55" x14ac:dyDescent="0.45">
      <c r="C660">
        <v>88.2</v>
      </c>
      <c r="D660">
        <v>6.5</v>
      </c>
      <c r="E660">
        <v>0</v>
      </c>
      <c r="F660">
        <v>0</v>
      </c>
      <c r="G660">
        <v>0</v>
      </c>
      <c r="H660">
        <v>0</v>
      </c>
      <c r="I660">
        <v>0</v>
      </c>
      <c r="J660">
        <v>1.5</v>
      </c>
      <c r="K660">
        <v>0</v>
      </c>
      <c r="L660">
        <v>3.5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1</v>
      </c>
      <c r="Z660">
        <v>0</v>
      </c>
      <c r="AA660">
        <v>0</v>
      </c>
      <c r="AB660">
        <v>0</v>
      </c>
      <c r="AC660">
        <v>960</v>
      </c>
      <c r="AD660">
        <v>1</v>
      </c>
      <c r="AE660">
        <v>0</v>
      </c>
      <c r="AF660">
        <v>1</v>
      </c>
      <c r="AG660">
        <v>0</v>
      </c>
      <c r="AH660">
        <v>530</v>
      </c>
      <c r="AI660">
        <v>2</v>
      </c>
      <c r="AJ660">
        <v>0</v>
      </c>
      <c r="AK660">
        <v>1</v>
      </c>
      <c r="AL660">
        <v>0</v>
      </c>
      <c r="AM660">
        <v>0</v>
      </c>
      <c r="AN660">
        <v>0</v>
      </c>
      <c r="AO660">
        <v>0</v>
      </c>
      <c r="AP660">
        <v>0</v>
      </c>
      <c r="AQ660">
        <v>0</v>
      </c>
      <c r="AR660">
        <v>0</v>
      </c>
      <c r="AS660">
        <v>0</v>
      </c>
      <c r="AT660">
        <f t="shared" si="32"/>
        <v>-3</v>
      </c>
      <c r="AU660">
        <f t="shared" si="30"/>
        <v>6.75</v>
      </c>
      <c r="AV660">
        <f t="shared" si="31"/>
        <v>852.05</v>
      </c>
      <c r="AZ660">
        <v>18.302</v>
      </c>
      <c r="BC660" t="s">
        <v>108</v>
      </c>
    </row>
    <row r="661" spans="3:55" x14ac:dyDescent="0.45">
      <c r="C661">
        <v>88.2</v>
      </c>
      <c r="D661">
        <v>6.5</v>
      </c>
      <c r="E661">
        <v>0</v>
      </c>
      <c r="F661">
        <v>0</v>
      </c>
      <c r="G661">
        <v>0</v>
      </c>
      <c r="H661">
        <v>0</v>
      </c>
      <c r="I661">
        <v>0</v>
      </c>
      <c r="J661">
        <v>1.5</v>
      </c>
      <c r="K661">
        <v>0</v>
      </c>
      <c r="L661">
        <v>3.5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1</v>
      </c>
      <c r="Z661">
        <v>0</v>
      </c>
      <c r="AA661">
        <v>0</v>
      </c>
      <c r="AB661">
        <v>0</v>
      </c>
      <c r="AC661">
        <v>960</v>
      </c>
      <c r="AD661">
        <v>1</v>
      </c>
      <c r="AE661">
        <v>0</v>
      </c>
      <c r="AF661">
        <v>1</v>
      </c>
      <c r="AG661">
        <v>0</v>
      </c>
      <c r="AH661">
        <v>530</v>
      </c>
      <c r="AI661">
        <v>4</v>
      </c>
      <c r="AJ661">
        <v>0</v>
      </c>
      <c r="AK661">
        <v>1</v>
      </c>
      <c r="AL661">
        <v>0</v>
      </c>
      <c r="AM661">
        <v>0</v>
      </c>
      <c r="AN661">
        <v>0</v>
      </c>
      <c r="AO661">
        <v>0</v>
      </c>
      <c r="AP661">
        <v>0</v>
      </c>
      <c r="AQ661">
        <v>0</v>
      </c>
      <c r="AR661">
        <v>0</v>
      </c>
      <c r="AS661">
        <v>0</v>
      </c>
      <c r="AT661">
        <f t="shared" si="32"/>
        <v>-3</v>
      </c>
      <c r="AU661">
        <f t="shared" si="30"/>
        <v>6.75</v>
      </c>
      <c r="AV661">
        <f t="shared" si="31"/>
        <v>852.05</v>
      </c>
      <c r="AZ661">
        <v>16.680900000000001</v>
      </c>
      <c r="BC661" t="s">
        <v>108</v>
      </c>
    </row>
    <row r="662" spans="3:55" x14ac:dyDescent="0.45">
      <c r="C662">
        <v>88.2</v>
      </c>
      <c r="D662">
        <v>6.5</v>
      </c>
      <c r="E662">
        <v>0</v>
      </c>
      <c r="F662">
        <v>0</v>
      </c>
      <c r="G662">
        <v>0</v>
      </c>
      <c r="H662">
        <v>0</v>
      </c>
      <c r="I662">
        <v>0</v>
      </c>
      <c r="J662">
        <v>1.5</v>
      </c>
      <c r="K662">
        <v>0</v>
      </c>
      <c r="L662">
        <v>3.5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>
        <v>0</v>
      </c>
      <c r="AB662">
        <v>0</v>
      </c>
      <c r="AC662">
        <v>960</v>
      </c>
      <c r="AD662">
        <v>1</v>
      </c>
      <c r="AE662">
        <v>0</v>
      </c>
      <c r="AF662">
        <v>1</v>
      </c>
      <c r="AG662">
        <v>0</v>
      </c>
      <c r="AH662">
        <v>530</v>
      </c>
      <c r="AI662">
        <v>12</v>
      </c>
      <c r="AJ662">
        <v>0</v>
      </c>
      <c r="AK662">
        <v>1</v>
      </c>
      <c r="AL662">
        <v>0</v>
      </c>
      <c r="AM662">
        <v>0</v>
      </c>
      <c r="AN662">
        <v>0</v>
      </c>
      <c r="AO662">
        <v>0</v>
      </c>
      <c r="AP662">
        <v>0</v>
      </c>
      <c r="AQ662">
        <v>0</v>
      </c>
      <c r="AR662">
        <v>0</v>
      </c>
      <c r="AS662">
        <v>0</v>
      </c>
      <c r="AT662">
        <f t="shared" si="32"/>
        <v>-3</v>
      </c>
      <c r="AU662">
        <f t="shared" si="30"/>
        <v>6.75</v>
      </c>
      <c r="AV662">
        <f t="shared" si="31"/>
        <v>852.05</v>
      </c>
      <c r="AZ662">
        <v>15.4863</v>
      </c>
      <c r="BC662" t="s">
        <v>108</v>
      </c>
    </row>
    <row r="663" spans="3:55" x14ac:dyDescent="0.45">
      <c r="C663">
        <v>88.2</v>
      </c>
      <c r="D663">
        <v>6.5</v>
      </c>
      <c r="E663">
        <v>0</v>
      </c>
      <c r="F663">
        <v>0</v>
      </c>
      <c r="G663">
        <v>0</v>
      </c>
      <c r="H663">
        <v>0</v>
      </c>
      <c r="I663">
        <v>0</v>
      </c>
      <c r="J663">
        <v>1.5</v>
      </c>
      <c r="K663">
        <v>0</v>
      </c>
      <c r="L663">
        <v>3.5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>
        <v>0</v>
      </c>
      <c r="AB663">
        <v>0</v>
      </c>
      <c r="AC663">
        <v>960</v>
      </c>
      <c r="AD663">
        <v>1</v>
      </c>
      <c r="AE663">
        <v>0</v>
      </c>
      <c r="AF663">
        <v>1</v>
      </c>
      <c r="AG663">
        <v>0</v>
      </c>
      <c r="AH663">
        <v>530</v>
      </c>
      <c r="AI663">
        <v>24</v>
      </c>
      <c r="AJ663">
        <v>0</v>
      </c>
      <c r="AK663">
        <v>1</v>
      </c>
      <c r="AL663">
        <v>0</v>
      </c>
      <c r="AM663">
        <v>0</v>
      </c>
      <c r="AN663">
        <v>0</v>
      </c>
      <c r="AO663">
        <v>0</v>
      </c>
      <c r="AP663">
        <v>0</v>
      </c>
      <c r="AQ663">
        <v>0</v>
      </c>
      <c r="AR663">
        <v>0</v>
      </c>
      <c r="AS663">
        <v>0</v>
      </c>
      <c r="AT663">
        <f t="shared" si="32"/>
        <v>-3</v>
      </c>
      <c r="AU663">
        <f t="shared" si="30"/>
        <v>6.75</v>
      </c>
      <c r="AV663">
        <f t="shared" si="31"/>
        <v>852.05</v>
      </c>
      <c r="AZ663">
        <v>16.382300000000001</v>
      </c>
      <c r="BC663" t="s">
        <v>108</v>
      </c>
    </row>
    <row r="664" spans="3:55" x14ac:dyDescent="0.45">
      <c r="C664">
        <v>88.2</v>
      </c>
      <c r="D664">
        <v>6.5</v>
      </c>
      <c r="E664">
        <v>0</v>
      </c>
      <c r="F664">
        <v>0</v>
      </c>
      <c r="G664">
        <v>0</v>
      </c>
      <c r="H664">
        <v>0</v>
      </c>
      <c r="I664">
        <v>0</v>
      </c>
      <c r="J664">
        <v>1.5</v>
      </c>
      <c r="K664">
        <v>0</v>
      </c>
      <c r="L664">
        <v>3.5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>
        <v>0</v>
      </c>
      <c r="AB664">
        <v>0</v>
      </c>
      <c r="AC664">
        <v>980</v>
      </c>
      <c r="AD664">
        <v>1</v>
      </c>
      <c r="AE664">
        <v>1</v>
      </c>
      <c r="AF664">
        <v>0</v>
      </c>
      <c r="AG664">
        <v>0</v>
      </c>
      <c r="AH664">
        <v>700</v>
      </c>
      <c r="AI664">
        <v>6</v>
      </c>
      <c r="AJ664">
        <v>0</v>
      </c>
      <c r="AK664">
        <v>1</v>
      </c>
      <c r="AL664">
        <v>0</v>
      </c>
      <c r="AM664">
        <v>0</v>
      </c>
      <c r="AN664">
        <v>0</v>
      </c>
      <c r="AO664">
        <v>0</v>
      </c>
      <c r="AP664">
        <v>0</v>
      </c>
      <c r="AQ664">
        <v>0</v>
      </c>
      <c r="AR664">
        <v>0</v>
      </c>
      <c r="AS664">
        <v>0</v>
      </c>
      <c r="AT664">
        <f t="shared" si="32"/>
        <v>-3</v>
      </c>
      <c r="AU664">
        <f t="shared" si="30"/>
        <v>6.75</v>
      </c>
      <c r="AV664">
        <f t="shared" si="31"/>
        <v>852.05</v>
      </c>
      <c r="AX664">
        <v>1046</v>
      </c>
      <c r="AY664">
        <v>1217</v>
      </c>
      <c r="AZ664">
        <v>10.656499999999999</v>
      </c>
      <c r="BC664" t="s">
        <v>108</v>
      </c>
    </row>
    <row r="665" spans="3:55" x14ac:dyDescent="0.45">
      <c r="C665">
        <v>88.2</v>
      </c>
      <c r="D665">
        <v>6.5</v>
      </c>
      <c r="E665">
        <v>0</v>
      </c>
      <c r="F665">
        <v>0</v>
      </c>
      <c r="G665">
        <v>0</v>
      </c>
      <c r="H665">
        <v>0</v>
      </c>
      <c r="I665">
        <v>0</v>
      </c>
      <c r="J665">
        <v>1.5</v>
      </c>
      <c r="K665">
        <v>0</v>
      </c>
      <c r="L665">
        <v>3.5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1</v>
      </c>
      <c r="Z665">
        <v>0</v>
      </c>
      <c r="AA665">
        <v>0</v>
      </c>
      <c r="AB665">
        <v>0</v>
      </c>
      <c r="AC665">
        <v>980</v>
      </c>
      <c r="AD665">
        <v>1</v>
      </c>
      <c r="AE665">
        <v>1</v>
      </c>
      <c r="AF665">
        <v>0</v>
      </c>
      <c r="AG665">
        <v>0</v>
      </c>
      <c r="AH665">
        <v>750</v>
      </c>
      <c r="AI665">
        <v>6</v>
      </c>
      <c r="AJ665">
        <v>0</v>
      </c>
      <c r="AK665">
        <v>1</v>
      </c>
      <c r="AL665">
        <v>0</v>
      </c>
      <c r="AM665">
        <v>0</v>
      </c>
      <c r="AN665">
        <v>0</v>
      </c>
      <c r="AO665">
        <v>0</v>
      </c>
      <c r="AP665">
        <v>0</v>
      </c>
      <c r="AQ665">
        <v>0</v>
      </c>
      <c r="AR665">
        <v>0</v>
      </c>
      <c r="AS665">
        <v>0</v>
      </c>
      <c r="AT665">
        <f t="shared" si="32"/>
        <v>-3</v>
      </c>
      <c r="AU665">
        <f t="shared" si="30"/>
        <v>6.75</v>
      </c>
      <c r="AV665">
        <f t="shared" si="31"/>
        <v>852.05</v>
      </c>
      <c r="AX665">
        <v>1034</v>
      </c>
      <c r="AY665">
        <v>1095</v>
      </c>
      <c r="AZ665">
        <v>13.5304</v>
      </c>
      <c r="BB665" t="s">
        <v>301</v>
      </c>
      <c r="BC665" t="s">
        <v>108</v>
      </c>
    </row>
    <row r="666" spans="3:55" x14ac:dyDescent="0.45">
      <c r="C666">
        <v>88.2</v>
      </c>
      <c r="D666">
        <v>6.5</v>
      </c>
      <c r="E666">
        <v>0</v>
      </c>
      <c r="F666">
        <v>0</v>
      </c>
      <c r="G666">
        <v>0</v>
      </c>
      <c r="H666">
        <v>0</v>
      </c>
      <c r="I666">
        <v>0</v>
      </c>
      <c r="J666">
        <v>1.5</v>
      </c>
      <c r="K666">
        <v>0</v>
      </c>
      <c r="L666">
        <v>3.5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1</v>
      </c>
      <c r="Z666">
        <v>0</v>
      </c>
      <c r="AA666">
        <v>0</v>
      </c>
      <c r="AB666">
        <v>0</v>
      </c>
      <c r="AC666">
        <v>980</v>
      </c>
      <c r="AD666">
        <v>1</v>
      </c>
      <c r="AE666">
        <v>1</v>
      </c>
      <c r="AF666">
        <v>0</v>
      </c>
      <c r="AG666">
        <v>0</v>
      </c>
      <c r="AH666">
        <v>800</v>
      </c>
      <c r="AI666">
        <v>6</v>
      </c>
      <c r="AJ666">
        <v>0</v>
      </c>
      <c r="AK666">
        <v>1</v>
      </c>
      <c r="AL666">
        <v>0</v>
      </c>
      <c r="AM666">
        <v>0</v>
      </c>
      <c r="AN666">
        <v>0</v>
      </c>
      <c r="AO666">
        <v>0</v>
      </c>
      <c r="AP666">
        <v>0</v>
      </c>
      <c r="AQ666">
        <v>0</v>
      </c>
      <c r="AR666">
        <v>0</v>
      </c>
      <c r="AS666">
        <v>0</v>
      </c>
      <c r="AT666">
        <f t="shared" si="32"/>
        <v>-3</v>
      </c>
      <c r="AU666">
        <f t="shared" si="30"/>
        <v>6.75</v>
      </c>
      <c r="AV666">
        <f t="shared" si="31"/>
        <v>852.05</v>
      </c>
      <c r="AX666">
        <v>937</v>
      </c>
      <c r="AY666">
        <v>1008</v>
      </c>
      <c r="AZ666">
        <v>15.642200000000001</v>
      </c>
      <c r="BB666" t="s">
        <v>302</v>
      </c>
      <c r="BC666" t="s">
        <v>108</v>
      </c>
    </row>
    <row r="667" spans="3:55" x14ac:dyDescent="0.45">
      <c r="C667">
        <v>88.2</v>
      </c>
      <c r="D667">
        <v>6.5</v>
      </c>
      <c r="E667">
        <v>0</v>
      </c>
      <c r="F667">
        <v>0</v>
      </c>
      <c r="G667">
        <v>0</v>
      </c>
      <c r="H667">
        <v>0</v>
      </c>
      <c r="I667">
        <v>0</v>
      </c>
      <c r="J667">
        <v>1.5</v>
      </c>
      <c r="K667">
        <v>0</v>
      </c>
      <c r="L667">
        <v>3.5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1</v>
      </c>
      <c r="Z667">
        <v>0</v>
      </c>
      <c r="AA667">
        <v>0</v>
      </c>
      <c r="AB667">
        <v>0</v>
      </c>
      <c r="AC667">
        <v>990</v>
      </c>
      <c r="AD667">
        <v>1</v>
      </c>
      <c r="AE667">
        <v>1</v>
      </c>
      <c r="AF667">
        <v>0</v>
      </c>
      <c r="AG667">
        <v>0</v>
      </c>
      <c r="AH667">
        <v>0</v>
      </c>
      <c r="AI667">
        <v>0</v>
      </c>
      <c r="AJ667">
        <v>0</v>
      </c>
      <c r="AK667">
        <v>0</v>
      </c>
      <c r="AL667">
        <v>0</v>
      </c>
      <c r="AM667">
        <v>0</v>
      </c>
      <c r="AN667">
        <v>0</v>
      </c>
      <c r="AO667">
        <v>0</v>
      </c>
      <c r="AP667">
        <v>0</v>
      </c>
      <c r="AQ667">
        <v>0</v>
      </c>
      <c r="AR667">
        <v>0</v>
      </c>
      <c r="AS667">
        <v>0</v>
      </c>
      <c r="AT667">
        <f t="shared" si="32"/>
        <v>-3</v>
      </c>
      <c r="AU667">
        <f t="shared" si="30"/>
        <v>6.75</v>
      </c>
      <c r="AV667">
        <f t="shared" si="31"/>
        <v>852.05</v>
      </c>
      <c r="AZ667">
        <v>14.747299999999999</v>
      </c>
      <c r="BB667" t="s">
        <v>303</v>
      </c>
      <c r="BC667" t="s">
        <v>108</v>
      </c>
    </row>
    <row r="668" spans="3:55" x14ac:dyDescent="0.45">
      <c r="C668">
        <v>88.2</v>
      </c>
      <c r="D668">
        <v>6.5</v>
      </c>
      <c r="E668">
        <v>0</v>
      </c>
      <c r="F668">
        <v>0</v>
      </c>
      <c r="G668">
        <v>0</v>
      </c>
      <c r="H668">
        <v>0</v>
      </c>
      <c r="I668">
        <v>0</v>
      </c>
      <c r="J668">
        <v>1.5</v>
      </c>
      <c r="K668">
        <v>0</v>
      </c>
      <c r="L668">
        <v>3.5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1</v>
      </c>
      <c r="Z668">
        <v>0</v>
      </c>
      <c r="AA668">
        <v>0</v>
      </c>
      <c r="AB668">
        <v>0</v>
      </c>
      <c r="AC668">
        <v>990</v>
      </c>
      <c r="AD668">
        <v>1</v>
      </c>
      <c r="AE668">
        <v>1</v>
      </c>
      <c r="AF668">
        <v>0</v>
      </c>
      <c r="AG668">
        <v>0</v>
      </c>
      <c r="AH668">
        <v>0</v>
      </c>
      <c r="AI668">
        <v>0</v>
      </c>
      <c r="AJ668">
        <v>0</v>
      </c>
      <c r="AK668">
        <v>0</v>
      </c>
      <c r="AL668">
        <v>0</v>
      </c>
      <c r="AM668">
        <v>0</v>
      </c>
      <c r="AN668">
        <v>0</v>
      </c>
      <c r="AO668">
        <v>0</v>
      </c>
      <c r="AP668">
        <v>0</v>
      </c>
      <c r="AQ668">
        <v>0</v>
      </c>
      <c r="AR668">
        <v>0</v>
      </c>
      <c r="AS668">
        <v>0</v>
      </c>
      <c r="AT668">
        <f t="shared" si="32"/>
        <v>-3</v>
      </c>
      <c r="AU668">
        <f t="shared" si="30"/>
        <v>6.75</v>
      </c>
      <c r="AV668">
        <f t="shared" si="31"/>
        <v>852.05</v>
      </c>
      <c r="AZ668">
        <v>16.362400000000001</v>
      </c>
      <c r="BC668" t="s">
        <v>108</v>
      </c>
    </row>
    <row r="669" spans="3:55" x14ac:dyDescent="0.45">
      <c r="C669">
        <v>88.2</v>
      </c>
      <c r="D669">
        <v>6.5</v>
      </c>
      <c r="E669">
        <v>0</v>
      </c>
      <c r="F669">
        <v>0</v>
      </c>
      <c r="G669">
        <v>0</v>
      </c>
      <c r="H669">
        <v>0</v>
      </c>
      <c r="I669">
        <v>0</v>
      </c>
      <c r="J669">
        <v>1.5</v>
      </c>
      <c r="K669">
        <v>0</v>
      </c>
      <c r="L669">
        <v>3.5</v>
      </c>
      <c r="M669">
        <v>0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1</v>
      </c>
      <c r="Z669">
        <v>0</v>
      </c>
      <c r="AA669">
        <v>0</v>
      </c>
      <c r="AB669">
        <v>0</v>
      </c>
      <c r="AC669">
        <v>990</v>
      </c>
      <c r="AD669">
        <v>1</v>
      </c>
      <c r="AE669">
        <v>1</v>
      </c>
      <c r="AF669">
        <v>0</v>
      </c>
      <c r="AG669">
        <v>0</v>
      </c>
      <c r="AH669">
        <v>0</v>
      </c>
      <c r="AI669">
        <v>0</v>
      </c>
      <c r="AJ669">
        <v>0</v>
      </c>
      <c r="AK669">
        <v>0</v>
      </c>
      <c r="AL669">
        <v>0</v>
      </c>
      <c r="AM669">
        <v>0</v>
      </c>
      <c r="AN669">
        <v>0</v>
      </c>
      <c r="AO669">
        <v>0</v>
      </c>
      <c r="AP669">
        <v>0</v>
      </c>
      <c r="AQ669">
        <v>0</v>
      </c>
      <c r="AR669">
        <v>0</v>
      </c>
      <c r="AS669">
        <v>0</v>
      </c>
      <c r="AT669">
        <f t="shared" si="32"/>
        <v>-3</v>
      </c>
      <c r="AU669">
        <f t="shared" si="30"/>
        <v>6.75</v>
      </c>
      <c r="AV669">
        <f t="shared" si="31"/>
        <v>852.05</v>
      </c>
      <c r="AZ669">
        <v>17.0229</v>
      </c>
      <c r="BC669" t="s">
        <v>108</v>
      </c>
    </row>
    <row r="670" spans="3:55" x14ac:dyDescent="0.45">
      <c r="C670">
        <v>88.2</v>
      </c>
      <c r="D670">
        <v>6.5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1.5</v>
      </c>
      <c r="K670">
        <v>0</v>
      </c>
      <c r="L670">
        <v>3.5</v>
      </c>
      <c r="M670">
        <v>0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1</v>
      </c>
      <c r="Z670">
        <v>0</v>
      </c>
      <c r="AA670">
        <v>0</v>
      </c>
      <c r="AB670">
        <v>0</v>
      </c>
      <c r="AC670">
        <v>970</v>
      </c>
      <c r="AD670">
        <v>1</v>
      </c>
      <c r="AE670">
        <v>1</v>
      </c>
      <c r="AF670">
        <v>0</v>
      </c>
      <c r="AG670">
        <v>0</v>
      </c>
      <c r="AH670">
        <v>0</v>
      </c>
      <c r="AI670">
        <v>0</v>
      </c>
      <c r="AJ670">
        <v>0</v>
      </c>
      <c r="AK670">
        <v>0</v>
      </c>
      <c r="AL670">
        <v>0</v>
      </c>
      <c r="AM670">
        <v>0</v>
      </c>
      <c r="AN670">
        <v>0</v>
      </c>
      <c r="AO670">
        <v>0</v>
      </c>
      <c r="AP670">
        <v>0</v>
      </c>
      <c r="AQ670">
        <v>0</v>
      </c>
      <c r="AR670">
        <v>0</v>
      </c>
      <c r="AS670">
        <v>0</v>
      </c>
      <c r="AT670">
        <f t="shared" si="32"/>
        <v>-3</v>
      </c>
      <c r="AU670">
        <f t="shared" si="30"/>
        <v>6.75</v>
      </c>
      <c r="AV670">
        <f t="shared" si="31"/>
        <v>852.05</v>
      </c>
      <c r="AZ670">
        <v>15.694800000000001</v>
      </c>
      <c r="BC670" t="s">
        <v>108</v>
      </c>
    </row>
    <row r="671" spans="3:55" x14ac:dyDescent="0.45">
      <c r="C671">
        <v>88.2</v>
      </c>
      <c r="D671">
        <v>6.5</v>
      </c>
      <c r="E671">
        <v>0</v>
      </c>
      <c r="F671">
        <v>0</v>
      </c>
      <c r="G671">
        <v>0</v>
      </c>
      <c r="H671">
        <v>0</v>
      </c>
      <c r="I671">
        <v>0</v>
      </c>
      <c r="J671">
        <v>1.5</v>
      </c>
      <c r="K671">
        <v>0</v>
      </c>
      <c r="L671">
        <v>3.5</v>
      </c>
      <c r="M671">
        <v>0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1</v>
      </c>
      <c r="Z671">
        <v>0</v>
      </c>
      <c r="AA671">
        <v>0</v>
      </c>
      <c r="AB671">
        <v>0</v>
      </c>
      <c r="AC671">
        <v>970</v>
      </c>
      <c r="AD671">
        <v>1</v>
      </c>
      <c r="AE671">
        <v>1</v>
      </c>
      <c r="AF671">
        <v>0</v>
      </c>
      <c r="AG671">
        <v>0</v>
      </c>
      <c r="AH671">
        <v>0</v>
      </c>
      <c r="AI671">
        <v>0</v>
      </c>
      <c r="AJ671">
        <v>0</v>
      </c>
      <c r="AK671">
        <v>0</v>
      </c>
      <c r="AL671">
        <v>0</v>
      </c>
      <c r="AM671">
        <v>0</v>
      </c>
      <c r="AN671">
        <v>0</v>
      </c>
      <c r="AO671">
        <v>0</v>
      </c>
      <c r="AP671">
        <v>0</v>
      </c>
      <c r="AQ671">
        <v>0</v>
      </c>
      <c r="AR671">
        <v>0</v>
      </c>
      <c r="AS671">
        <v>0</v>
      </c>
      <c r="AT671">
        <f t="shared" si="32"/>
        <v>-3</v>
      </c>
      <c r="AU671">
        <f t="shared" si="30"/>
        <v>6.75</v>
      </c>
      <c r="AV671">
        <f t="shared" si="31"/>
        <v>852.05</v>
      </c>
      <c r="AZ671">
        <v>16.764399999999998</v>
      </c>
      <c r="BC671" t="s">
        <v>108</v>
      </c>
    </row>
    <row r="672" spans="3:55" x14ac:dyDescent="0.45">
      <c r="C672">
        <v>88.2</v>
      </c>
      <c r="D672">
        <v>6.5</v>
      </c>
      <c r="E672">
        <v>0</v>
      </c>
      <c r="F672">
        <v>0</v>
      </c>
      <c r="G672">
        <v>0</v>
      </c>
      <c r="H672">
        <v>0</v>
      </c>
      <c r="I672">
        <v>0</v>
      </c>
      <c r="J672">
        <v>1.5</v>
      </c>
      <c r="K672">
        <v>0</v>
      </c>
      <c r="L672">
        <v>3.5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1</v>
      </c>
      <c r="Z672">
        <v>0</v>
      </c>
      <c r="AA672">
        <v>0</v>
      </c>
      <c r="AB672">
        <v>0</v>
      </c>
      <c r="AC672">
        <v>970</v>
      </c>
      <c r="AD672">
        <v>1</v>
      </c>
      <c r="AE672">
        <v>1</v>
      </c>
      <c r="AF672">
        <v>0</v>
      </c>
      <c r="AG672">
        <v>0</v>
      </c>
      <c r="AH672">
        <v>0</v>
      </c>
      <c r="AI672">
        <v>0</v>
      </c>
      <c r="AJ672">
        <v>0</v>
      </c>
      <c r="AK672">
        <v>0</v>
      </c>
      <c r="AL672">
        <v>0</v>
      </c>
      <c r="AM672">
        <v>0</v>
      </c>
      <c r="AN672">
        <v>0</v>
      </c>
      <c r="AO672">
        <v>0</v>
      </c>
      <c r="AP672">
        <v>0</v>
      </c>
      <c r="AQ672">
        <v>0</v>
      </c>
      <c r="AR672">
        <v>0</v>
      </c>
      <c r="AS672">
        <v>0</v>
      </c>
      <c r="AT672">
        <f t="shared" si="32"/>
        <v>-3</v>
      </c>
      <c r="AU672">
        <f t="shared" si="30"/>
        <v>6.75</v>
      </c>
      <c r="AV672">
        <f t="shared" si="31"/>
        <v>852.05</v>
      </c>
      <c r="AZ672">
        <v>17.355399999999999</v>
      </c>
      <c r="BC672" t="s">
        <v>108</v>
      </c>
    </row>
    <row r="673" spans="3:55" x14ac:dyDescent="0.45">
      <c r="C673">
        <v>88.055000000000007</v>
      </c>
      <c r="D673">
        <v>5.87</v>
      </c>
      <c r="E673">
        <v>4.7699999999999996</v>
      </c>
      <c r="F673">
        <v>0</v>
      </c>
      <c r="G673">
        <v>0</v>
      </c>
      <c r="H673">
        <v>0</v>
      </c>
      <c r="I673">
        <v>0</v>
      </c>
      <c r="J673">
        <v>0</v>
      </c>
      <c r="K673">
        <v>0.56000000000000005</v>
      </c>
      <c r="L673">
        <v>0</v>
      </c>
      <c r="M673">
        <v>0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1</v>
      </c>
      <c r="Z673">
        <v>0</v>
      </c>
      <c r="AA673">
        <v>0</v>
      </c>
      <c r="AB673">
        <v>0</v>
      </c>
      <c r="AC673">
        <v>700</v>
      </c>
      <c r="AD673">
        <v>1</v>
      </c>
      <c r="AE673">
        <v>0</v>
      </c>
      <c r="AF673">
        <v>1</v>
      </c>
      <c r="AG673">
        <v>0</v>
      </c>
      <c r="AH673">
        <v>0</v>
      </c>
      <c r="AI673">
        <v>0</v>
      </c>
      <c r="AJ673">
        <v>0</v>
      </c>
      <c r="AK673">
        <v>0</v>
      </c>
      <c r="AL673">
        <v>0</v>
      </c>
      <c r="AM673">
        <v>0</v>
      </c>
      <c r="AN673">
        <v>0</v>
      </c>
      <c r="AO673">
        <v>0</v>
      </c>
      <c r="AP673">
        <v>0</v>
      </c>
      <c r="AQ673">
        <v>0</v>
      </c>
      <c r="AR673">
        <v>0</v>
      </c>
      <c r="AS673">
        <v>0</v>
      </c>
      <c r="AT673">
        <f t="shared" si="32"/>
        <v>-2.5173000000000001</v>
      </c>
      <c r="AU673">
        <f t="shared" si="30"/>
        <v>5.87</v>
      </c>
      <c r="AV673">
        <f t="shared" si="31"/>
        <v>838.04099999999994</v>
      </c>
      <c r="BC673" t="s">
        <v>155</v>
      </c>
    </row>
    <row r="674" spans="3:55" x14ac:dyDescent="0.45">
      <c r="C674">
        <v>88.055000000000007</v>
      </c>
      <c r="D674">
        <v>5.87</v>
      </c>
      <c r="E674">
        <v>4.7699999999999996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0.56000000000000005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1</v>
      </c>
      <c r="Z674">
        <v>0</v>
      </c>
      <c r="AA674">
        <v>0</v>
      </c>
      <c r="AB674">
        <v>0</v>
      </c>
      <c r="AC674">
        <v>800</v>
      </c>
      <c r="AD674">
        <v>1</v>
      </c>
      <c r="AE674">
        <v>0</v>
      </c>
      <c r="AF674">
        <v>1</v>
      </c>
      <c r="AG674">
        <v>0</v>
      </c>
      <c r="AH674">
        <v>0</v>
      </c>
      <c r="AI674">
        <v>0</v>
      </c>
      <c r="AJ674">
        <v>0</v>
      </c>
      <c r="AK674">
        <v>0</v>
      </c>
      <c r="AL674">
        <v>0</v>
      </c>
      <c r="AM674">
        <v>0</v>
      </c>
      <c r="AN674">
        <v>0</v>
      </c>
      <c r="AO674">
        <v>0</v>
      </c>
      <c r="AP674">
        <v>0</v>
      </c>
      <c r="AQ674">
        <v>0</v>
      </c>
      <c r="AR674">
        <v>0</v>
      </c>
      <c r="AS674">
        <v>0</v>
      </c>
      <c r="AT674">
        <f t="shared" si="32"/>
        <v>-2.5173000000000001</v>
      </c>
      <c r="AU674">
        <f t="shared" si="30"/>
        <v>5.87</v>
      </c>
      <c r="AV674">
        <f t="shared" si="31"/>
        <v>838.04099999999994</v>
      </c>
      <c r="BC674" t="s">
        <v>155</v>
      </c>
    </row>
    <row r="675" spans="3:55" x14ac:dyDescent="0.45">
      <c r="C675">
        <v>88.055000000000007</v>
      </c>
      <c r="D675">
        <v>5.87</v>
      </c>
      <c r="E675">
        <v>4.7699999999999996</v>
      </c>
      <c r="F675">
        <v>0</v>
      </c>
      <c r="G675">
        <v>0</v>
      </c>
      <c r="H675">
        <v>0</v>
      </c>
      <c r="I675">
        <v>0</v>
      </c>
      <c r="J675">
        <v>0</v>
      </c>
      <c r="K675">
        <v>0.56000000000000005</v>
      </c>
      <c r="L675">
        <v>0</v>
      </c>
      <c r="M675">
        <v>0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1</v>
      </c>
      <c r="Z675">
        <v>0</v>
      </c>
      <c r="AA675">
        <v>0</v>
      </c>
      <c r="AB675">
        <v>0</v>
      </c>
      <c r="AC675">
        <v>900</v>
      </c>
      <c r="AD675">
        <v>1</v>
      </c>
      <c r="AE675">
        <v>0</v>
      </c>
      <c r="AF675">
        <v>1</v>
      </c>
      <c r="AG675">
        <v>0</v>
      </c>
      <c r="AH675">
        <v>0</v>
      </c>
      <c r="AI675">
        <v>0</v>
      </c>
      <c r="AJ675">
        <v>0</v>
      </c>
      <c r="AK675">
        <v>0</v>
      </c>
      <c r="AL675">
        <v>0</v>
      </c>
      <c r="AM675">
        <v>0</v>
      </c>
      <c r="AN675">
        <v>0</v>
      </c>
      <c r="AO675">
        <v>0</v>
      </c>
      <c r="AP675">
        <v>0</v>
      </c>
      <c r="AQ675">
        <v>0</v>
      </c>
      <c r="AR675">
        <v>0</v>
      </c>
      <c r="AS675">
        <v>0</v>
      </c>
      <c r="AT675">
        <f t="shared" si="32"/>
        <v>-2.5173000000000001</v>
      </c>
      <c r="AU675">
        <f t="shared" si="30"/>
        <v>5.87</v>
      </c>
      <c r="AV675">
        <f t="shared" si="31"/>
        <v>838.04099999999994</v>
      </c>
      <c r="BC675" t="s">
        <v>155</v>
      </c>
    </row>
    <row r="676" spans="3:55" x14ac:dyDescent="0.45">
      <c r="C676">
        <v>88.055000000000007</v>
      </c>
      <c r="D676">
        <v>5.87</v>
      </c>
      <c r="E676">
        <v>4.7699999999999996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0.56000000000000005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1</v>
      </c>
      <c r="Z676">
        <v>0</v>
      </c>
      <c r="AA676">
        <v>0</v>
      </c>
      <c r="AB676">
        <v>0</v>
      </c>
      <c r="AC676">
        <v>1000</v>
      </c>
      <c r="AD676">
        <v>1</v>
      </c>
      <c r="AE676">
        <v>0</v>
      </c>
      <c r="AF676">
        <v>1</v>
      </c>
      <c r="AG676">
        <v>0</v>
      </c>
      <c r="AH676">
        <v>0</v>
      </c>
      <c r="AI676">
        <v>0</v>
      </c>
      <c r="AJ676">
        <v>0</v>
      </c>
      <c r="AK676">
        <v>0</v>
      </c>
      <c r="AL676">
        <v>0</v>
      </c>
      <c r="AM676">
        <v>0</v>
      </c>
      <c r="AN676">
        <v>0</v>
      </c>
      <c r="AO676">
        <v>0</v>
      </c>
      <c r="AP676">
        <v>0</v>
      </c>
      <c r="AQ676">
        <v>0</v>
      </c>
      <c r="AR676">
        <v>0</v>
      </c>
      <c r="AS676">
        <v>0</v>
      </c>
      <c r="AT676">
        <f t="shared" si="32"/>
        <v>-2.5173000000000001</v>
      </c>
      <c r="AU676">
        <f t="shared" si="30"/>
        <v>5.87</v>
      </c>
      <c r="AV676">
        <f t="shared" si="31"/>
        <v>838.04099999999994</v>
      </c>
      <c r="BC676" t="s">
        <v>155</v>
      </c>
    </row>
    <row r="677" spans="3:55" x14ac:dyDescent="0.45">
      <c r="C677">
        <v>86.19</v>
      </c>
      <c r="D677">
        <v>4.7</v>
      </c>
      <c r="E677">
        <v>0</v>
      </c>
      <c r="F677">
        <v>2.85</v>
      </c>
      <c r="G677">
        <v>0</v>
      </c>
      <c r="H677">
        <v>0</v>
      </c>
      <c r="I677">
        <v>0</v>
      </c>
      <c r="J677">
        <v>0</v>
      </c>
      <c r="K677">
        <v>0</v>
      </c>
      <c r="L677">
        <v>6.26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1</v>
      </c>
      <c r="W677">
        <v>0</v>
      </c>
      <c r="X677">
        <v>0</v>
      </c>
      <c r="Y677">
        <v>0</v>
      </c>
      <c r="Z677">
        <v>1</v>
      </c>
      <c r="AA677">
        <v>0</v>
      </c>
      <c r="AB677">
        <v>0</v>
      </c>
      <c r="AC677">
        <v>890</v>
      </c>
      <c r="AD677">
        <v>0.5</v>
      </c>
      <c r="AE677">
        <v>1</v>
      </c>
      <c r="AF677">
        <v>0</v>
      </c>
      <c r="AG677">
        <v>0</v>
      </c>
      <c r="AH677">
        <v>760</v>
      </c>
      <c r="AI677">
        <v>0.5</v>
      </c>
      <c r="AJ677">
        <v>1</v>
      </c>
      <c r="AK677">
        <v>0</v>
      </c>
      <c r="AL677">
        <v>0</v>
      </c>
      <c r="AM677">
        <v>0</v>
      </c>
      <c r="AN677">
        <v>0</v>
      </c>
      <c r="AO677">
        <v>0</v>
      </c>
      <c r="AP677">
        <v>0</v>
      </c>
      <c r="AQ677">
        <v>0</v>
      </c>
      <c r="AR677">
        <v>0</v>
      </c>
      <c r="AS677">
        <v>0</v>
      </c>
      <c r="AT677">
        <f t="shared" si="32"/>
        <v>6.12</v>
      </c>
      <c r="AU677">
        <f t="shared" si="30"/>
        <v>4.7</v>
      </c>
      <c r="AV677">
        <f t="shared" si="31"/>
        <v>797.91499999999996</v>
      </c>
      <c r="AX677">
        <v>370.3</v>
      </c>
      <c r="AY677">
        <v>993.4</v>
      </c>
      <c r="AZ677">
        <v>21.8</v>
      </c>
      <c r="BC677" t="s">
        <v>91</v>
      </c>
    </row>
    <row r="678" spans="3:55" x14ac:dyDescent="0.45">
      <c r="C678">
        <v>86.19</v>
      </c>
      <c r="D678">
        <v>4.7</v>
      </c>
      <c r="E678">
        <v>0</v>
      </c>
      <c r="F678">
        <v>2.85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6.26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1</v>
      </c>
      <c r="W678">
        <v>0</v>
      </c>
      <c r="X678">
        <v>0</v>
      </c>
      <c r="Y678">
        <v>0</v>
      </c>
      <c r="Z678">
        <v>1</v>
      </c>
      <c r="AA678">
        <v>0</v>
      </c>
      <c r="AB678">
        <v>0</v>
      </c>
      <c r="AC678">
        <v>890</v>
      </c>
      <c r="AD678">
        <v>0.5</v>
      </c>
      <c r="AE678">
        <v>1</v>
      </c>
      <c r="AF678">
        <v>0</v>
      </c>
      <c r="AG678">
        <v>0</v>
      </c>
      <c r="AH678">
        <v>0</v>
      </c>
      <c r="AI678">
        <v>0</v>
      </c>
      <c r="AJ678">
        <v>0</v>
      </c>
      <c r="AK678">
        <v>0</v>
      </c>
      <c r="AL678">
        <v>0</v>
      </c>
      <c r="AM678">
        <v>0</v>
      </c>
      <c r="AN678">
        <v>0</v>
      </c>
      <c r="AO678">
        <v>0</v>
      </c>
      <c r="AP678">
        <v>0</v>
      </c>
      <c r="AQ678">
        <v>0</v>
      </c>
      <c r="AR678">
        <v>0</v>
      </c>
      <c r="AS678">
        <v>0</v>
      </c>
      <c r="AT678">
        <f t="shared" si="32"/>
        <v>6.12</v>
      </c>
      <c r="AU678">
        <f t="shared" si="30"/>
        <v>4.7</v>
      </c>
      <c r="AV678">
        <f t="shared" si="31"/>
        <v>797.91499999999996</v>
      </c>
      <c r="AX678">
        <v>343</v>
      </c>
      <c r="AY678">
        <v>1145.4000000000001</v>
      </c>
      <c r="AZ678">
        <v>20.5</v>
      </c>
      <c r="BC678" t="s">
        <v>157</v>
      </c>
    </row>
    <row r="679" spans="3:55" x14ac:dyDescent="0.45">
      <c r="C679">
        <v>86.19</v>
      </c>
      <c r="D679">
        <v>4.7</v>
      </c>
      <c r="E679">
        <v>0</v>
      </c>
      <c r="F679">
        <v>2.85</v>
      </c>
      <c r="G679">
        <v>0</v>
      </c>
      <c r="H679">
        <v>0</v>
      </c>
      <c r="I679">
        <v>0</v>
      </c>
      <c r="J679">
        <v>0</v>
      </c>
      <c r="K679">
        <v>0</v>
      </c>
      <c r="L679">
        <v>6.26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1</v>
      </c>
      <c r="W679">
        <v>0</v>
      </c>
      <c r="X679">
        <v>0</v>
      </c>
      <c r="Y679">
        <v>0</v>
      </c>
      <c r="Z679">
        <v>1</v>
      </c>
      <c r="AA679">
        <v>0</v>
      </c>
      <c r="AB679">
        <v>0</v>
      </c>
      <c r="AC679">
        <v>780</v>
      </c>
      <c r="AD679">
        <v>0.5</v>
      </c>
      <c r="AE679">
        <v>1</v>
      </c>
      <c r="AF679">
        <v>0</v>
      </c>
      <c r="AG679">
        <v>0</v>
      </c>
      <c r="AH679">
        <v>0</v>
      </c>
      <c r="AI679">
        <v>0</v>
      </c>
      <c r="AJ679">
        <v>0</v>
      </c>
      <c r="AK679">
        <v>0</v>
      </c>
      <c r="AL679">
        <v>0</v>
      </c>
      <c r="AM679">
        <v>0</v>
      </c>
      <c r="AN679">
        <v>0</v>
      </c>
      <c r="AO679">
        <v>0</v>
      </c>
      <c r="AP679">
        <v>0</v>
      </c>
      <c r="AQ679">
        <v>0</v>
      </c>
      <c r="AR679">
        <v>0</v>
      </c>
      <c r="AS679">
        <v>0</v>
      </c>
      <c r="AT679">
        <f t="shared" si="32"/>
        <v>6.12</v>
      </c>
      <c r="AU679">
        <f t="shared" si="30"/>
        <v>4.7</v>
      </c>
      <c r="AV679">
        <f t="shared" si="31"/>
        <v>797.91499999999996</v>
      </c>
      <c r="AX679">
        <v>937</v>
      </c>
      <c r="AY679">
        <v>1085.7</v>
      </c>
      <c r="AZ679">
        <v>19.5</v>
      </c>
      <c r="BC679" t="s">
        <v>157</v>
      </c>
    </row>
    <row r="680" spans="3:55" x14ac:dyDescent="0.45">
      <c r="C680">
        <v>74.63</v>
      </c>
      <c r="D680">
        <v>0</v>
      </c>
      <c r="E680">
        <v>0</v>
      </c>
      <c r="F680">
        <v>2.15</v>
      </c>
      <c r="G680">
        <v>0</v>
      </c>
      <c r="H680">
        <v>7.0000000000000009</v>
      </c>
      <c r="I680">
        <v>0</v>
      </c>
      <c r="J680">
        <v>0</v>
      </c>
      <c r="K680">
        <v>16.220000000000002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1</v>
      </c>
      <c r="Z680">
        <v>0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>
        <v>0</v>
      </c>
      <c r="AI680">
        <v>0</v>
      </c>
      <c r="AJ680">
        <v>0</v>
      </c>
      <c r="AK680">
        <v>0</v>
      </c>
      <c r="AL680">
        <v>0</v>
      </c>
      <c r="AM680">
        <v>0</v>
      </c>
      <c r="AN680">
        <v>0</v>
      </c>
      <c r="AO680">
        <v>0</v>
      </c>
      <c r="AP680">
        <v>0</v>
      </c>
      <c r="AQ680">
        <v>0</v>
      </c>
      <c r="AR680">
        <v>0</v>
      </c>
      <c r="AS680">
        <v>0</v>
      </c>
      <c r="AT680">
        <f t="shared" si="32"/>
        <v>28.281600000000001</v>
      </c>
      <c r="AU680">
        <f t="shared" si="30"/>
        <v>0</v>
      </c>
      <c r="AV680">
        <f t="shared" si="31"/>
        <v>748.18499999999995</v>
      </c>
      <c r="AW680">
        <v>99</v>
      </c>
      <c r="AX680">
        <v>1097</v>
      </c>
      <c r="BC680" t="s">
        <v>60</v>
      </c>
    </row>
    <row r="681" spans="3:55" x14ac:dyDescent="0.45">
      <c r="C681">
        <v>72.44</v>
      </c>
      <c r="D681">
        <v>0</v>
      </c>
      <c r="E681">
        <v>0</v>
      </c>
      <c r="F681">
        <v>4.3</v>
      </c>
      <c r="G681">
        <v>0</v>
      </c>
      <c r="H681">
        <v>7.01</v>
      </c>
      <c r="I681">
        <v>0</v>
      </c>
      <c r="J681">
        <v>0</v>
      </c>
      <c r="K681">
        <v>16.25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1</v>
      </c>
      <c r="Z681">
        <v>0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0</v>
      </c>
      <c r="AH681">
        <v>0</v>
      </c>
      <c r="AI681">
        <v>0</v>
      </c>
      <c r="AJ681">
        <v>0</v>
      </c>
      <c r="AK681">
        <v>0</v>
      </c>
      <c r="AL681">
        <v>0</v>
      </c>
      <c r="AM681">
        <v>0</v>
      </c>
      <c r="AN681">
        <v>0</v>
      </c>
      <c r="AO681">
        <v>0</v>
      </c>
      <c r="AP681">
        <v>0</v>
      </c>
      <c r="AQ681">
        <v>0</v>
      </c>
      <c r="AR681">
        <v>0</v>
      </c>
      <c r="AS681">
        <v>0</v>
      </c>
      <c r="AT681">
        <f t="shared" si="32"/>
        <v>31.758999999999997</v>
      </c>
      <c r="AU681">
        <f t="shared" si="30"/>
        <v>0</v>
      </c>
      <c r="AV681">
        <f t="shared" si="31"/>
        <v>722.01600000000008</v>
      </c>
      <c r="AW681">
        <v>81</v>
      </c>
      <c r="AX681">
        <v>947</v>
      </c>
      <c r="BC681" t="s">
        <v>60</v>
      </c>
    </row>
    <row r="682" spans="3:55" x14ac:dyDescent="0.45">
      <c r="C682">
        <v>70.23</v>
      </c>
      <c r="D682">
        <v>0</v>
      </c>
      <c r="E682">
        <v>0</v>
      </c>
      <c r="F682">
        <v>6.47</v>
      </c>
      <c r="G682">
        <v>0</v>
      </c>
      <c r="H682">
        <v>7.02</v>
      </c>
      <c r="I682">
        <v>0</v>
      </c>
      <c r="J682">
        <v>0</v>
      </c>
      <c r="K682">
        <v>16.28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1</v>
      </c>
      <c r="Z682">
        <v>0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>
        <v>0</v>
      </c>
      <c r="AI682">
        <v>0</v>
      </c>
      <c r="AJ682">
        <v>0</v>
      </c>
      <c r="AK682">
        <v>0</v>
      </c>
      <c r="AL682">
        <v>0</v>
      </c>
      <c r="AM682">
        <v>0</v>
      </c>
      <c r="AN682">
        <v>0</v>
      </c>
      <c r="AO682">
        <v>0</v>
      </c>
      <c r="AP682">
        <v>0</v>
      </c>
      <c r="AQ682">
        <v>0</v>
      </c>
      <c r="AR682">
        <v>0</v>
      </c>
      <c r="AS682">
        <v>0</v>
      </c>
      <c r="AT682">
        <f t="shared" si="32"/>
        <v>35.2684</v>
      </c>
      <c r="AU682">
        <f t="shared" si="30"/>
        <v>0</v>
      </c>
      <c r="AV682">
        <f t="shared" si="31"/>
        <v>695.60500000000002</v>
      </c>
      <c r="AW682">
        <v>77</v>
      </c>
      <c r="AX682">
        <v>922</v>
      </c>
      <c r="BC682" t="s">
        <v>60</v>
      </c>
    </row>
    <row r="683" spans="3:55" x14ac:dyDescent="0.45">
      <c r="C683">
        <v>68.010000000000005</v>
      </c>
      <c r="D683">
        <v>0</v>
      </c>
      <c r="E683">
        <v>0</v>
      </c>
      <c r="F683">
        <v>8.64</v>
      </c>
      <c r="G683">
        <v>0</v>
      </c>
      <c r="H683">
        <v>7.04</v>
      </c>
      <c r="I683">
        <v>0</v>
      </c>
      <c r="J683">
        <v>0</v>
      </c>
      <c r="K683">
        <v>16.309999999999999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1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>
        <v>0</v>
      </c>
      <c r="AI683">
        <v>0</v>
      </c>
      <c r="AJ683">
        <v>0</v>
      </c>
      <c r="AK683">
        <v>0</v>
      </c>
      <c r="AL683">
        <v>0</v>
      </c>
      <c r="AM683">
        <v>0</v>
      </c>
      <c r="AN683">
        <v>0</v>
      </c>
      <c r="AO683">
        <v>0</v>
      </c>
      <c r="AP683">
        <v>0</v>
      </c>
      <c r="AQ683">
        <v>0</v>
      </c>
      <c r="AR683">
        <v>0</v>
      </c>
      <c r="AS683">
        <v>0</v>
      </c>
      <c r="AT683">
        <f t="shared" si="32"/>
        <v>38.806800000000003</v>
      </c>
      <c r="AU683">
        <f t="shared" si="30"/>
        <v>0</v>
      </c>
      <c r="AV683">
        <f t="shared" si="31"/>
        <v>669.04</v>
      </c>
      <c r="AW683">
        <v>72</v>
      </c>
      <c r="AX683">
        <v>941</v>
      </c>
      <c r="BC683" t="s">
        <v>60</v>
      </c>
    </row>
    <row r="684" spans="3:55" x14ac:dyDescent="0.45">
      <c r="C684">
        <v>79.099999999999994</v>
      </c>
      <c r="D684">
        <v>3</v>
      </c>
      <c r="E684">
        <v>0</v>
      </c>
      <c r="F684">
        <v>0</v>
      </c>
      <c r="G684">
        <v>0</v>
      </c>
      <c r="H684">
        <v>0</v>
      </c>
      <c r="I684">
        <v>0</v>
      </c>
      <c r="J684">
        <v>0</v>
      </c>
      <c r="K684">
        <v>2.7</v>
      </c>
      <c r="L684">
        <v>15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1</v>
      </c>
      <c r="Z684">
        <v>0</v>
      </c>
      <c r="AA684">
        <v>0</v>
      </c>
      <c r="AB684">
        <v>0</v>
      </c>
      <c r="AC684">
        <v>850</v>
      </c>
      <c r="AD684">
        <v>0.58333333300000001</v>
      </c>
      <c r="AE684">
        <v>1</v>
      </c>
      <c r="AF684">
        <v>0</v>
      </c>
      <c r="AG684">
        <v>0</v>
      </c>
      <c r="AH684">
        <v>520</v>
      </c>
      <c r="AI684">
        <v>8</v>
      </c>
      <c r="AJ684">
        <v>0</v>
      </c>
      <c r="AK684">
        <v>1</v>
      </c>
      <c r="AL684">
        <v>0</v>
      </c>
      <c r="AM684">
        <v>0</v>
      </c>
      <c r="AN684">
        <v>0</v>
      </c>
      <c r="AO684">
        <v>0</v>
      </c>
      <c r="AP684">
        <v>0</v>
      </c>
      <c r="AQ684">
        <v>0</v>
      </c>
      <c r="AR684">
        <v>0</v>
      </c>
      <c r="AS684">
        <v>0</v>
      </c>
      <c r="AT684">
        <f t="shared" si="32"/>
        <v>12.756</v>
      </c>
      <c r="AU684">
        <f t="shared" si="30"/>
        <v>3</v>
      </c>
      <c r="AV684">
        <f t="shared" si="31"/>
        <v>745.8</v>
      </c>
      <c r="AX684">
        <v>1183.6400000000001</v>
      </c>
      <c r="AY684">
        <v>1307.3499999999999</v>
      </c>
      <c r="AZ684">
        <v>6.5414099999999999</v>
      </c>
      <c r="BC684" t="s">
        <v>108</v>
      </c>
    </row>
    <row r="685" spans="3:55" x14ac:dyDescent="0.45">
      <c r="C685">
        <v>79.099999999999994</v>
      </c>
      <c r="D685">
        <v>3</v>
      </c>
      <c r="E685">
        <v>0</v>
      </c>
      <c r="F685">
        <v>0</v>
      </c>
      <c r="G685">
        <v>0</v>
      </c>
      <c r="H685">
        <v>0</v>
      </c>
      <c r="I685">
        <v>0</v>
      </c>
      <c r="J685">
        <v>0</v>
      </c>
      <c r="K685">
        <v>2.7</v>
      </c>
      <c r="L685">
        <v>15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1</v>
      </c>
      <c r="Z685">
        <v>0</v>
      </c>
      <c r="AA685">
        <v>0</v>
      </c>
      <c r="AB685">
        <v>0</v>
      </c>
      <c r="AC685">
        <v>900</v>
      </c>
      <c r="AD685">
        <v>0.58333333300000001</v>
      </c>
      <c r="AE685">
        <v>1</v>
      </c>
      <c r="AF685">
        <v>0</v>
      </c>
      <c r="AG685">
        <v>0</v>
      </c>
      <c r="AH685">
        <v>520</v>
      </c>
      <c r="AI685">
        <v>8</v>
      </c>
      <c r="AJ685">
        <v>0</v>
      </c>
      <c r="AK685">
        <v>1</v>
      </c>
      <c r="AL685">
        <v>0</v>
      </c>
      <c r="AM685">
        <v>0</v>
      </c>
      <c r="AN685">
        <v>0</v>
      </c>
      <c r="AO685">
        <v>0</v>
      </c>
      <c r="AP685">
        <v>0</v>
      </c>
      <c r="AQ685">
        <v>0</v>
      </c>
      <c r="AR685">
        <v>0</v>
      </c>
      <c r="AS685">
        <v>0</v>
      </c>
      <c r="AT685">
        <f t="shared" si="32"/>
        <v>12.756</v>
      </c>
      <c r="AU685">
        <f t="shared" si="30"/>
        <v>3</v>
      </c>
      <c r="AV685">
        <f t="shared" si="31"/>
        <v>745.8</v>
      </c>
      <c r="AX685">
        <v>1216.29</v>
      </c>
      <c r="AY685">
        <v>1309.0899999999999</v>
      </c>
      <c r="AZ685">
        <v>6.0193000000000003</v>
      </c>
      <c r="BC685" t="s">
        <v>108</v>
      </c>
    </row>
    <row r="686" spans="3:55" x14ac:dyDescent="0.45">
      <c r="C686">
        <v>79.099999999999994</v>
      </c>
      <c r="D686">
        <v>3</v>
      </c>
      <c r="E686">
        <v>0</v>
      </c>
      <c r="F686">
        <v>0</v>
      </c>
      <c r="G686">
        <v>0</v>
      </c>
      <c r="H686">
        <v>0</v>
      </c>
      <c r="I686">
        <v>0</v>
      </c>
      <c r="J686">
        <v>0</v>
      </c>
      <c r="K686">
        <v>2.7</v>
      </c>
      <c r="L686">
        <v>15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1</v>
      </c>
      <c r="Z686">
        <v>0</v>
      </c>
      <c r="AA686">
        <v>0</v>
      </c>
      <c r="AB686">
        <v>0</v>
      </c>
      <c r="AC686">
        <v>950</v>
      </c>
      <c r="AD686">
        <v>0.58333333300000001</v>
      </c>
      <c r="AE686">
        <v>1</v>
      </c>
      <c r="AF686">
        <v>0</v>
      </c>
      <c r="AG686">
        <v>0</v>
      </c>
      <c r="AH686">
        <v>520</v>
      </c>
      <c r="AI686">
        <v>8</v>
      </c>
      <c r="AJ686">
        <v>0</v>
      </c>
      <c r="AK686">
        <v>1</v>
      </c>
      <c r="AL686">
        <v>0</v>
      </c>
      <c r="AM686">
        <v>0</v>
      </c>
      <c r="AN686">
        <v>0</v>
      </c>
      <c r="AO686">
        <v>0</v>
      </c>
      <c r="AP686">
        <v>0</v>
      </c>
      <c r="AQ686">
        <v>0</v>
      </c>
      <c r="AR686">
        <v>0</v>
      </c>
      <c r="AS686">
        <v>0</v>
      </c>
      <c r="AT686">
        <f t="shared" si="32"/>
        <v>12.756</v>
      </c>
      <c r="AU686">
        <f t="shared" si="30"/>
        <v>3</v>
      </c>
      <c r="AV686">
        <f t="shared" si="31"/>
        <v>745.8</v>
      </c>
      <c r="AX686">
        <v>1210.6099999999999</v>
      </c>
      <c r="AY686">
        <v>1303.3900000000001</v>
      </c>
      <c r="AZ686">
        <v>6.5129099999999998</v>
      </c>
      <c r="BC686" t="s">
        <v>108</v>
      </c>
    </row>
    <row r="687" spans="3:55" x14ac:dyDescent="0.45">
      <c r="C687">
        <v>79.099999999999994</v>
      </c>
      <c r="D687">
        <v>3</v>
      </c>
      <c r="E687">
        <v>0</v>
      </c>
      <c r="F687">
        <v>0</v>
      </c>
      <c r="G687">
        <v>0</v>
      </c>
      <c r="H687">
        <v>0</v>
      </c>
      <c r="I687">
        <v>0</v>
      </c>
      <c r="J687">
        <v>0</v>
      </c>
      <c r="K687">
        <v>2.7</v>
      </c>
      <c r="L687">
        <v>15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1</v>
      </c>
      <c r="Z687">
        <v>0</v>
      </c>
      <c r="AA687">
        <v>0</v>
      </c>
      <c r="AB687">
        <v>0</v>
      </c>
      <c r="AC687">
        <v>750</v>
      </c>
      <c r="AD687">
        <v>0.58333333300000001</v>
      </c>
      <c r="AE687">
        <v>1</v>
      </c>
      <c r="AF687">
        <v>0</v>
      </c>
      <c r="AG687">
        <v>0</v>
      </c>
      <c r="AH687">
        <v>420</v>
      </c>
      <c r="AI687">
        <v>8</v>
      </c>
      <c r="AJ687">
        <v>0</v>
      </c>
      <c r="AK687">
        <v>1</v>
      </c>
      <c r="AL687">
        <v>0</v>
      </c>
      <c r="AM687">
        <v>0</v>
      </c>
      <c r="AN687">
        <v>0</v>
      </c>
      <c r="AO687">
        <v>0</v>
      </c>
      <c r="AP687">
        <v>0</v>
      </c>
      <c r="AQ687">
        <v>0</v>
      </c>
      <c r="AR687">
        <v>0</v>
      </c>
      <c r="AS687">
        <v>0</v>
      </c>
      <c r="AT687">
        <f t="shared" si="32"/>
        <v>12.756</v>
      </c>
      <c r="AU687">
        <f t="shared" si="30"/>
        <v>3</v>
      </c>
      <c r="AV687">
        <f t="shared" si="31"/>
        <v>745.8</v>
      </c>
      <c r="AX687">
        <v>957.37699999999995</v>
      </c>
      <c r="AY687">
        <v>1078.21</v>
      </c>
      <c r="AZ687">
        <v>10.9091</v>
      </c>
      <c r="BC687" t="s">
        <v>108</v>
      </c>
    </row>
    <row r="688" spans="3:55" x14ac:dyDescent="0.45">
      <c r="C688">
        <v>79.099999999999994</v>
      </c>
      <c r="D688">
        <v>3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0</v>
      </c>
      <c r="K688">
        <v>2.7</v>
      </c>
      <c r="L688">
        <v>15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1</v>
      </c>
      <c r="Z688">
        <v>0</v>
      </c>
      <c r="AA688">
        <v>0</v>
      </c>
      <c r="AB688">
        <v>0</v>
      </c>
      <c r="AC688">
        <v>750</v>
      </c>
      <c r="AD688">
        <v>0.58333333300000001</v>
      </c>
      <c r="AE688">
        <v>1</v>
      </c>
      <c r="AF688">
        <v>0</v>
      </c>
      <c r="AG688">
        <v>0</v>
      </c>
      <c r="AH688">
        <v>470</v>
      </c>
      <c r="AI688">
        <v>8</v>
      </c>
      <c r="AJ688">
        <v>0</v>
      </c>
      <c r="AK688">
        <v>1</v>
      </c>
      <c r="AL688">
        <v>0</v>
      </c>
      <c r="AM688">
        <v>0</v>
      </c>
      <c r="AN688">
        <v>0</v>
      </c>
      <c r="AO688">
        <v>0</v>
      </c>
      <c r="AP688">
        <v>0</v>
      </c>
      <c r="AQ688">
        <v>0</v>
      </c>
      <c r="AR688">
        <v>0</v>
      </c>
      <c r="AS688">
        <v>0</v>
      </c>
      <c r="AT688">
        <f t="shared" si="32"/>
        <v>12.756</v>
      </c>
      <c r="AU688">
        <f t="shared" si="30"/>
        <v>3</v>
      </c>
      <c r="AV688">
        <f t="shared" si="31"/>
        <v>745.8</v>
      </c>
      <c r="AX688">
        <v>987.79399999999998</v>
      </c>
      <c r="AY688">
        <v>1143</v>
      </c>
      <c r="AZ688">
        <v>7.3140499999999999</v>
      </c>
      <c r="BC688" t="s">
        <v>108</v>
      </c>
    </row>
    <row r="689" spans="3:55" x14ac:dyDescent="0.45">
      <c r="C689">
        <v>79.099999999999994</v>
      </c>
      <c r="D689">
        <v>3</v>
      </c>
      <c r="E689">
        <v>0</v>
      </c>
      <c r="F689">
        <v>0</v>
      </c>
      <c r="G689">
        <v>0</v>
      </c>
      <c r="H689">
        <v>0</v>
      </c>
      <c r="I689">
        <v>0</v>
      </c>
      <c r="J689">
        <v>0</v>
      </c>
      <c r="K689">
        <v>2.7</v>
      </c>
      <c r="L689">
        <v>15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1</v>
      </c>
      <c r="Z689">
        <v>0</v>
      </c>
      <c r="AA689">
        <v>0</v>
      </c>
      <c r="AB689">
        <v>0</v>
      </c>
      <c r="AC689">
        <v>750</v>
      </c>
      <c r="AD689">
        <v>0.58333333300000001</v>
      </c>
      <c r="AE689">
        <v>1</v>
      </c>
      <c r="AF689">
        <v>0</v>
      </c>
      <c r="AG689">
        <v>0</v>
      </c>
      <c r="AH689">
        <v>570</v>
      </c>
      <c r="AI689">
        <v>8</v>
      </c>
      <c r="AJ689">
        <v>0</v>
      </c>
      <c r="AK689">
        <v>1</v>
      </c>
      <c r="AL689">
        <v>0</v>
      </c>
      <c r="AM689">
        <v>0</v>
      </c>
      <c r="AN689">
        <v>0</v>
      </c>
      <c r="AO689">
        <v>0</v>
      </c>
      <c r="AP689">
        <v>0</v>
      </c>
      <c r="AQ689">
        <v>0</v>
      </c>
      <c r="AR689">
        <v>0</v>
      </c>
      <c r="AS689">
        <v>0</v>
      </c>
      <c r="AT689">
        <f t="shared" si="32"/>
        <v>12.756</v>
      </c>
      <c r="AU689">
        <f t="shared" si="30"/>
        <v>3</v>
      </c>
      <c r="AV689">
        <f t="shared" si="31"/>
        <v>745.8</v>
      </c>
      <c r="AX689">
        <v>1054.8800000000001</v>
      </c>
      <c r="AY689">
        <v>1174.67</v>
      </c>
      <c r="AZ689">
        <v>6.69421</v>
      </c>
      <c r="BC689" t="s">
        <v>108</v>
      </c>
    </row>
    <row r="690" spans="3:55" x14ac:dyDescent="0.45">
      <c r="C690">
        <v>79.099999999999994</v>
      </c>
      <c r="D690">
        <v>3</v>
      </c>
      <c r="E690">
        <v>0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2.7</v>
      </c>
      <c r="L690">
        <v>15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1</v>
      </c>
      <c r="Z690">
        <v>0</v>
      </c>
      <c r="AA690">
        <v>0</v>
      </c>
      <c r="AB690">
        <v>0</v>
      </c>
      <c r="AC690">
        <v>750</v>
      </c>
      <c r="AD690">
        <v>0.58333333300000001</v>
      </c>
      <c r="AE690">
        <v>1</v>
      </c>
      <c r="AF690">
        <v>0</v>
      </c>
      <c r="AG690">
        <v>0</v>
      </c>
      <c r="AH690">
        <v>620</v>
      </c>
      <c r="AI690">
        <v>8</v>
      </c>
      <c r="AJ690">
        <v>0</v>
      </c>
      <c r="AK690">
        <v>1</v>
      </c>
      <c r="AL690">
        <v>0</v>
      </c>
      <c r="AM690">
        <v>0</v>
      </c>
      <c r="AN690">
        <v>0</v>
      </c>
      <c r="AO690">
        <v>0</v>
      </c>
      <c r="AP690">
        <v>0</v>
      </c>
      <c r="AQ690">
        <v>0</v>
      </c>
      <c r="AR690">
        <v>0</v>
      </c>
      <c r="AS690">
        <v>0</v>
      </c>
      <c r="AT690">
        <f t="shared" si="32"/>
        <v>12.756</v>
      </c>
      <c r="AU690">
        <f t="shared" si="30"/>
        <v>3</v>
      </c>
      <c r="AV690">
        <f t="shared" si="31"/>
        <v>745.8</v>
      </c>
      <c r="AX690">
        <v>885.29399999999998</v>
      </c>
      <c r="AY690">
        <v>901.96400000000006</v>
      </c>
      <c r="AZ690">
        <v>14.504099999999999</v>
      </c>
      <c r="BC690" t="s">
        <v>108</v>
      </c>
    </row>
    <row r="691" spans="3:55" x14ac:dyDescent="0.45">
      <c r="C691">
        <v>79.099999999999994</v>
      </c>
      <c r="D691">
        <v>3</v>
      </c>
      <c r="E691">
        <v>0</v>
      </c>
      <c r="F691">
        <v>0</v>
      </c>
      <c r="G691">
        <v>0</v>
      </c>
      <c r="H691">
        <v>0</v>
      </c>
      <c r="I691">
        <v>0</v>
      </c>
      <c r="J691">
        <v>0</v>
      </c>
      <c r="K691">
        <v>2.7</v>
      </c>
      <c r="L691">
        <v>15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1</v>
      </c>
      <c r="Z691">
        <v>0</v>
      </c>
      <c r="AA691">
        <v>0</v>
      </c>
      <c r="AB691">
        <v>0</v>
      </c>
      <c r="AC691">
        <v>855</v>
      </c>
      <c r="AD691">
        <v>0.58333333300000001</v>
      </c>
      <c r="AE691">
        <v>1</v>
      </c>
      <c r="AF691">
        <v>0</v>
      </c>
      <c r="AG691">
        <v>0</v>
      </c>
      <c r="AH691">
        <v>520</v>
      </c>
      <c r="AI691">
        <v>4</v>
      </c>
      <c r="AJ691">
        <v>0</v>
      </c>
      <c r="AK691">
        <v>1</v>
      </c>
      <c r="AL691">
        <v>0</v>
      </c>
      <c r="AM691">
        <v>0</v>
      </c>
      <c r="AN691">
        <v>0</v>
      </c>
      <c r="AO691">
        <v>0</v>
      </c>
      <c r="AP691">
        <v>0</v>
      </c>
      <c r="AQ691">
        <v>0</v>
      </c>
      <c r="AR691">
        <v>0</v>
      </c>
      <c r="AS691">
        <v>0</v>
      </c>
      <c r="AT691">
        <f t="shared" si="32"/>
        <v>12.756</v>
      </c>
      <c r="AU691">
        <f t="shared" si="30"/>
        <v>3</v>
      </c>
      <c r="AV691">
        <f t="shared" si="31"/>
        <v>745.8</v>
      </c>
      <c r="AX691">
        <v>1137.5999999999999</v>
      </c>
      <c r="AY691">
        <v>1218.8599999999999</v>
      </c>
      <c r="AZ691">
        <v>6.1979199999999999</v>
      </c>
      <c r="BC691" t="s">
        <v>108</v>
      </c>
    </row>
    <row r="692" spans="3:55" x14ac:dyDescent="0.45">
      <c r="C692">
        <v>79.099999999999994</v>
      </c>
      <c r="D692">
        <v>3</v>
      </c>
      <c r="E692">
        <v>0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2.7</v>
      </c>
      <c r="L692">
        <v>15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1</v>
      </c>
      <c r="Z692">
        <v>0</v>
      </c>
      <c r="AA692">
        <v>0</v>
      </c>
      <c r="AB692">
        <v>0</v>
      </c>
      <c r="AC692">
        <v>855</v>
      </c>
      <c r="AD692">
        <v>0.58333333300000001</v>
      </c>
      <c r="AE692">
        <v>1</v>
      </c>
      <c r="AF692">
        <v>0</v>
      </c>
      <c r="AG692">
        <v>0</v>
      </c>
      <c r="AH692">
        <v>520</v>
      </c>
      <c r="AI692">
        <v>6</v>
      </c>
      <c r="AJ692">
        <v>0</v>
      </c>
      <c r="AK692">
        <v>1</v>
      </c>
      <c r="AL692">
        <v>0</v>
      </c>
      <c r="AM692">
        <v>0</v>
      </c>
      <c r="AN692">
        <v>0</v>
      </c>
      <c r="AO692">
        <v>0</v>
      </c>
      <c r="AP692">
        <v>0</v>
      </c>
      <c r="AQ692">
        <v>0</v>
      </c>
      <c r="AR692">
        <v>0</v>
      </c>
      <c r="AS692">
        <v>0</v>
      </c>
      <c r="AT692">
        <f t="shared" si="32"/>
        <v>12.756</v>
      </c>
      <c r="AU692">
        <f t="shared" si="30"/>
        <v>3</v>
      </c>
      <c r="AV692">
        <f t="shared" si="31"/>
        <v>745.8</v>
      </c>
      <c r="AX692">
        <v>1172.19</v>
      </c>
      <c r="AY692">
        <v>1258.6400000000001</v>
      </c>
      <c r="AZ692">
        <v>6.4895800000000001</v>
      </c>
      <c r="BC692" t="s">
        <v>108</v>
      </c>
    </row>
    <row r="693" spans="3:55" x14ac:dyDescent="0.45">
      <c r="C693">
        <v>79.099999999999994</v>
      </c>
      <c r="D693">
        <v>3</v>
      </c>
      <c r="E693">
        <v>0</v>
      </c>
      <c r="F693">
        <v>0</v>
      </c>
      <c r="G693">
        <v>0</v>
      </c>
      <c r="H693">
        <v>0</v>
      </c>
      <c r="I693">
        <v>0</v>
      </c>
      <c r="J693">
        <v>0</v>
      </c>
      <c r="K693">
        <v>2.7</v>
      </c>
      <c r="L693">
        <v>15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1</v>
      </c>
      <c r="Z693">
        <v>0</v>
      </c>
      <c r="AA693">
        <v>0</v>
      </c>
      <c r="AB693">
        <v>0</v>
      </c>
      <c r="AC693">
        <v>855</v>
      </c>
      <c r="AD693">
        <v>0.58333333300000001</v>
      </c>
      <c r="AE693">
        <v>1</v>
      </c>
      <c r="AF693">
        <v>0</v>
      </c>
      <c r="AG693">
        <v>0</v>
      </c>
      <c r="AH693">
        <v>520</v>
      </c>
      <c r="AI693">
        <v>8</v>
      </c>
      <c r="AJ693">
        <v>0</v>
      </c>
      <c r="AK693">
        <v>1</v>
      </c>
      <c r="AL693">
        <v>0</v>
      </c>
      <c r="AM693">
        <v>0</v>
      </c>
      <c r="AN693">
        <v>0</v>
      </c>
      <c r="AO693">
        <v>0</v>
      </c>
      <c r="AP693">
        <v>0</v>
      </c>
      <c r="AQ693">
        <v>0</v>
      </c>
      <c r="AR693">
        <v>0</v>
      </c>
      <c r="AS693">
        <v>0</v>
      </c>
      <c r="AT693">
        <f t="shared" si="32"/>
        <v>12.756</v>
      </c>
      <c r="AU693">
        <f t="shared" si="30"/>
        <v>3</v>
      </c>
      <c r="AV693">
        <f t="shared" si="31"/>
        <v>745.8</v>
      </c>
      <c r="AX693">
        <v>1185.94</v>
      </c>
      <c r="AY693">
        <v>1311.98</v>
      </c>
      <c r="AZ693">
        <v>6.1979199999999999</v>
      </c>
      <c r="BC693" t="s">
        <v>108</v>
      </c>
    </row>
    <row r="694" spans="3:55" x14ac:dyDescent="0.45">
      <c r="C694">
        <v>79.099999999999994</v>
      </c>
      <c r="D694">
        <v>3</v>
      </c>
      <c r="E694">
        <v>0</v>
      </c>
      <c r="F694">
        <v>0</v>
      </c>
      <c r="G694">
        <v>0</v>
      </c>
      <c r="H694">
        <v>0</v>
      </c>
      <c r="I694">
        <v>0</v>
      </c>
      <c r="J694">
        <v>0</v>
      </c>
      <c r="K694">
        <v>2.7</v>
      </c>
      <c r="L694">
        <v>15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1</v>
      </c>
      <c r="Z694">
        <v>0</v>
      </c>
      <c r="AA694">
        <v>0</v>
      </c>
      <c r="AB694">
        <v>0</v>
      </c>
      <c r="AC694">
        <v>855</v>
      </c>
      <c r="AD694">
        <v>0.58333333300000001</v>
      </c>
      <c r="AE694">
        <v>1</v>
      </c>
      <c r="AF694">
        <v>0</v>
      </c>
      <c r="AG694">
        <v>0</v>
      </c>
      <c r="AH694">
        <v>520</v>
      </c>
      <c r="AI694">
        <v>10</v>
      </c>
      <c r="AJ694">
        <v>0</v>
      </c>
      <c r="AK694">
        <v>1</v>
      </c>
      <c r="AL694">
        <v>0</v>
      </c>
      <c r="AM694">
        <v>0</v>
      </c>
      <c r="AN694">
        <v>0</v>
      </c>
      <c r="AO694">
        <v>0</v>
      </c>
      <c r="AP694">
        <v>0</v>
      </c>
      <c r="AQ694">
        <v>0</v>
      </c>
      <c r="AR694">
        <v>0</v>
      </c>
      <c r="AS694">
        <v>0</v>
      </c>
      <c r="AT694">
        <f t="shared" si="32"/>
        <v>12.756</v>
      </c>
      <c r="AU694">
        <f t="shared" si="30"/>
        <v>3</v>
      </c>
      <c r="AV694">
        <f t="shared" si="31"/>
        <v>745.8</v>
      </c>
      <c r="AX694">
        <v>1181.98</v>
      </c>
      <c r="AY694">
        <v>1263.23</v>
      </c>
      <c r="AZ694">
        <v>6.78125</v>
      </c>
      <c r="BC694" t="s">
        <v>108</v>
      </c>
    </row>
    <row r="695" spans="3:55" x14ac:dyDescent="0.45">
      <c r="C695">
        <v>79.099999999999994</v>
      </c>
      <c r="D695">
        <v>3</v>
      </c>
      <c r="E695">
        <v>0</v>
      </c>
      <c r="F695">
        <v>0</v>
      </c>
      <c r="G695">
        <v>0</v>
      </c>
      <c r="H695">
        <v>0</v>
      </c>
      <c r="I695">
        <v>0</v>
      </c>
      <c r="J695">
        <v>0</v>
      </c>
      <c r="K695">
        <v>2.7</v>
      </c>
      <c r="L695">
        <v>15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1</v>
      </c>
      <c r="Z695">
        <v>0</v>
      </c>
      <c r="AA695">
        <v>0</v>
      </c>
      <c r="AB695">
        <v>0</v>
      </c>
      <c r="AC695">
        <v>855</v>
      </c>
      <c r="AD695">
        <v>0.58333333300000001</v>
      </c>
      <c r="AE695">
        <v>1</v>
      </c>
      <c r="AF695">
        <v>0</v>
      </c>
      <c r="AG695">
        <v>0</v>
      </c>
      <c r="AH695">
        <v>520</v>
      </c>
      <c r="AI695">
        <v>12</v>
      </c>
      <c r="AJ695">
        <v>0</v>
      </c>
      <c r="AK695">
        <v>1</v>
      </c>
      <c r="AL695">
        <v>0</v>
      </c>
      <c r="AM695">
        <v>0</v>
      </c>
      <c r="AN695">
        <v>0</v>
      </c>
      <c r="AO695">
        <v>0</v>
      </c>
      <c r="AP695">
        <v>0</v>
      </c>
      <c r="AQ695">
        <v>0</v>
      </c>
      <c r="AR695">
        <v>0</v>
      </c>
      <c r="AS695">
        <v>0</v>
      </c>
      <c r="AT695">
        <f t="shared" si="32"/>
        <v>12.756</v>
      </c>
      <c r="AU695">
        <f t="shared" si="30"/>
        <v>3</v>
      </c>
      <c r="AV695">
        <f t="shared" si="31"/>
        <v>745.8</v>
      </c>
      <c r="AX695">
        <v>1193.6500000000001</v>
      </c>
      <c r="AY695">
        <v>1275.94</v>
      </c>
      <c r="AZ695">
        <v>5.25</v>
      </c>
      <c r="BC695" t="s">
        <v>108</v>
      </c>
    </row>
    <row r="696" spans="3:55" x14ac:dyDescent="0.45">
      <c r="C696">
        <v>86.63</v>
      </c>
      <c r="D696">
        <v>5</v>
      </c>
      <c r="E696">
        <v>0</v>
      </c>
      <c r="F696">
        <v>0</v>
      </c>
      <c r="G696">
        <v>0</v>
      </c>
      <c r="H696">
        <v>1.62</v>
      </c>
      <c r="I696">
        <v>0</v>
      </c>
      <c r="J696">
        <v>0</v>
      </c>
      <c r="K696">
        <v>0</v>
      </c>
      <c r="L696">
        <v>6.65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1</v>
      </c>
      <c r="W696">
        <v>950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780</v>
      </c>
      <c r="AD696">
        <v>1</v>
      </c>
      <c r="AE696">
        <v>0</v>
      </c>
      <c r="AF696">
        <v>1</v>
      </c>
      <c r="AG696">
        <v>0</v>
      </c>
      <c r="AH696">
        <v>560</v>
      </c>
      <c r="AI696">
        <v>6</v>
      </c>
      <c r="AJ696">
        <v>0</v>
      </c>
      <c r="AK696">
        <v>1</v>
      </c>
      <c r="AL696">
        <v>0</v>
      </c>
      <c r="AM696">
        <v>0</v>
      </c>
      <c r="AN696">
        <v>0</v>
      </c>
      <c r="AO696">
        <v>0</v>
      </c>
      <c r="AP696">
        <v>0</v>
      </c>
      <c r="AQ696">
        <v>0</v>
      </c>
      <c r="AR696">
        <v>0</v>
      </c>
      <c r="AS696">
        <v>0</v>
      </c>
      <c r="AT696">
        <f t="shared" si="32"/>
        <v>6.3480000000000008</v>
      </c>
      <c r="AU696">
        <f t="shared" si="30"/>
        <v>5</v>
      </c>
      <c r="AV696">
        <f t="shared" si="31"/>
        <v>804.37700000000007</v>
      </c>
      <c r="AX696">
        <v>1129.55</v>
      </c>
      <c r="AY696">
        <v>1188.29</v>
      </c>
      <c r="AZ696">
        <v>12.140499999999999</v>
      </c>
      <c r="BC696" t="s">
        <v>108</v>
      </c>
    </row>
    <row r="697" spans="3:55" x14ac:dyDescent="0.45">
      <c r="C697">
        <v>77.91</v>
      </c>
      <c r="D697">
        <v>0</v>
      </c>
      <c r="E697">
        <v>0</v>
      </c>
      <c r="F697">
        <v>0</v>
      </c>
      <c r="G697">
        <v>0</v>
      </c>
      <c r="H697">
        <v>2.34</v>
      </c>
      <c r="I697">
        <v>0</v>
      </c>
      <c r="J697">
        <v>6.17</v>
      </c>
      <c r="K697">
        <v>13.58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1</v>
      </c>
      <c r="W697">
        <v>0</v>
      </c>
      <c r="X697">
        <v>0</v>
      </c>
      <c r="Y697">
        <v>0</v>
      </c>
      <c r="Z697">
        <v>1</v>
      </c>
      <c r="AA697">
        <v>0</v>
      </c>
      <c r="AB697">
        <v>0</v>
      </c>
      <c r="AC697">
        <v>0</v>
      </c>
      <c r="AD697">
        <v>0</v>
      </c>
      <c r="AE697">
        <v>1</v>
      </c>
      <c r="AF697">
        <v>0</v>
      </c>
      <c r="AG697">
        <v>0</v>
      </c>
      <c r="AH697">
        <v>0</v>
      </c>
      <c r="AI697">
        <v>0</v>
      </c>
      <c r="AJ697">
        <v>0</v>
      </c>
      <c r="AK697">
        <v>0</v>
      </c>
      <c r="AL697">
        <v>0</v>
      </c>
      <c r="AM697">
        <v>0</v>
      </c>
      <c r="AN697">
        <v>0</v>
      </c>
      <c r="AO697">
        <v>0</v>
      </c>
      <c r="AP697">
        <v>0</v>
      </c>
      <c r="AQ697">
        <v>0</v>
      </c>
      <c r="AR697">
        <v>0</v>
      </c>
      <c r="AS697">
        <v>0</v>
      </c>
      <c r="AT697">
        <f t="shared" si="32"/>
        <v>10.5884</v>
      </c>
      <c r="AU697">
        <f t="shared" si="30"/>
        <v>1.0283333333333333</v>
      </c>
      <c r="AV697">
        <f t="shared" si="31"/>
        <v>803.39100000000008</v>
      </c>
      <c r="AW697">
        <v>79</v>
      </c>
      <c r="AX697">
        <v>782</v>
      </c>
      <c r="BC697" t="s">
        <v>60</v>
      </c>
    </row>
    <row r="698" spans="3:55" x14ac:dyDescent="0.45">
      <c r="C698">
        <v>75.75</v>
      </c>
      <c r="D698">
        <v>0</v>
      </c>
      <c r="E698">
        <v>0</v>
      </c>
      <c r="F698">
        <v>0</v>
      </c>
      <c r="G698">
        <v>0</v>
      </c>
      <c r="H698">
        <v>1.5599999999999998</v>
      </c>
      <c r="I698">
        <v>0</v>
      </c>
      <c r="J698">
        <v>6.370000000000001</v>
      </c>
      <c r="K698">
        <v>16.32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1</v>
      </c>
      <c r="W698">
        <v>0</v>
      </c>
      <c r="X698">
        <v>0</v>
      </c>
      <c r="Y698">
        <v>0</v>
      </c>
      <c r="Z698">
        <v>1</v>
      </c>
      <c r="AA698">
        <v>0</v>
      </c>
      <c r="AB698">
        <v>0</v>
      </c>
      <c r="AC698">
        <v>0</v>
      </c>
      <c r="AD698">
        <v>0</v>
      </c>
      <c r="AE698">
        <v>1</v>
      </c>
      <c r="AF698">
        <v>0</v>
      </c>
      <c r="AG698">
        <v>0</v>
      </c>
      <c r="AH698">
        <v>0</v>
      </c>
      <c r="AI698">
        <v>0</v>
      </c>
      <c r="AJ698">
        <v>0</v>
      </c>
      <c r="AK698">
        <v>0</v>
      </c>
      <c r="AL698">
        <v>0</v>
      </c>
      <c r="AM698">
        <v>0</v>
      </c>
      <c r="AN698">
        <v>0</v>
      </c>
      <c r="AO698">
        <v>0</v>
      </c>
      <c r="AP698">
        <v>0</v>
      </c>
      <c r="AQ698">
        <v>0</v>
      </c>
      <c r="AR698">
        <v>0</v>
      </c>
      <c r="AS698">
        <v>0</v>
      </c>
      <c r="AT698">
        <f t="shared" si="32"/>
        <v>9.0935999999999986</v>
      </c>
      <c r="AU698">
        <f t="shared" si="30"/>
        <v>1.0616666666666668</v>
      </c>
      <c r="AV698">
        <f t="shared" si="31"/>
        <v>814.02300000000002</v>
      </c>
      <c r="AW698">
        <v>78</v>
      </c>
      <c r="AX698">
        <v>735</v>
      </c>
      <c r="BC698" t="s">
        <v>60</v>
      </c>
    </row>
    <row r="699" spans="3:55" x14ac:dyDescent="0.45">
      <c r="C699">
        <v>72.98</v>
      </c>
      <c r="D699">
        <v>0</v>
      </c>
      <c r="E699">
        <v>0</v>
      </c>
      <c r="F699">
        <v>0</v>
      </c>
      <c r="G699">
        <v>0</v>
      </c>
      <c r="H699">
        <v>1.38</v>
      </c>
      <c r="I699">
        <v>0</v>
      </c>
      <c r="J699">
        <v>6.64</v>
      </c>
      <c r="K699">
        <v>18.990000000000002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1</v>
      </c>
      <c r="W699">
        <v>0</v>
      </c>
      <c r="X699">
        <v>0</v>
      </c>
      <c r="Y699">
        <v>0</v>
      </c>
      <c r="Z699">
        <v>1</v>
      </c>
      <c r="AA699">
        <v>0</v>
      </c>
      <c r="AB699">
        <v>0</v>
      </c>
      <c r="AC699">
        <v>0</v>
      </c>
      <c r="AD699">
        <v>0</v>
      </c>
      <c r="AE699">
        <v>1</v>
      </c>
      <c r="AF699">
        <v>0</v>
      </c>
      <c r="AG699">
        <v>0</v>
      </c>
      <c r="AH699">
        <v>0</v>
      </c>
      <c r="AI699">
        <v>0</v>
      </c>
      <c r="AJ699">
        <v>0</v>
      </c>
      <c r="AK699">
        <v>0</v>
      </c>
      <c r="AL699">
        <v>0</v>
      </c>
      <c r="AM699">
        <v>0</v>
      </c>
      <c r="AN699">
        <v>0</v>
      </c>
      <c r="AO699">
        <v>0</v>
      </c>
      <c r="AP699">
        <v>0</v>
      </c>
      <c r="AQ699">
        <v>0</v>
      </c>
      <c r="AR699">
        <v>0</v>
      </c>
      <c r="AS699">
        <v>0</v>
      </c>
      <c r="AT699">
        <f t="shared" si="32"/>
        <v>9.3192000000000021</v>
      </c>
      <c r="AU699">
        <f t="shared" si="30"/>
        <v>1.1066666666666667</v>
      </c>
      <c r="AV699">
        <f t="shared" si="31"/>
        <v>814.93200000000002</v>
      </c>
      <c r="AW699">
        <v>77</v>
      </c>
      <c r="AX699">
        <v>672</v>
      </c>
      <c r="BC699" t="s">
        <v>60</v>
      </c>
    </row>
    <row r="700" spans="3:55" x14ac:dyDescent="0.45">
      <c r="C700">
        <v>86.22</v>
      </c>
      <c r="D700">
        <v>0</v>
      </c>
      <c r="E700">
        <v>0</v>
      </c>
      <c r="F700">
        <v>0</v>
      </c>
      <c r="G700">
        <v>0</v>
      </c>
      <c r="H700">
        <v>3.49</v>
      </c>
      <c r="I700">
        <v>0</v>
      </c>
      <c r="J700">
        <v>4.1000000000000005</v>
      </c>
      <c r="K700">
        <v>6.18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1</v>
      </c>
      <c r="W700">
        <v>0</v>
      </c>
      <c r="X700">
        <v>0</v>
      </c>
      <c r="Y700">
        <v>0</v>
      </c>
      <c r="Z700">
        <v>1</v>
      </c>
      <c r="AA700">
        <v>0</v>
      </c>
      <c r="AB700">
        <v>0</v>
      </c>
      <c r="AC700">
        <v>0</v>
      </c>
      <c r="AD700">
        <v>0</v>
      </c>
      <c r="AE700">
        <v>1</v>
      </c>
      <c r="AF700">
        <v>0</v>
      </c>
      <c r="AG700">
        <v>0</v>
      </c>
      <c r="AH700">
        <v>0</v>
      </c>
      <c r="AI700">
        <v>0</v>
      </c>
      <c r="AJ700">
        <v>0</v>
      </c>
      <c r="AK700">
        <v>0</v>
      </c>
      <c r="AL700">
        <v>0</v>
      </c>
      <c r="AM700">
        <v>0</v>
      </c>
      <c r="AN700">
        <v>0</v>
      </c>
      <c r="AO700">
        <v>0</v>
      </c>
      <c r="AP700">
        <v>0</v>
      </c>
      <c r="AQ700">
        <v>0</v>
      </c>
      <c r="AR700">
        <v>0</v>
      </c>
      <c r="AS700">
        <v>0</v>
      </c>
      <c r="AT700">
        <f t="shared" si="32"/>
        <v>11.8514</v>
      </c>
      <c r="AU700">
        <f t="shared" si="30"/>
        <v>0.68333333333333346</v>
      </c>
      <c r="AV700">
        <f t="shared" si="31"/>
        <v>799.96400000000006</v>
      </c>
      <c r="AW700">
        <v>90</v>
      </c>
      <c r="AX700">
        <v>1011</v>
      </c>
      <c r="BC700" t="s">
        <v>60</v>
      </c>
    </row>
    <row r="701" spans="3:55" x14ac:dyDescent="0.45">
      <c r="C701">
        <v>79.739999999999995</v>
      </c>
      <c r="D701">
        <v>0</v>
      </c>
      <c r="E701">
        <v>0</v>
      </c>
      <c r="F701">
        <v>0</v>
      </c>
      <c r="G701">
        <v>0</v>
      </c>
      <c r="H701">
        <v>2.7</v>
      </c>
      <c r="I701">
        <v>0</v>
      </c>
      <c r="J701">
        <v>6.1899999999999995</v>
      </c>
      <c r="K701">
        <v>11.37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1</v>
      </c>
      <c r="W701">
        <v>0</v>
      </c>
      <c r="X701">
        <v>0</v>
      </c>
      <c r="Y701">
        <v>0</v>
      </c>
      <c r="Z701">
        <v>1</v>
      </c>
      <c r="AA701">
        <v>0</v>
      </c>
      <c r="AB701">
        <v>0</v>
      </c>
      <c r="AC701">
        <v>0</v>
      </c>
      <c r="AD701">
        <v>0</v>
      </c>
      <c r="AE701">
        <v>1</v>
      </c>
      <c r="AF701">
        <v>0</v>
      </c>
      <c r="AG701">
        <v>0</v>
      </c>
      <c r="AH701">
        <v>0</v>
      </c>
      <c r="AI701">
        <v>0</v>
      </c>
      <c r="AJ701">
        <v>0</v>
      </c>
      <c r="AK701">
        <v>0</v>
      </c>
      <c r="AL701">
        <v>0</v>
      </c>
      <c r="AM701">
        <v>0</v>
      </c>
      <c r="AN701">
        <v>0</v>
      </c>
      <c r="AO701">
        <v>0</v>
      </c>
      <c r="AP701">
        <v>0</v>
      </c>
      <c r="AQ701">
        <v>0</v>
      </c>
      <c r="AR701">
        <v>0</v>
      </c>
      <c r="AS701">
        <v>0</v>
      </c>
      <c r="AT701">
        <f t="shared" si="32"/>
        <v>11.0136</v>
      </c>
      <c r="AU701">
        <f t="shared" si="30"/>
        <v>1.0316666666666665</v>
      </c>
      <c r="AV701">
        <f t="shared" si="31"/>
        <v>797.70899999999995</v>
      </c>
      <c r="AW701">
        <v>69</v>
      </c>
      <c r="AX701">
        <v>1027</v>
      </c>
      <c r="BC701" t="s">
        <v>60</v>
      </c>
    </row>
    <row r="702" spans="3:55" x14ac:dyDescent="0.45">
      <c r="C702">
        <v>72.36</v>
      </c>
      <c r="D702">
        <v>0</v>
      </c>
      <c r="E702">
        <v>0</v>
      </c>
      <c r="F702">
        <v>0</v>
      </c>
      <c r="G702">
        <v>0</v>
      </c>
      <c r="H702">
        <v>0.57000000000000006</v>
      </c>
      <c r="I702">
        <v>0</v>
      </c>
      <c r="J702">
        <v>8.68</v>
      </c>
      <c r="K702">
        <v>18.39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1</v>
      </c>
      <c r="W702">
        <v>0</v>
      </c>
      <c r="X702">
        <v>0</v>
      </c>
      <c r="Y702">
        <v>0</v>
      </c>
      <c r="Z702">
        <v>1</v>
      </c>
      <c r="AA702">
        <v>0</v>
      </c>
      <c r="AB702">
        <v>0</v>
      </c>
      <c r="AC702">
        <v>0</v>
      </c>
      <c r="AD702">
        <v>0</v>
      </c>
      <c r="AE702">
        <v>1</v>
      </c>
      <c r="AF702">
        <v>0</v>
      </c>
      <c r="AG702">
        <v>0</v>
      </c>
      <c r="AH702">
        <v>0</v>
      </c>
      <c r="AI702">
        <v>0</v>
      </c>
      <c r="AJ702">
        <v>0</v>
      </c>
      <c r="AK702">
        <v>0</v>
      </c>
      <c r="AL702">
        <v>0</v>
      </c>
      <c r="AM702">
        <v>0</v>
      </c>
      <c r="AN702">
        <v>0</v>
      </c>
      <c r="AO702">
        <v>0</v>
      </c>
      <c r="AP702">
        <v>0</v>
      </c>
      <c r="AQ702">
        <v>0</v>
      </c>
      <c r="AR702">
        <v>0</v>
      </c>
      <c r="AS702">
        <v>0</v>
      </c>
      <c r="AT702">
        <f t="shared" si="32"/>
        <v>6.8022000000000009</v>
      </c>
      <c r="AU702">
        <f t="shared" si="30"/>
        <v>1.4466666666666665</v>
      </c>
      <c r="AV702">
        <f t="shared" si="31"/>
        <v>813.32999999999993</v>
      </c>
      <c r="AW702">
        <v>58</v>
      </c>
      <c r="AX702">
        <v>780</v>
      </c>
      <c r="BC702" t="s">
        <v>60</v>
      </c>
    </row>
    <row r="703" spans="3:55" x14ac:dyDescent="0.45">
      <c r="C703">
        <v>81.42</v>
      </c>
      <c r="D703">
        <v>0</v>
      </c>
      <c r="E703">
        <v>0</v>
      </c>
      <c r="F703">
        <v>0</v>
      </c>
      <c r="G703">
        <v>0</v>
      </c>
      <c r="H703">
        <v>1</v>
      </c>
      <c r="I703">
        <v>0</v>
      </c>
      <c r="J703">
        <v>11.600000000000001</v>
      </c>
      <c r="K703">
        <v>5.99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1</v>
      </c>
      <c r="W703">
        <v>0</v>
      </c>
      <c r="X703">
        <v>0</v>
      </c>
      <c r="Y703">
        <v>0</v>
      </c>
      <c r="Z703">
        <v>1</v>
      </c>
      <c r="AA703">
        <v>0</v>
      </c>
      <c r="AB703">
        <v>0</v>
      </c>
      <c r="AC703">
        <v>0</v>
      </c>
      <c r="AD703">
        <v>0</v>
      </c>
      <c r="AE703">
        <v>1</v>
      </c>
      <c r="AF703">
        <v>0</v>
      </c>
      <c r="AG703">
        <v>0</v>
      </c>
      <c r="AH703">
        <v>0</v>
      </c>
      <c r="AI703">
        <v>0</v>
      </c>
      <c r="AJ703">
        <v>0</v>
      </c>
      <c r="AK703">
        <v>0</v>
      </c>
      <c r="AL703">
        <v>0</v>
      </c>
      <c r="AM703">
        <v>0</v>
      </c>
      <c r="AN703">
        <v>0</v>
      </c>
      <c r="AO703">
        <v>0</v>
      </c>
      <c r="AP703">
        <v>0</v>
      </c>
      <c r="AQ703">
        <v>0</v>
      </c>
      <c r="AR703">
        <v>0</v>
      </c>
      <c r="AS703">
        <v>0</v>
      </c>
      <c r="AT703">
        <f t="shared" si="32"/>
        <v>4.5772000000000004</v>
      </c>
      <c r="AU703">
        <f t="shared" si="30"/>
        <v>1.9333333333333336</v>
      </c>
      <c r="AV703">
        <f t="shared" si="31"/>
        <v>786.56000000000006</v>
      </c>
      <c r="AW703">
        <v>59</v>
      </c>
      <c r="AX703">
        <v>553</v>
      </c>
      <c r="BC703" t="s">
        <v>60</v>
      </c>
    </row>
    <row r="704" spans="3:55" x14ac:dyDescent="0.45">
      <c r="C704">
        <v>74.48</v>
      </c>
      <c r="D704">
        <v>0</v>
      </c>
      <c r="E704">
        <v>0</v>
      </c>
      <c r="F704">
        <v>0</v>
      </c>
      <c r="G704">
        <v>0</v>
      </c>
      <c r="H704">
        <v>1.47</v>
      </c>
      <c r="I704">
        <v>0</v>
      </c>
      <c r="J704">
        <v>4</v>
      </c>
      <c r="K704">
        <v>20.04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1</v>
      </c>
      <c r="W704">
        <v>0</v>
      </c>
      <c r="X704">
        <v>0</v>
      </c>
      <c r="Y704">
        <v>0</v>
      </c>
      <c r="Z704">
        <v>1</v>
      </c>
      <c r="AA704">
        <v>0</v>
      </c>
      <c r="AB704">
        <v>0</v>
      </c>
      <c r="AC704">
        <v>0</v>
      </c>
      <c r="AD704">
        <v>0</v>
      </c>
      <c r="AE704">
        <v>1</v>
      </c>
      <c r="AF704">
        <v>0</v>
      </c>
      <c r="AG704">
        <v>0</v>
      </c>
      <c r="AH704">
        <v>0</v>
      </c>
      <c r="AI704">
        <v>0</v>
      </c>
      <c r="AJ704">
        <v>0</v>
      </c>
      <c r="AK704">
        <v>0</v>
      </c>
      <c r="AL704">
        <v>0</v>
      </c>
      <c r="AM704">
        <v>0</v>
      </c>
      <c r="AN704">
        <v>0</v>
      </c>
      <c r="AO704">
        <v>0</v>
      </c>
      <c r="AP704">
        <v>0</v>
      </c>
      <c r="AQ704">
        <v>0</v>
      </c>
      <c r="AR704">
        <v>0</v>
      </c>
      <c r="AS704">
        <v>0</v>
      </c>
      <c r="AT704">
        <f t="shared" si="32"/>
        <v>9.8742000000000001</v>
      </c>
      <c r="AU704">
        <f t="shared" si="30"/>
        <v>0.66666666666666663</v>
      </c>
      <c r="AV704">
        <f t="shared" si="31"/>
        <v>831.76199999999994</v>
      </c>
      <c r="AW704">
        <v>62</v>
      </c>
      <c r="AX704">
        <v>1038</v>
      </c>
      <c r="BC704" t="s">
        <v>60</v>
      </c>
    </row>
    <row r="705" spans="3:55" x14ac:dyDescent="0.45">
      <c r="C705">
        <v>65.86</v>
      </c>
      <c r="D705">
        <v>0</v>
      </c>
      <c r="E705">
        <v>0</v>
      </c>
      <c r="F705">
        <v>0</v>
      </c>
      <c r="G705">
        <v>0</v>
      </c>
      <c r="H705">
        <v>0.1</v>
      </c>
      <c r="I705">
        <v>0</v>
      </c>
      <c r="J705">
        <v>17.39</v>
      </c>
      <c r="K705">
        <v>16.64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1</v>
      </c>
      <c r="W705">
        <v>0</v>
      </c>
      <c r="X705">
        <v>0</v>
      </c>
      <c r="Y705">
        <v>0</v>
      </c>
      <c r="Z705">
        <v>1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1</v>
      </c>
      <c r="AG705">
        <v>0</v>
      </c>
      <c r="AH705">
        <v>0</v>
      </c>
      <c r="AI705">
        <v>0</v>
      </c>
      <c r="AJ705">
        <v>0</v>
      </c>
      <c r="AK705">
        <v>0</v>
      </c>
      <c r="AL705">
        <v>0</v>
      </c>
      <c r="AM705">
        <v>0</v>
      </c>
      <c r="AN705">
        <v>0</v>
      </c>
      <c r="AO705">
        <v>0</v>
      </c>
      <c r="AP705">
        <v>0</v>
      </c>
      <c r="AQ705">
        <v>0</v>
      </c>
      <c r="AR705">
        <v>0</v>
      </c>
      <c r="AS705">
        <v>0</v>
      </c>
      <c r="AT705">
        <f t="shared" si="32"/>
        <v>4.9492000000000003</v>
      </c>
      <c r="AU705">
        <f t="shared" si="30"/>
        <v>2.8983333333333334</v>
      </c>
      <c r="AV705">
        <f t="shared" si="31"/>
        <v>760.46900000000005</v>
      </c>
      <c r="AW705">
        <v>70</v>
      </c>
      <c r="AX705">
        <v>480</v>
      </c>
      <c r="BC705" t="s">
        <v>60</v>
      </c>
    </row>
    <row r="706" spans="3:55" x14ac:dyDescent="0.45">
      <c r="C706">
        <v>71.930000000000007</v>
      </c>
      <c r="D706">
        <v>0</v>
      </c>
      <c r="E706">
        <v>0</v>
      </c>
      <c r="F706">
        <v>0</v>
      </c>
      <c r="G706">
        <v>0</v>
      </c>
      <c r="H706">
        <v>0.97</v>
      </c>
      <c r="I706">
        <v>0</v>
      </c>
      <c r="J706">
        <v>5</v>
      </c>
      <c r="K706">
        <v>22.1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1</v>
      </c>
      <c r="W706">
        <v>0</v>
      </c>
      <c r="X706">
        <v>0</v>
      </c>
      <c r="Y706">
        <v>0</v>
      </c>
      <c r="Z706">
        <v>1</v>
      </c>
      <c r="AA706">
        <v>0</v>
      </c>
      <c r="AB706">
        <v>0</v>
      </c>
      <c r="AC706">
        <v>0</v>
      </c>
      <c r="AD706">
        <v>0</v>
      </c>
      <c r="AE706">
        <v>1</v>
      </c>
      <c r="AF706">
        <v>0</v>
      </c>
      <c r="AG706">
        <v>0</v>
      </c>
      <c r="AH706">
        <v>0</v>
      </c>
      <c r="AI706">
        <v>0</v>
      </c>
      <c r="AJ706">
        <v>0</v>
      </c>
      <c r="AK706">
        <v>0</v>
      </c>
      <c r="AL706">
        <v>0</v>
      </c>
      <c r="AM706">
        <v>0</v>
      </c>
      <c r="AN706">
        <v>0</v>
      </c>
      <c r="AO706">
        <v>0</v>
      </c>
      <c r="AP706">
        <v>0</v>
      </c>
      <c r="AQ706">
        <v>0</v>
      </c>
      <c r="AR706">
        <v>0</v>
      </c>
      <c r="AS706">
        <v>0</v>
      </c>
      <c r="AT706">
        <f t="shared" si="32"/>
        <v>9.0010000000000012</v>
      </c>
      <c r="AU706">
        <f t="shared" ref="AU706:AU769" si="33">D706+J706/6+M706/3+(T706+S706)/10</f>
        <v>0.83333333333333337</v>
      </c>
      <c r="AV706">
        <f t="shared" ref="AV706:AV769" si="34">882+2.1*D706-9.5*L706+4.2*M706-6.9*J706-11.8*E706-12.1*F706-15.4*H706+23.3*Q706+123*T706</f>
        <v>832.56200000000001</v>
      </c>
      <c r="AW706">
        <v>49</v>
      </c>
      <c r="AX706">
        <v>552</v>
      </c>
      <c r="BC706" t="s">
        <v>60</v>
      </c>
    </row>
    <row r="707" spans="3:55" x14ac:dyDescent="0.45">
      <c r="C707">
        <v>83.05</v>
      </c>
      <c r="D707">
        <v>0</v>
      </c>
      <c r="E707">
        <v>0</v>
      </c>
      <c r="F707">
        <v>0</v>
      </c>
      <c r="G707">
        <v>0</v>
      </c>
      <c r="H707">
        <v>0</v>
      </c>
      <c r="I707">
        <v>0</v>
      </c>
      <c r="J707">
        <v>0</v>
      </c>
      <c r="K707">
        <v>10.220000000000001</v>
      </c>
      <c r="L707">
        <v>2.4699999999999998</v>
      </c>
      <c r="M707">
        <v>0</v>
      </c>
      <c r="N707">
        <v>0</v>
      </c>
      <c r="O707">
        <v>4.26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1</v>
      </c>
      <c r="W707">
        <v>0</v>
      </c>
      <c r="X707">
        <v>0</v>
      </c>
      <c r="Y707">
        <v>0</v>
      </c>
      <c r="Z707">
        <v>1</v>
      </c>
      <c r="AA707">
        <v>0</v>
      </c>
      <c r="AB707">
        <v>0</v>
      </c>
      <c r="AC707">
        <v>0</v>
      </c>
      <c r="AD707">
        <v>0</v>
      </c>
      <c r="AE707">
        <v>1</v>
      </c>
      <c r="AF707">
        <v>0</v>
      </c>
      <c r="AG707">
        <v>0</v>
      </c>
      <c r="AH707">
        <v>0</v>
      </c>
      <c r="AI707">
        <v>0</v>
      </c>
      <c r="AJ707">
        <v>0</v>
      </c>
      <c r="AK707">
        <v>0</v>
      </c>
      <c r="AL707">
        <v>0</v>
      </c>
      <c r="AM707">
        <v>0</v>
      </c>
      <c r="AN707">
        <v>0</v>
      </c>
      <c r="AO707">
        <v>0</v>
      </c>
      <c r="AP707">
        <v>0</v>
      </c>
      <c r="AQ707">
        <v>0</v>
      </c>
      <c r="AR707">
        <v>0</v>
      </c>
      <c r="AS707">
        <v>0</v>
      </c>
      <c r="AT707">
        <f t="shared" ref="AT707:AT770" si="35">L707+0.67*E707+0.44*P707+0.28*K707+0.22*O707+2.9*H707+1.6*F707+1.7*G707-D707</f>
        <v>6.2687999999999997</v>
      </c>
      <c r="AU707">
        <f t="shared" si="33"/>
        <v>0</v>
      </c>
      <c r="AV707">
        <f t="shared" si="34"/>
        <v>858.53499999999997</v>
      </c>
      <c r="AW707">
        <v>50</v>
      </c>
      <c r="AX707">
        <v>557</v>
      </c>
      <c r="BC707" t="s">
        <v>60</v>
      </c>
    </row>
    <row r="708" spans="3:55" x14ac:dyDescent="0.45">
      <c r="C708">
        <v>72.599999999999994</v>
      </c>
      <c r="D708">
        <v>0</v>
      </c>
      <c r="E708">
        <v>0</v>
      </c>
      <c r="F708">
        <v>0</v>
      </c>
      <c r="G708">
        <v>0</v>
      </c>
      <c r="H708">
        <v>0</v>
      </c>
      <c r="I708">
        <v>0</v>
      </c>
      <c r="J708">
        <v>0</v>
      </c>
      <c r="K708">
        <v>20.09</v>
      </c>
      <c r="L708">
        <v>2.68</v>
      </c>
      <c r="M708">
        <v>0</v>
      </c>
      <c r="N708">
        <v>0</v>
      </c>
      <c r="O708">
        <v>4.62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1</v>
      </c>
      <c r="W708">
        <v>0</v>
      </c>
      <c r="X708">
        <v>0</v>
      </c>
      <c r="Y708">
        <v>0</v>
      </c>
      <c r="Z708">
        <v>1</v>
      </c>
      <c r="AA708">
        <v>0</v>
      </c>
      <c r="AB708">
        <v>0</v>
      </c>
      <c r="AC708">
        <v>0</v>
      </c>
      <c r="AD708">
        <v>0</v>
      </c>
      <c r="AE708">
        <v>1</v>
      </c>
      <c r="AF708">
        <v>0</v>
      </c>
      <c r="AG708">
        <v>0</v>
      </c>
      <c r="AH708">
        <v>0</v>
      </c>
      <c r="AI708">
        <v>0</v>
      </c>
      <c r="AJ708">
        <v>0</v>
      </c>
      <c r="AK708">
        <v>0</v>
      </c>
      <c r="AL708">
        <v>0</v>
      </c>
      <c r="AM708">
        <v>0</v>
      </c>
      <c r="AN708">
        <v>0</v>
      </c>
      <c r="AO708">
        <v>0</v>
      </c>
      <c r="AP708">
        <v>0</v>
      </c>
      <c r="AQ708">
        <v>0</v>
      </c>
      <c r="AR708">
        <v>0</v>
      </c>
      <c r="AS708">
        <v>0</v>
      </c>
      <c r="AT708">
        <f t="shared" si="35"/>
        <v>9.3216000000000001</v>
      </c>
      <c r="AU708">
        <f t="shared" si="33"/>
        <v>0</v>
      </c>
      <c r="AV708">
        <f t="shared" si="34"/>
        <v>856.54</v>
      </c>
      <c r="AW708">
        <v>53</v>
      </c>
      <c r="AX708">
        <v>599</v>
      </c>
      <c r="BC708" t="s">
        <v>60</v>
      </c>
    </row>
    <row r="709" spans="3:55" x14ac:dyDescent="0.45">
      <c r="C709">
        <v>72.599999999999994</v>
      </c>
      <c r="D709">
        <v>0</v>
      </c>
      <c r="E709">
        <v>0</v>
      </c>
      <c r="F709">
        <v>0</v>
      </c>
      <c r="G709">
        <v>0</v>
      </c>
      <c r="H709">
        <v>0</v>
      </c>
      <c r="I709">
        <v>0</v>
      </c>
      <c r="J709">
        <v>0</v>
      </c>
      <c r="K709">
        <v>20.09</v>
      </c>
      <c r="L709">
        <v>2.68</v>
      </c>
      <c r="M709">
        <v>0</v>
      </c>
      <c r="N709">
        <v>0</v>
      </c>
      <c r="O709">
        <v>4.63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1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>
        <v>0</v>
      </c>
      <c r="AI709">
        <v>0</v>
      </c>
      <c r="AJ709">
        <v>0</v>
      </c>
      <c r="AK709">
        <v>0</v>
      </c>
      <c r="AL709">
        <v>0</v>
      </c>
      <c r="AM709">
        <v>0</v>
      </c>
      <c r="AN709">
        <v>0</v>
      </c>
      <c r="AO709">
        <v>0</v>
      </c>
      <c r="AP709">
        <v>0</v>
      </c>
      <c r="AQ709">
        <v>0</v>
      </c>
      <c r="AR709">
        <v>0</v>
      </c>
      <c r="AS709">
        <v>0</v>
      </c>
      <c r="AT709">
        <f t="shared" si="35"/>
        <v>9.3238000000000003</v>
      </c>
      <c r="AU709">
        <f t="shared" si="33"/>
        <v>0</v>
      </c>
      <c r="AV709">
        <f t="shared" si="34"/>
        <v>856.54</v>
      </c>
      <c r="AW709">
        <v>51</v>
      </c>
    </row>
    <row r="710" spans="3:55" x14ac:dyDescent="0.45">
      <c r="C710">
        <v>74.48</v>
      </c>
      <c r="D710">
        <v>0</v>
      </c>
      <c r="E710">
        <v>0</v>
      </c>
      <c r="F710">
        <v>0</v>
      </c>
      <c r="G710">
        <v>0</v>
      </c>
      <c r="H710">
        <v>0</v>
      </c>
      <c r="I710">
        <v>0</v>
      </c>
      <c r="J710">
        <v>0</v>
      </c>
      <c r="K710">
        <v>19.869999999999997</v>
      </c>
      <c r="L710">
        <v>0</v>
      </c>
      <c r="M710">
        <v>1.0699999999999998</v>
      </c>
      <c r="N710">
        <v>0</v>
      </c>
      <c r="O710">
        <v>4.5699999999999994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1</v>
      </c>
      <c r="W710">
        <v>0</v>
      </c>
      <c r="X710">
        <v>0</v>
      </c>
      <c r="Y710">
        <v>0</v>
      </c>
      <c r="Z710">
        <v>1</v>
      </c>
      <c r="AA710">
        <v>0</v>
      </c>
      <c r="AB710">
        <v>0</v>
      </c>
      <c r="AC710">
        <v>0</v>
      </c>
      <c r="AD710">
        <v>0</v>
      </c>
      <c r="AE710">
        <v>1</v>
      </c>
      <c r="AF710">
        <v>0</v>
      </c>
      <c r="AG710">
        <v>0</v>
      </c>
      <c r="AH710">
        <v>0</v>
      </c>
      <c r="AI710">
        <v>0</v>
      </c>
      <c r="AJ710">
        <v>0</v>
      </c>
      <c r="AK710">
        <v>0</v>
      </c>
      <c r="AL710">
        <v>0</v>
      </c>
      <c r="AM710">
        <v>0</v>
      </c>
      <c r="AN710">
        <v>0</v>
      </c>
      <c r="AO710">
        <v>0</v>
      </c>
      <c r="AP710">
        <v>0</v>
      </c>
      <c r="AQ710">
        <v>0</v>
      </c>
      <c r="AR710">
        <v>0</v>
      </c>
      <c r="AS710">
        <v>0</v>
      </c>
      <c r="AT710">
        <f t="shared" si="35"/>
        <v>6.569</v>
      </c>
      <c r="AU710">
        <f t="shared" si="33"/>
        <v>0.35666666666666663</v>
      </c>
      <c r="AV710">
        <f t="shared" si="34"/>
        <v>886.49400000000003</v>
      </c>
      <c r="AW710">
        <v>48</v>
      </c>
      <c r="AX710">
        <v>432</v>
      </c>
      <c r="BC710" t="s">
        <v>60</v>
      </c>
    </row>
    <row r="711" spans="3:55" x14ac:dyDescent="0.45">
      <c r="C711">
        <v>72.52</v>
      </c>
      <c r="D711">
        <v>0</v>
      </c>
      <c r="E711">
        <v>0</v>
      </c>
      <c r="F711">
        <v>0</v>
      </c>
      <c r="G711">
        <v>0</v>
      </c>
      <c r="H711">
        <v>0</v>
      </c>
      <c r="I711">
        <v>0</v>
      </c>
      <c r="J711">
        <v>0</v>
      </c>
      <c r="K711">
        <v>20.29</v>
      </c>
      <c r="L711">
        <v>0</v>
      </c>
      <c r="M711">
        <v>2.52</v>
      </c>
      <c r="N711">
        <v>0</v>
      </c>
      <c r="O711">
        <v>4.67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1</v>
      </c>
      <c r="W711">
        <v>0</v>
      </c>
      <c r="X711">
        <v>0</v>
      </c>
      <c r="Y711">
        <v>0</v>
      </c>
      <c r="Z711">
        <v>1</v>
      </c>
      <c r="AA711">
        <v>0</v>
      </c>
      <c r="AB711">
        <v>0</v>
      </c>
      <c r="AC711">
        <v>0</v>
      </c>
      <c r="AD711">
        <v>0</v>
      </c>
      <c r="AE711">
        <v>1</v>
      </c>
      <c r="AF711">
        <v>0</v>
      </c>
      <c r="AG711">
        <v>0</v>
      </c>
      <c r="AH711">
        <v>0</v>
      </c>
      <c r="AI711">
        <v>0</v>
      </c>
      <c r="AJ711">
        <v>0</v>
      </c>
      <c r="AK711">
        <v>0</v>
      </c>
      <c r="AL711">
        <v>0</v>
      </c>
      <c r="AM711">
        <v>0</v>
      </c>
      <c r="AN711">
        <v>0</v>
      </c>
      <c r="AO711">
        <v>0</v>
      </c>
      <c r="AP711">
        <v>0</v>
      </c>
      <c r="AQ711">
        <v>0</v>
      </c>
      <c r="AR711">
        <v>0</v>
      </c>
      <c r="AS711">
        <v>0</v>
      </c>
      <c r="AT711">
        <f t="shared" si="35"/>
        <v>6.7086000000000006</v>
      </c>
      <c r="AU711">
        <f t="shared" si="33"/>
        <v>0.84</v>
      </c>
      <c r="AV711">
        <f t="shared" si="34"/>
        <v>892.58399999999995</v>
      </c>
      <c r="AW711">
        <v>55</v>
      </c>
      <c r="AX711">
        <v>367</v>
      </c>
      <c r="BC711" t="s">
        <v>60</v>
      </c>
    </row>
    <row r="712" spans="3:55" x14ac:dyDescent="0.45">
      <c r="C712">
        <v>71.430000000000007</v>
      </c>
      <c r="D712">
        <v>0</v>
      </c>
      <c r="E712">
        <v>0</v>
      </c>
      <c r="F712">
        <v>0</v>
      </c>
      <c r="G712">
        <v>0</v>
      </c>
      <c r="H712">
        <v>0</v>
      </c>
      <c r="I712">
        <v>0</v>
      </c>
      <c r="J712">
        <v>0</v>
      </c>
      <c r="K712">
        <v>20.52</v>
      </c>
      <c r="L712">
        <v>0</v>
      </c>
      <c r="M712">
        <v>3.32</v>
      </c>
      <c r="N712">
        <v>0</v>
      </c>
      <c r="O712">
        <v>4.72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1</v>
      </c>
      <c r="W712">
        <v>0</v>
      </c>
      <c r="X712">
        <v>0</v>
      </c>
      <c r="Y712">
        <v>0</v>
      </c>
      <c r="Z712">
        <v>1</v>
      </c>
      <c r="AA712">
        <v>0</v>
      </c>
      <c r="AB712">
        <v>0</v>
      </c>
      <c r="AC712">
        <v>0</v>
      </c>
      <c r="AD712">
        <v>0</v>
      </c>
      <c r="AE712">
        <v>1</v>
      </c>
      <c r="AF712">
        <v>0</v>
      </c>
      <c r="AG712">
        <v>0</v>
      </c>
      <c r="AH712">
        <v>0</v>
      </c>
      <c r="AI712">
        <v>0</v>
      </c>
      <c r="AJ712">
        <v>0</v>
      </c>
      <c r="AK712">
        <v>0</v>
      </c>
      <c r="AL712">
        <v>0</v>
      </c>
      <c r="AM712">
        <v>0</v>
      </c>
      <c r="AN712">
        <v>0</v>
      </c>
      <c r="AO712">
        <v>0</v>
      </c>
      <c r="AP712">
        <v>0</v>
      </c>
      <c r="AQ712">
        <v>0</v>
      </c>
      <c r="AR712">
        <v>0</v>
      </c>
      <c r="AS712">
        <v>0</v>
      </c>
      <c r="AT712">
        <f t="shared" si="35"/>
        <v>6.7840000000000007</v>
      </c>
      <c r="AU712">
        <f t="shared" si="33"/>
        <v>1.1066666666666667</v>
      </c>
      <c r="AV712">
        <f t="shared" si="34"/>
        <v>895.94399999999996</v>
      </c>
      <c r="AW712">
        <v>69</v>
      </c>
      <c r="AX712">
        <v>501</v>
      </c>
      <c r="BC712" t="s">
        <v>60</v>
      </c>
    </row>
    <row r="713" spans="3:55" x14ac:dyDescent="0.45">
      <c r="C713">
        <v>74.48</v>
      </c>
      <c r="D713">
        <v>0</v>
      </c>
      <c r="E713">
        <v>0</v>
      </c>
      <c r="F713">
        <v>0</v>
      </c>
      <c r="G713">
        <v>0</v>
      </c>
      <c r="H713">
        <v>0</v>
      </c>
      <c r="I713">
        <v>0</v>
      </c>
      <c r="J713">
        <v>0</v>
      </c>
      <c r="K713">
        <v>19.87</v>
      </c>
      <c r="L713">
        <v>0</v>
      </c>
      <c r="M713">
        <v>1.07</v>
      </c>
      <c r="N713">
        <v>0</v>
      </c>
      <c r="O713">
        <v>4.58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1</v>
      </c>
      <c r="Z713">
        <v>0</v>
      </c>
      <c r="AA713">
        <v>0</v>
      </c>
      <c r="AB713">
        <v>0</v>
      </c>
      <c r="AC713">
        <v>0</v>
      </c>
      <c r="AD713">
        <v>0</v>
      </c>
      <c r="AE713">
        <v>0</v>
      </c>
      <c r="AF713">
        <v>0</v>
      </c>
      <c r="AG713">
        <v>0</v>
      </c>
      <c r="AH713">
        <v>0</v>
      </c>
      <c r="AI713">
        <v>0</v>
      </c>
      <c r="AJ713">
        <v>0</v>
      </c>
      <c r="AK713">
        <v>0</v>
      </c>
      <c r="AL713">
        <v>0</v>
      </c>
      <c r="AM713">
        <v>0</v>
      </c>
      <c r="AN713">
        <v>0</v>
      </c>
      <c r="AO713">
        <v>0</v>
      </c>
      <c r="AP713">
        <v>0</v>
      </c>
      <c r="AQ713">
        <v>0</v>
      </c>
      <c r="AR713">
        <v>0</v>
      </c>
      <c r="AS713">
        <v>0</v>
      </c>
      <c r="AT713">
        <f t="shared" si="35"/>
        <v>6.571200000000001</v>
      </c>
      <c r="AU713">
        <f t="shared" si="33"/>
        <v>0.35666666666666669</v>
      </c>
      <c r="AV713">
        <f t="shared" si="34"/>
        <v>886.49400000000003</v>
      </c>
      <c r="AW713">
        <v>69</v>
      </c>
    </row>
    <row r="714" spans="3:55" x14ac:dyDescent="0.45">
      <c r="C714">
        <v>74.050000000000011</v>
      </c>
      <c r="D714">
        <v>0</v>
      </c>
      <c r="E714">
        <v>0</v>
      </c>
      <c r="F714">
        <v>2.1999999999999997</v>
      </c>
      <c r="G714">
        <v>0</v>
      </c>
      <c r="H714">
        <v>3.0700000000000003</v>
      </c>
      <c r="I714">
        <v>0</v>
      </c>
      <c r="J714">
        <v>20.68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1</v>
      </c>
      <c r="Z714">
        <v>0</v>
      </c>
      <c r="AA714">
        <v>0</v>
      </c>
      <c r="AB714">
        <v>0</v>
      </c>
      <c r="AC714">
        <v>0</v>
      </c>
      <c r="AD714">
        <v>0</v>
      </c>
      <c r="AE714">
        <v>0</v>
      </c>
      <c r="AF714">
        <v>0</v>
      </c>
      <c r="AG714">
        <v>0</v>
      </c>
      <c r="AH714">
        <v>0</v>
      </c>
      <c r="AI714">
        <v>0</v>
      </c>
      <c r="AJ714">
        <v>0</v>
      </c>
      <c r="AK714">
        <v>0</v>
      </c>
      <c r="AL714">
        <v>0</v>
      </c>
      <c r="AM714">
        <v>0</v>
      </c>
      <c r="AN714">
        <v>0</v>
      </c>
      <c r="AO714">
        <v>0</v>
      </c>
      <c r="AP714">
        <v>0</v>
      </c>
      <c r="AQ714">
        <v>0</v>
      </c>
      <c r="AR714">
        <v>0</v>
      </c>
      <c r="AS714">
        <v>0</v>
      </c>
      <c r="AT714">
        <f t="shared" si="35"/>
        <v>12.423</v>
      </c>
      <c r="AU714">
        <f t="shared" si="33"/>
        <v>3.4466666666666668</v>
      </c>
      <c r="AV714">
        <f t="shared" si="34"/>
        <v>665.41</v>
      </c>
      <c r="AW714">
        <v>140</v>
      </c>
      <c r="AX714">
        <v>1049</v>
      </c>
      <c r="BC714" t="s">
        <v>60</v>
      </c>
    </row>
    <row r="715" spans="3:55" x14ac:dyDescent="0.45">
      <c r="C715">
        <v>71.91</v>
      </c>
      <c r="D715">
        <v>0</v>
      </c>
      <c r="E715">
        <v>0</v>
      </c>
      <c r="F715">
        <v>2.21</v>
      </c>
      <c r="G715">
        <v>0</v>
      </c>
      <c r="H715">
        <v>5.1400000000000006</v>
      </c>
      <c r="I715">
        <v>0</v>
      </c>
      <c r="J715">
        <v>20.75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1</v>
      </c>
      <c r="Z715">
        <v>0</v>
      </c>
      <c r="AA715">
        <v>0</v>
      </c>
      <c r="AB715">
        <v>0</v>
      </c>
      <c r="AC715">
        <v>0</v>
      </c>
      <c r="AD715">
        <v>0</v>
      </c>
      <c r="AE715">
        <v>0</v>
      </c>
      <c r="AF715">
        <v>0</v>
      </c>
      <c r="AG715">
        <v>0</v>
      </c>
      <c r="AH715">
        <v>0</v>
      </c>
      <c r="AI715">
        <v>0</v>
      </c>
      <c r="AJ715">
        <v>0</v>
      </c>
      <c r="AK715">
        <v>0</v>
      </c>
      <c r="AL715">
        <v>0</v>
      </c>
      <c r="AM715">
        <v>0</v>
      </c>
      <c r="AN715">
        <v>0</v>
      </c>
      <c r="AO715">
        <v>0</v>
      </c>
      <c r="AP715">
        <v>0</v>
      </c>
      <c r="AQ715">
        <v>0</v>
      </c>
      <c r="AR715">
        <v>0</v>
      </c>
      <c r="AS715">
        <v>0</v>
      </c>
      <c r="AT715">
        <f t="shared" si="35"/>
        <v>18.442</v>
      </c>
      <c r="AU715">
        <f t="shared" si="33"/>
        <v>3.4583333333333335</v>
      </c>
      <c r="AV715">
        <f t="shared" si="34"/>
        <v>632.92800000000011</v>
      </c>
      <c r="AW715">
        <v>145</v>
      </c>
      <c r="AX715">
        <v>1130</v>
      </c>
      <c r="BC715" t="s">
        <v>60</v>
      </c>
    </row>
    <row r="716" spans="3:55" x14ac:dyDescent="0.45">
      <c r="C716">
        <v>69.75</v>
      </c>
      <c r="D716">
        <v>0</v>
      </c>
      <c r="E716">
        <v>0</v>
      </c>
      <c r="F716">
        <v>2.21</v>
      </c>
      <c r="G716">
        <v>0</v>
      </c>
      <c r="H716">
        <v>7.22</v>
      </c>
      <c r="I716">
        <v>0</v>
      </c>
      <c r="J716">
        <v>20.82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1</v>
      </c>
      <c r="Z716">
        <v>0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>
        <v>0</v>
      </c>
      <c r="AH716">
        <v>0</v>
      </c>
      <c r="AI716">
        <v>0</v>
      </c>
      <c r="AJ716">
        <v>0</v>
      </c>
      <c r="AK716">
        <v>0</v>
      </c>
      <c r="AL716">
        <v>0</v>
      </c>
      <c r="AM716">
        <v>0</v>
      </c>
      <c r="AN716">
        <v>0</v>
      </c>
      <c r="AO716">
        <v>0</v>
      </c>
      <c r="AP716">
        <v>0</v>
      </c>
      <c r="AQ716">
        <v>0</v>
      </c>
      <c r="AR716">
        <v>0</v>
      </c>
      <c r="AS716">
        <v>0</v>
      </c>
      <c r="AT716">
        <f t="shared" si="35"/>
        <v>24.474</v>
      </c>
      <c r="AU716">
        <f t="shared" si="33"/>
        <v>3.47</v>
      </c>
      <c r="AV716">
        <f t="shared" si="34"/>
        <v>600.41300000000001</v>
      </c>
      <c r="AW716">
        <v>157</v>
      </c>
      <c r="AX716">
        <v>1239</v>
      </c>
      <c r="BC716" t="s">
        <v>60</v>
      </c>
    </row>
    <row r="717" spans="3:55" x14ac:dyDescent="0.45">
      <c r="C717">
        <v>71.8</v>
      </c>
      <c r="D717">
        <v>0</v>
      </c>
      <c r="E717">
        <v>0</v>
      </c>
      <c r="F717">
        <v>4.41</v>
      </c>
      <c r="G717">
        <v>0</v>
      </c>
      <c r="H717">
        <v>3.08</v>
      </c>
      <c r="I717">
        <v>0</v>
      </c>
      <c r="J717">
        <v>20.72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1</v>
      </c>
      <c r="Z717">
        <v>0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>
        <v>0</v>
      </c>
      <c r="AH717">
        <v>0</v>
      </c>
      <c r="AI717">
        <v>0</v>
      </c>
      <c r="AJ717">
        <v>0</v>
      </c>
      <c r="AK717">
        <v>0</v>
      </c>
      <c r="AL717">
        <v>0</v>
      </c>
      <c r="AM717">
        <v>0</v>
      </c>
      <c r="AN717">
        <v>0</v>
      </c>
      <c r="AO717">
        <v>0</v>
      </c>
      <c r="AP717">
        <v>0</v>
      </c>
      <c r="AQ717">
        <v>0</v>
      </c>
      <c r="AR717">
        <v>0</v>
      </c>
      <c r="AS717">
        <v>0</v>
      </c>
      <c r="AT717">
        <f t="shared" si="35"/>
        <v>15.988000000000001</v>
      </c>
      <c r="AU717">
        <f t="shared" si="33"/>
        <v>3.4533333333333331</v>
      </c>
      <c r="AV717">
        <f t="shared" si="34"/>
        <v>638.23900000000003</v>
      </c>
      <c r="AW717">
        <v>130</v>
      </c>
      <c r="AX717">
        <v>1113</v>
      </c>
      <c r="BC717" t="s">
        <v>60</v>
      </c>
    </row>
    <row r="718" spans="3:55" x14ac:dyDescent="0.45">
      <c r="C718">
        <v>69.64</v>
      </c>
      <c r="D718">
        <v>0</v>
      </c>
      <c r="E718">
        <v>0</v>
      </c>
      <c r="F718">
        <v>4.42</v>
      </c>
      <c r="G718">
        <v>0</v>
      </c>
      <c r="H718">
        <v>5.1499999999999995</v>
      </c>
      <c r="I718">
        <v>0</v>
      </c>
      <c r="J718">
        <v>20.79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1</v>
      </c>
      <c r="Z718">
        <v>0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>
        <v>0</v>
      </c>
      <c r="AH718">
        <v>0</v>
      </c>
      <c r="AI718">
        <v>0</v>
      </c>
      <c r="AJ718">
        <v>0</v>
      </c>
      <c r="AK718">
        <v>0</v>
      </c>
      <c r="AL718">
        <v>0</v>
      </c>
      <c r="AM718">
        <v>0</v>
      </c>
      <c r="AN718">
        <v>0</v>
      </c>
      <c r="AO718">
        <v>0</v>
      </c>
      <c r="AP718">
        <v>0</v>
      </c>
      <c r="AQ718">
        <v>0</v>
      </c>
      <c r="AR718">
        <v>0</v>
      </c>
      <c r="AS718">
        <v>0</v>
      </c>
      <c r="AT718">
        <f t="shared" si="35"/>
        <v>22.006999999999998</v>
      </c>
      <c r="AU718">
        <f t="shared" si="33"/>
        <v>3.4649999999999999</v>
      </c>
      <c r="AV718">
        <f t="shared" si="34"/>
        <v>605.75700000000006</v>
      </c>
      <c r="AW718">
        <v>142</v>
      </c>
      <c r="AX718">
        <v>1210</v>
      </c>
      <c r="BC718" t="s">
        <v>60</v>
      </c>
    </row>
    <row r="719" spans="3:55" x14ac:dyDescent="0.45">
      <c r="C719">
        <v>67.47</v>
      </c>
      <c r="D719">
        <v>0</v>
      </c>
      <c r="E719">
        <v>0</v>
      </c>
      <c r="F719">
        <v>4.4400000000000004</v>
      </c>
      <c r="G719">
        <v>0</v>
      </c>
      <c r="H719">
        <v>7.23</v>
      </c>
      <c r="I719">
        <v>0</v>
      </c>
      <c r="J719">
        <v>20.86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1</v>
      </c>
      <c r="Z719">
        <v>0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>
        <v>0</v>
      </c>
      <c r="AI719">
        <v>0</v>
      </c>
      <c r="AJ719">
        <v>0</v>
      </c>
      <c r="AK719">
        <v>0</v>
      </c>
      <c r="AL719">
        <v>0</v>
      </c>
      <c r="AM719">
        <v>0</v>
      </c>
      <c r="AN719">
        <v>0</v>
      </c>
      <c r="AO719">
        <v>0</v>
      </c>
      <c r="AP719">
        <v>0</v>
      </c>
      <c r="AQ719">
        <v>0</v>
      </c>
      <c r="AR719">
        <v>0</v>
      </c>
      <c r="AS719">
        <v>0</v>
      </c>
      <c r="AT719">
        <f t="shared" si="35"/>
        <v>28.071000000000005</v>
      </c>
      <c r="AU719">
        <f t="shared" si="33"/>
        <v>3.4766666666666666</v>
      </c>
      <c r="AV719">
        <f t="shared" si="34"/>
        <v>573</v>
      </c>
      <c r="AW719">
        <v>149</v>
      </c>
      <c r="AX719">
        <v>1287</v>
      </c>
      <c r="BC719" t="s">
        <v>60</v>
      </c>
    </row>
    <row r="720" spans="3:55" x14ac:dyDescent="0.45">
      <c r="C720">
        <v>88.06</v>
      </c>
      <c r="D720">
        <v>0</v>
      </c>
      <c r="E720">
        <v>0</v>
      </c>
      <c r="F720">
        <v>0</v>
      </c>
      <c r="G720">
        <v>0</v>
      </c>
      <c r="H720">
        <v>1.8900000000000001</v>
      </c>
      <c r="I720">
        <v>0</v>
      </c>
      <c r="J720">
        <v>3.47</v>
      </c>
      <c r="K720">
        <v>0</v>
      </c>
      <c r="L720">
        <v>6.59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1</v>
      </c>
      <c r="W720">
        <v>0</v>
      </c>
      <c r="X720">
        <v>0</v>
      </c>
      <c r="Y720">
        <v>0</v>
      </c>
      <c r="Z720">
        <v>1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1</v>
      </c>
      <c r="AG720">
        <v>0</v>
      </c>
      <c r="AH720">
        <v>0</v>
      </c>
      <c r="AI720">
        <v>0</v>
      </c>
      <c r="AJ720">
        <v>0</v>
      </c>
      <c r="AK720">
        <v>0</v>
      </c>
      <c r="AL720">
        <v>0</v>
      </c>
      <c r="AM720">
        <v>0</v>
      </c>
      <c r="AN720">
        <v>0</v>
      </c>
      <c r="AO720">
        <v>0</v>
      </c>
      <c r="AP720">
        <v>0</v>
      </c>
      <c r="AQ720">
        <v>0</v>
      </c>
      <c r="AR720">
        <v>0</v>
      </c>
      <c r="AS720">
        <v>0</v>
      </c>
      <c r="AT720">
        <f t="shared" si="35"/>
        <v>12.071</v>
      </c>
      <c r="AU720">
        <f t="shared" si="33"/>
        <v>0.57833333333333337</v>
      </c>
      <c r="AV720">
        <f t="shared" si="34"/>
        <v>766.346</v>
      </c>
      <c r="AW720">
        <v>79.5</v>
      </c>
      <c r="AX720">
        <v>897</v>
      </c>
      <c r="BC720" t="s">
        <v>60</v>
      </c>
    </row>
    <row r="721" spans="3:55" x14ac:dyDescent="0.45">
      <c r="C721">
        <v>82.96</v>
      </c>
      <c r="D721">
        <v>3.7699999999999996</v>
      </c>
      <c r="E721">
        <v>0</v>
      </c>
      <c r="F721">
        <v>4.9000000000000004</v>
      </c>
      <c r="G721">
        <v>0</v>
      </c>
      <c r="H721">
        <v>0</v>
      </c>
      <c r="I721">
        <v>0</v>
      </c>
      <c r="J721">
        <v>8.3699999999999992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1</v>
      </c>
      <c r="W721">
        <v>0</v>
      </c>
      <c r="X721">
        <v>0</v>
      </c>
      <c r="Y721">
        <v>0</v>
      </c>
      <c r="Z721">
        <v>1</v>
      </c>
      <c r="AA721">
        <v>0</v>
      </c>
      <c r="AB721">
        <v>0</v>
      </c>
      <c r="AC721">
        <v>0</v>
      </c>
      <c r="AD721">
        <v>0</v>
      </c>
      <c r="AE721">
        <v>1</v>
      </c>
      <c r="AF721">
        <v>0</v>
      </c>
      <c r="AG721">
        <v>0</v>
      </c>
      <c r="AH721">
        <v>0</v>
      </c>
      <c r="AI721">
        <v>0</v>
      </c>
      <c r="AJ721">
        <v>0</v>
      </c>
      <c r="AK721">
        <v>0</v>
      </c>
      <c r="AL721">
        <v>0</v>
      </c>
      <c r="AM721">
        <v>0</v>
      </c>
      <c r="AN721">
        <v>0</v>
      </c>
      <c r="AO721">
        <v>0</v>
      </c>
      <c r="AP721">
        <v>0</v>
      </c>
      <c r="AQ721">
        <v>0</v>
      </c>
      <c r="AR721">
        <v>0</v>
      </c>
      <c r="AS721">
        <v>0</v>
      </c>
      <c r="AT721">
        <f t="shared" si="35"/>
        <v>4.0700000000000012</v>
      </c>
      <c r="AU721">
        <f t="shared" si="33"/>
        <v>5.1649999999999991</v>
      </c>
      <c r="AV721">
        <f t="shared" si="34"/>
        <v>772.87400000000002</v>
      </c>
      <c r="AW721">
        <v>58</v>
      </c>
      <c r="AX721">
        <v>625.4</v>
      </c>
      <c r="BC721" t="s">
        <v>60</v>
      </c>
    </row>
    <row r="722" spans="3:55" x14ac:dyDescent="0.45">
      <c r="C722">
        <v>87.94</v>
      </c>
      <c r="D722">
        <v>0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3.54</v>
      </c>
      <c r="K722">
        <v>0</v>
      </c>
      <c r="L722">
        <v>6.47</v>
      </c>
      <c r="M722">
        <v>2.0499999999999998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1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0</v>
      </c>
      <c r="AG722">
        <v>0</v>
      </c>
      <c r="AH722">
        <v>0</v>
      </c>
      <c r="AI722">
        <v>0</v>
      </c>
      <c r="AJ722">
        <v>0</v>
      </c>
      <c r="AK722">
        <v>0</v>
      </c>
      <c r="AL722">
        <v>0</v>
      </c>
      <c r="AM722">
        <v>0</v>
      </c>
      <c r="AN722">
        <v>0</v>
      </c>
      <c r="AO722">
        <v>0</v>
      </c>
      <c r="AP722">
        <v>0</v>
      </c>
      <c r="AQ722">
        <v>0</v>
      </c>
      <c r="AR722">
        <v>0</v>
      </c>
      <c r="AS722">
        <v>0</v>
      </c>
      <c r="AT722">
        <f t="shared" si="35"/>
        <v>6.47</v>
      </c>
      <c r="AU722">
        <f t="shared" si="33"/>
        <v>1.2733333333333332</v>
      </c>
      <c r="AV722">
        <f t="shared" si="34"/>
        <v>804.71899999999994</v>
      </c>
      <c r="AW722">
        <v>83</v>
      </c>
    </row>
    <row r="723" spans="3:55" x14ac:dyDescent="0.45">
      <c r="C723">
        <v>54</v>
      </c>
      <c r="D723">
        <v>0</v>
      </c>
      <c r="E723">
        <v>0</v>
      </c>
      <c r="F723">
        <v>0</v>
      </c>
      <c r="G723">
        <v>0</v>
      </c>
      <c r="H723">
        <v>0</v>
      </c>
      <c r="I723">
        <v>0</v>
      </c>
      <c r="J723">
        <v>3</v>
      </c>
      <c r="K723">
        <v>35</v>
      </c>
      <c r="L723">
        <v>3</v>
      </c>
      <c r="M723">
        <v>5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1</v>
      </c>
      <c r="Z723">
        <v>0</v>
      </c>
      <c r="AA723">
        <v>0</v>
      </c>
      <c r="AB723">
        <v>0</v>
      </c>
      <c r="AC723">
        <v>800</v>
      </c>
      <c r="AD723">
        <v>0.5</v>
      </c>
      <c r="AE723">
        <v>1</v>
      </c>
      <c r="AF723">
        <v>0</v>
      </c>
      <c r="AG723">
        <v>0</v>
      </c>
      <c r="AH723">
        <v>0</v>
      </c>
      <c r="AI723">
        <v>0</v>
      </c>
      <c r="AJ723">
        <v>0</v>
      </c>
      <c r="AK723">
        <v>0</v>
      </c>
      <c r="AL723">
        <v>0</v>
      </c>
      <c r="AM723">
        <v>0</v>
      </c>
      <c r="AN723">
        <v>0</v>
      </c>
      <c r="AO723">
        <v>0</v>
      </c>
      <c r="AP723">
        <v>0</v>
      </c>
      <c r="AQ723">
        <v>0</v>
      </c>
      <c r="AR723">
        <v>0</v>
      </c>
      <c r="AS723">
        <v>0</v>
      </c>
      <c r="AT723">
        <f t="shared" si="35"/>
        <v>12.8</v>
      </c>
      <c r="AU723">
        <f t="shared" si="33"/>
        <v>2.166666666666667</v>
      </c>
      <c r="AV723">
        <f t="shared" si="34"/>
        <v>853.8</v>
      </c>
      <c r="AW723">
        <v>70</v>
      </c>
      <c r="AX723">
        <v>668</v>
      </c>
      <c r="AY723">
        <v>690</v>
      </c>
      <c r="AZ723">
        <v>18</v>
      </c>
      <c r="BC723" t="s">
        <v>158</v>
      </c>
    </row>
    <row r="724" spans="3:55" x14ac:dyDescent="0.45">
      <c r="C724">
        <v>51</v>
      </c>
      <c r="D724">
        <v>0</v>
      </c>
      <c r="E724">
        <v>0</v>
      </c>
      <c r="F724">
        <v>0</v>
      </c>
      <c r="G724">
        <v>0</v>
      </c>
      <c r="H724">
        <v>0</v>
      </c>
      <c r="I724">
        <v>0</v>
      </c>
      <c r="J724">
        <v>3</v>
      </c>
      <c r="K724">
        <v>35</v>
      </c>
      <c r="L724">
        <v>6</v>
      </c>
      <c r="M724">
        <v>5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1</v>
      </c>
      <c r="Z724">
        <v>0</v>
      </c>
      <c r="AA724">
        <v>0</v>
      </c>
      <c r="AB724">
        <v>0</v>
      </c>
      <c r="AC724">
        <v>800</v>
      </c>
      <c r="AD724">
        <v>0.5</v>
      </c>
      <c r="AE724">
        <v>1</v>
      </c>
      <c r="AF724">
        <v>0</v>
      </c>
      <c r="AG724">
        <v>0</v>
      </c>
      <c r="AH724">
        <v>0</v>
      </c>
      <c r="AI724">
        <v>0</v>
      </c>
      <c r="AJ724">
        <v>0</v>
      </c>
      <c r="AK724">
        <v>0</v>
      </c>
      <c r="AL724">
        <v>0</v>
      </c>
      <c r="AM724">
        <v>0</v>
      </c>
      <c r="AN724">
        <v>0</v>
      </c>
      <c r="AO724">
        <v>0</v>
      </c>
      <c r="AP724">
        <v>0</v>
      </c>
      <c r="AQ724">
        <v>0</v>
      </c>
      <c r="AR724">
        <v>0</v>
      </c>
      <c r="AS724">
        <v>0</v>
      </c>
      <c r="AT724">
        <f t="shared" si="35"/>
        <v>15.8</v>
      </c>
      <c r="AU724">
        <f t="shared" si="33"/>
        <v>2.166666666666667</v>
      </c>
      <c r="AV724">
        <f t="shared" si="34"/>
        <v>825.3</v>
      </c>
      <c r="AW724">
        <v>85</v>
      </c>
      <c r="AX724">
        <v>729</v>
      </c>
      <c r="AY724">
        <v>770</v>
      </c>
      <c r="AZ724">
        <v>10.5</v>
      </c>
      <c r="BC724" t="s">
        <v>158</v>
      </c>
    </row>
    <row r="725" spans="3:55" x14ac:dyDescent="0.45">
      <c r="C725">
        <v>44</v>
      </c>
      <c r="D725">
        <v>0</v>
      </c>
      <c r="E725">
        <v>0</v>
      </c>
      <c r="F725">
        <v>0</v>
      </c>
      <c r="G725">
        <v>0</v>
      </c>
      <c r="H725">
        <v>0</v>
      </c>
      <c r="I725">
        <v>0</v>
      </c>
      <c r="J725">
        <v>9</v>
      </c>
      <c r="K725">
        <v>35</v>
      </c>
      <c r="L725">
        <v>9</v>
      </c>
      <c r="M725">
        <v>3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1</v>
      </c>
      <c r="Z725">
        <v>0</v>
      </c>
      <c r="AA725">
        <v>0</v>
      </c>
      <c r="AB725">
        <v>0</v>
      </c>
      <c r="AC725">
        <v>800</v>
      </c>
      <c r="AD725">
        <v>0.5</v>
      </c>
      <c r="AE725">
        <v>1</v>
      </c>
      <c r="AF725">
        <v>0</v>
      </c>
      <c r="AG725">
        <v>0</v>
      </c>
      <c r="AH725">
        <v>0</v>
      </c>
      <c r="AI725">
        <v>0</v>
      </c>
      <c r="AJ725">
        <v>0</v>
      </c>
      <c r="AK725">
        <v>0</v>
      </c>
      <c r="AL725">
        <v>0</v>
      </c>
      <c r="AM725">
        <v>0</v>
      </c>
      <c r="AN725">
        <v>0</v>
      </c>
      <c r="AO725">
        <v>0</v>
      </c>
      <c r="AP725">
        <v>0</v>
      </c>
      <c r="AQ725">
        <v>0</v>
      </c>
      <c r="AR725">
        <v>0</v>
      </c>
      <c r="AS725">
        <v>0</v>
      </c>
      <c r="AT725">
        <f t="shared" si="35"/>
        <v>18.8</v>
      </c>
      <c r="AU725">
        <f t="shared" si="33"/>
        <v>2.5</v>
      </c>
      <c r="AV725">
        <f t="shared" si="34"/>
        <v>747</v>
      </c>
      <c r="AW725">
        <v>70</v>
      </c>
      <c r="AX725">
        <v>781</v>
      </c>
      <c r="AY725">
        <v>833</v>
      </c>
      <c r="AZ725">
        <v>10.199999999999999</v>
      </c>
      <c r="BC725" t="s">
        <v>158</v>
      </c>
    </row>
    <row r="726" spans="3:55" x14ac:dyDescent="0.45">
      <c r="C726">
        <v>52</v>
      </c>
      <c r="D726">
        <v>0</v>
      </c>
      <c r="E726">
        <v>0</v>
      </c>
      <c r="F726">
        <v>0</v>
      </c>
      <c r="G726">
        <v>0</v>
      </c>
      <c r="H726">
        <v>0</v>
      </c>
      <c r="I726">
        <v>0</v>
      </c>
      <c r="J726">
        <v>6</v>
      </c>
      <c r="K726">
        <v>35</v>
      </c>
      <c r="L726">
        <v>3</v>
      </c>
      <c r="M726">
        <v>4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1</v>
      </c>
      <c r="Z726">
        <v>0</v>
      </c>
      <c r="AA726">
        <v>0</v>
      </c>
      <c r="AB726">
        <v>0</v>
      </c>
      <c r="AC726">
        <v>800</v>
      </c>
      <c r="AD726">
        <v>0.5</v>
      </c>
      <c r="AE726">
        <v>1</v>
      </c>
      <c r="AF726">
        <v>0</v>
      </c>
      <c r="AG726">
        <v>0</v>
      </c>
      <c r="AH726">
        <v>0</v>
      </c>
      <c r="AI726">
        <v>0</v>
      </c>
      <c r="AJ726">
        <v>0</v>
      </c>
      <c r="AK726">
        <v>0</v>
      </c>
      <c r="AL726">
        <v>0</v>
      </c>
      <c r="AM726">
        <v>0</v>
      </c>
      <c r="AN726">
        <v>0</v>
      </c>
      <c r="AO726">
        <v>0</v>
      </c>
      <c r="AP726">
        <v>0</v>
      </c>
      <c r="AQ726">
        <v>0</v>
      </c>
      <c r="AR726">
        <v>0</v>
      </c>
      <c r="AS726">
        <v>0</v>
      </c>
      <c r="AT726">
        <f t="shared" si="35"/>
        <v>12.8</v>
      </c>
      <c r="AU726">
        <f t="shared" si="33"/>
        <v>2.333333333333333</v>
      </c>
      <c r="AV726">
        <f t="shared" si="34"/>
        <v>828.9</v>
      </c>
      <c r="AW726">
        <v>55</v>
      </c>
      <c r="AX726">
        <v>654</v>
      </c>
      <c r="AY726">
        <v>666</v>
      </c>
      <c r="AZ726">
        <v>8.9</v>
      </c>
      <c r="BC726" t="s">
        <v>158</v>
      </c>
    </row>
    <row r="727" spans="3:55" x14ac:dyDescent="0.45">
      <c r="C727">
        <v>68</v>
      </c>
      <c r="D727">
        <v>0</v>
      </c>
      <c r="E727">
        <v>0</v>
      </c>
      <c r="F727">
        <v>0</v>
      </c>
      <c r="G727">
        <v>0</v>
      </c>
      <c r="H727">
        <v>0</v>
      </c>
      <c r="I727">
        <v>0</v>
      </c>
      <c r="J727">
        <v>10</v>
      </c>
      <c r="K727">
        <v>10.199999999999999</v>
      </c>
      <c r="L727">
        <v>5.3</v>
      </c>
      <c r="M727">
        <v>6.5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1</v>
      </c>
      <c r="Z727">
        <v>0</v>
      </c>
      <c r="AA727">
        <v>0</v>
      </c>
      <c r="AB727">
        <v>0</v>
      </c>
      <c r="AC727">
        <v>0</v>
      </c>
      <c r="AD727">
        <v>0</v>
      </c>
      <c r="AE727">
        <v>0</v>
      </c>
      <c r="AF727">
        <v>0</v>
      </c>
      <c r="AG727">
        <v>0</v>
      </c>
      <c r="AH727">
        <v>0</v>
      </c>
      <c r="AI727">
        <v>0</v>
      </c>
      <c r="AJ727">
        <v>0</v>
      </c>
      <c r="AK727">
        <v>0</v>
      </c>
      <c r="AL727">
        <v>0</v>
      </c>
      <c r="AM727">
        <v>0</v>
      </c>
      <c r="AN727">
        <v>0</v>
      </c>
      <c r="AO727">
        <v>0</v>
      </c>
      <c r="AP727">
        <v>0</v>
      </c>
      <c r="AQ727">
        <v>0</v>
      </c>
      <c r="AR727">
        <v>0</v>
      </c>
      <c r="AS727">
        <v>0</v>
      </c>
      <c r="AT727">
        <f t="shared" si="35"/>
        <v>8.1559999999999988</v>
      </c>
      <c r="AU727">
        <f t="shared" si="33"/>
        <v>3.833333333333333</v>
      </c>
      <c r="AV727">
        <f t="shared" si="34"/>
        <v>789.94999999999993</v>
      </c>
      <c r="AW727">
        <v>48</v>
      </c>
      <c r="AX727">
        <v>478</v>
      </c>
      <c r="AY727">
        <v>715</v>
      </c>
      <c r="AZ727">
        <v>7.6</v>
      </c>
      <c r="BC727" t="s">
        <v>159</v>
      </c>
    </row>
    <row r="728" spans="3:55" x14ac:dyDescent="0.45">
      <c r="C728">
        <v>61.7</v>
      </c>
      <c r="D728">
        <v>0</v>
      </c>
      <c r="E728">
        <v>0</v>
      </c>
      <c r="F728">
        <v>0</v>
      </c>
      <c r="G728">
        <v>0</v>
      </c>
      <c r="H728">
        <v>0</v>
      </c>
      <c r="I728">
        <v>0</v>
      </c>
      <c r="J728">
        <v>9.1</v>
      </c>
      <c r="K728">
        <v>18.5</v>
      </c>
      <c r="L728">
        <v>4.8</v>
      </c>
      <c r="M728">
        <v>5.9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1</v>
      </c>
      <c r="Z728">
        <v>0</v>
      </c>
      <c r="AA728">
        <v>0</v>
      </c>
      <c r="AB728">
        <v>0</v>
      </c>
      <c r="AC728">
        <v>0</v>
      </c>
      <c r="AD728">
        <v>0</v>
      </c>
      <c r="AE728">
        <v>0</v>
      </c>
      <c r="AF728">
        <v>0</v>
      </c>
      <c r="AG728">
        <v>0</v>
      </c>
      <c r="AH728">
        <v>0</v>
      </c>
      <c r="AI728">
        <v>0</v>
      </c>
      <c r="AJ728">
        <v>0</v>
      </c>
      <c r="AK728">
        <v>0</v>
      </c>
      <c r="AL728">
        <v>0</v>
      </c>
      <c r="AM728">
        <v>0</v>
      </c>
      <c r="AN728">
        <v>0</v>
      </c>
      <c r="AO728">
        <v>0</v>
      </c>
      <c r="AP728">
        <v>0</v>
      </c>
      <c r="AQ728">
        <v>0</v>
      </c>
      <c r="AR728">
        <v>0</v>
      </c>
      <c r="AS728">
        <v>0</v>
      </c>
      <c r="AT728">
        <f t="shared" si="35"/>
        <v>9.98</v>
      </c>
      <c r="AU728">
        <f t="shared" si="33"/>
        <v>3.4833333333333334</v>
      </c>
      <c r="AV728">
        <f t="shared" si="34"/>
        <v>798.39</v>
      </c>
      <c r="AW728">
        <v>72</v>
      </c>
      <c r="AX728">
        <v>499</v>
      </c>
      <c r="AY728">
        <v>519</v>
      </c>
      <c r="AZ728">
        <v>6.4</v>
      </c>
      <c r="BC728" t="s">
        <v>159</v>
      </c>
    </row>
    <row r="729" spans="3:55" x14ac:dyDescent="0.45">
      <c r="C729">
        <v>65.599999999999994</v>
      </c>
      <c r="D729">
        <v>0</v>
      </c>
      <c r="E729">
        <v>0</v>
      </c>
      <c r="F729">
        <v>0</v>
      </c>
      <c r="G729">
        <v>0</v>
      </c>
      <c r="H729">
        <v>0</v>
      </c>
      <c r="I729">
        <v>0</v>
      </c>
      <c r="J729">
        <v>9.3000000000000007</v>
      </c>
      <c r="K729">
        <v>14.2</v>
      </c>
      <c r="L729">
        <v>4.9000000000000004</v>
      </c>
      <c r="M729">
        <v>6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1</v>
      </c>
      <c r="Z729">
        <v>0</v>
      </c>
      <c r="AA729">
        <v>0</v>
      </c>
      <c r="AB729">
        <v>0</v>
      </c>
      <c r="AC729">
        <v>0</v>
      </c>
      <c r="AD729">
        <v>0</v>
      </c>
      <c r="AE729">
        <v>0</v>
      </c>
      <c r="AF729">
        <v>0</v>
      </c>
      <c r="AG729">
        <v>0</v>
      </c>
      <c r="AH729">
        <v>0</v>
      </c>
      <c r="AI729">
        <v>0</v>
      </c>
      <c r="AJ729">
        <v>0</v>
      </c>
      <c r="AK729">
        <v>0</v>
      </c>
      <c r="AL729">
        <v>0</v>
      </c>
      <c r="AM729">
        <v>0</v>
      </c>
      <c r="AN729">
        <v>0</v>
      </c>
      <c r="AO729">
        <v>0</v>
      </c>
      <c r="AP729">
        <v>0</v>
      </c>
      <c r="AQ729">
        <v>0</v>
      </c>
      <c r="AR729">
        <v>0</v>
      </c>
      <c r="AS729">
        <v>0</v>
      </c>
      <c r="AT729">
        <f t="shared" si="35"/>
        <v>8.8760000000000012</v>
      </c>
      <c r="AU729">
        <f t="shared" si="33"/>
        <v>3.55</v>
      </c>
      <c r="AV729">
        <f t="shared" si="34"/>
        <v>796.48000000000013</v>
      </c>
      <c r="AW729">
        <v>56</v>
      </c>
      <c r="AX729">
        <v>566</v>
      </c>
      <c r="AY729">
        <v>701</v>
      </c>
      <c r="AZ729">
        <v>13.6</v>
      </c>
      <c r="BC729" t="s">
        <v>159</v>
      </c>
    </row>
    <row r="730" spans="3:55" x14ac:dyDescent="0.45">
      <c r="C730">
        <v>69.599999999999994</v>
      </c>
      <c r="D730">
        <v>0</v>
      </c>
      <c r="E730">
        <v>0</v>
      </c>
      <c r="F730">
        <v>0</v>
      </c>
      <c r="G730">
        <v>0</v>
      </c>
      <c r="H730">
        <v>0</v>
      </c>
      <c r="I730">
        <v>0</v>
      </c>
      <c r="J730">
        <v>9.5</v>
      </c>
      <c r="K730">
        <v>9.6999999999999993</v>
      </c>
      <c r="L730">
        <v>5</v>
      </c>
      <c r="M730">
        <v>6.2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1</v>
      </c>
      <c r="Z730">
        <v>0</v>
      </c>
      <c r="AA730">
        <v>0</v>
      </c>
      <c r="AB730">
        <v>0</v>
      </c>
      <c r="AC730">
        <v>0</v>
      </c>
      <c r="AD730">
        <v>0</v>
      </c>
      <c r="AE730">
        <v>0</v>
      </c>
      <c r="AF730">
        <v>0</v>
      </c>
      <c r="AG730">
        <v>0</v>
      </c>
      <c r="AH730">
        <v>0</v>
      </c>
      <c r="AI730">
        <v>0</v>
      </c>
      <c r="AJ730">
        <v>0</v>
      </c>
      <c r="AK730">
        <v>0</v>
      </c>
      <c r="AL730">
        <v>0</v>
      </c>
      <c r="AM730">
        <v>0</v>
      </c>
      <c r="AN730">
        <v>0</v>
      </c>
      <c r="AO730">
        <v>0</v>
      </c>
      <c r="AP730">
        <v>0</v>
      </c>
      <c r="AQ730">
        <v>0</v>
      </c>
      <c r="AR730">
        <v>0</v>
      </c>
      <c r="AS730">
        <v>0</v>
      </c>
      <c r="AT730">
        <f t="shared" si="35"/>
        <v>7.7160000000000002</v>
      </c>
      <c r="AU730">
        <f t="shared" si="33"/>
        <v>3.6500000000000004</v>
      </c>
      <c r="AV730">
        <f t="shared" si="34"/>
        <v>794.99</v>
      </c>
      <c r="AW730">
        <v>54</v>
      </c>
      <c r="AX730">
        <v>235</v>
      </c>
      <c r="AY730">
        <v>715</v>
      </c>
      <c r="AZ730">
        <v>12.5</v>
      </c>
      <c r="BC730" t="s">
        <v>159</v>
      </c>
    </row>
    <row r="731" spans="3:55" x14ac:dyDescent="0.45">
      <c r="C731">
        <v>73.8</v>
      </c>
      <c r="D731">
        <v>0</v>
      </c>
      <c r="E731">
        <v>0</v>
      </c>
      <c r="F731">
        <v>0</v>
      </c>
      <c r="G731">
        <v>0</v>
      </c>
      <c r="H731">
        <v>0</v>
      </c>
      <c r="I731">
        <v>0</v>
      </c>
      <c r="J731">
        <v>4.9000000000000004</v>
      </c>
      <c r="K731">
        <v>9.9</v>
      </c>
      <c r="L731">
        <v>5.0999999999999996</v>
      </c>
      <c r="M731">
        <v>6.3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1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0</v>
      </c>
      <c r="AG731">
        <v>0</v>
      </c>
      <c r="AH731">
        <v>0</v>
      </c>
      <c r="AI731">
        <v>0</v>
      </c>
      <c r="AJ731">
        <v>0</v>
      </c>
      <c r="AK731">
        <v>0</v>
      </c>
      <c r="AL731">
        <v>0</v>
      </c>
      <c r="AM731">
        <v>0</v>
      </c>
      <c r="AN731">
        <v>0</v>
      </c>
      <c r="AO731">
        <v>0</v>
      </c>
      <c r="AP731">
        <v>0</v>
      </c>
      <c r="AQ731">
        <v>0</v>
      </c>
      <c r="AR731">
        <v>0</v>
      </c>
      <c r="AS731">
        <v>0</v>
      </c>
      <c r="AT731">
        <f t="shared" si="35"/>
        <v>7.8719999999999999</v>
      </c>
      <c r="AU731">
        <f t="shared" si="33"/>
        <v>2.916666666666667</v>
      </c>
      <c r="AV731">
        <f t="shared" si="34"/>
        <v>826.2</v>
      </c>
      <c r="AW731">
        <v>59</v>
      </c>
      <c r="AX731">
        <v>275</v>
      </c>
      <c r="AY731">
        <v>762</v>
      </c>
      <c r="AZ731">
        <v>13.8</v>
      </c>
      <c r="BC731" t="s">
        <v>159</v>
      </c>
    </row>
    <row r="732" spans="3:55" x14ac:dyDescent="0.45">
      <c r="C732">
        <v>68</v>
      </c>
      <c r="D732">
        <v>0</v>
      </c>
      <c r="E732">
        <v>0</v>
      </c>
      <c r="F732">
        <v>0</v>
      </c>
      <c r="G732">
        <v>0</v>
      </c>
      <c r="H732">
        <v>0</v>
      </c>
      <c r="I732">
        <v>0</v>
      </c>
      <c r="J732">
        <v>5</v>
      </c>
      <c r="K732">
        <v>15.2</v>
      </c>
      <c r="L732">
        <v>5.3</v>
      </c>
      <c r="M732">
        <v>6.5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1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>
        <v>0</v>
      </c>
      <c r="AI732">
        <v>0</v>
      </c>
      <c r="AJ732">
        <v>0</v>
      </c>
      <c r="AK732">
        <v>0</v>
      </c>
      <c r="AL732">
        <v>0</v>
      </c>
      <c r="AM732">
        <v>0</v>
      </c>
      <c r="AN732">
        <v>0</v>
      </c>
      <c r="AO732">
        <v>0</v>
      </c>
      <c r="AP732">
        <v>0</v>
      </c>
      <c r="AQ732">
        <v>0</v>
      </c>
      <c r="AR732">
        <v>0</v>
      </c>
      <c r="AS732">
        <v>0</v>
      </c>
      <c r="AT732">
        <f t="shared" si="35"/>
        <v>9.5560000000000009</v>
      </c>
      <c r="AU732">
        <f t="shared" si="33"/>
        <v>3</v>
      </c>
      <c r="AV732">
        <f t="shared" si="34"/>
        <v>824.44999999999993</v>
      </c>
      <c r="AW732">
        <v>55</v>
      </c>
      <c r="AX732">
        <v>533</v>
      </c>
      <c r="AY732">
        <v>692</v>
      </c>
      <c r="AZ732">
        <v>14.2</v>
      </c>
      <c r="BC732" t="s">
        <v>159</v>
      </c>
    </row>
    <row r="733" spans="3:55" x14ac:dyDescent="0.45">
      <c r="C733">
        <v>46</v>
      </c>
      <c r="D733">
        <v>0</v>
      </c>
      <c r="E733">
        <v>0</v>
      </c>
      <c r="F733">
        <v>0</v>
      </c>
      <c r="G733">
        <v>0</v>
      </c>
      <c r="H733">
        <v>0</v>
      </c>
      <c r="I733">
        <v>0</v>
      </c>
      <c r="J733">
        <v>9</v>
      </c>
      <c r="K733">
        <v>35</v>
      </c>
      <c r="L733">
        <v>6</v>
      </c>
      <c r="M733">
        <v>4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1</v>
      </c>
      <c r="W733">
        <v>20</v>
      </c>
      <c r="X733">
        <v>0</v>
      </c>
      <c r="Y733">
        <v>0</v>
      </c>
      <c r="Z733">
        <v>1</v>
      </c>
      <c r="AA733">
        <v>0</v>
      </c>
      <c r="AB733">
        <v>0</v>
      </c>
      <c r="AC733">
        <v>800</v>
      </c>
      <c r="AD733">
        <v>0.5</v>
      </c>
      <c r="AE733">
        <v>1</v>
      </c>
      <c r="AF733">
        <v>0</v>
      </c>
      <c r="AG733">
        <v>0</v>
      </c>
      <c r="AH733">
        <v>0</v>
      </c>
      <c r="AI733">
        <v>0</v>
      </c>
      <c r="AJ733">
        <v>0</v>
      </c>
      <c r="AK733">
        <v>0</v>
      </c>
      <c r="AL733">
        <v>0</v>
      </c>
      <c r="AM733">
        <v>0</v>
      </c>
      <c r="AN733">
        <v>0</v>
      </c>
      <c r="AO733">
        <v>0</v>
      </c>
      <c r="AP733">
        <v>0</v>
      </c>
      <c r="AQ733">
        <v>0</v>
      </c>
      <c r="AR733">
        <v>0</v>
      </c>
      <c r="AS733">
        <v>0</v>
      </c>
      <c r="AT733">
        <f t="shared" si="35"/>
        <v>15.8</v>
      </c>
      <c r="AU733">
        <f t="shared" si="33"/>
        <v>2.833333333333333</v>
      </c>
      <c r="AV733">
        <f t="shared" si="34"/>
        <v>779.69999999999993</v>
      </c>
      <c r="AY733">
        <v>797</v>
      </c>
      <c r="AZ733">
        <v>14.12</v>
      </c>
      <c r="BC733" t="s">
        <v>160</v>
      </c>
    </row>
    <row r="734" spans="3:55" x14ac:dyDescent="0.45">
      <c r="C734">
        <v>46</v>
      </c>
      <c r="D734">
        <v>0</v>
      </c>
      <c r="E734">
        <v>0</v>
      </c>
      <c r="F734">
        <v>0</v>
      </c>
      <c r="G734">
        <v>0</v>
      </c>
      <c r="H734">
        <v>0</v>
      </c>
      <c r="I734">
        <v>0</v>
      </c>
      <c r="J734">
        <v>9</v>
      </c>
      <c r="K734">
        <v>35</v>
      </c>
      <c r="L734">
        <v>6</v>
      </c>
      <c r="M734">
        <v>4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1</v>
      </c>
      <c r="W734">
        <v>20</v>
      </c>
      <c r="X734">
        <v>23</v>
      </c>
      <c r="Y734">
        <v>0</v>
      </c>
      <c r="Z734">
        <v>1</v>
      </c>
      <c r="AA734">
        <v>0</v>
      </c>
      <c r="AB734">
        <v>0</v>
      </c>
      <c r="AC734">
        <v>800</v>
      </c>
      <c r="AD734">
        <v>0.5</v>
      </c>
      <c r="AE734">
        <v>1</v>
      </c>
      <c r="AF734">
        <v>0</v>
      </c>
      <c r="AG734">
        <v>0</v>
      </c>
      <c r="AH734">
        <v>0</v>
      </c>
      <c r="AI734">
        <v>0</v>
      </c>
      <c r="AJ734">
        <v>0</v>
      </c>
      <c r="AK734">
        <v>0</v>
      </c>
      <c r="AL734">
        <v>0</v>
      </c>
      <c r="AM734">
        <v>0</v>
      </c>
      <c r="AN734">
        <v>0</v>
      </c>
      <c r="AO734">
        <v>0</v>
      </c>
      <c r="AP734">
        <v>0</v>
      </c>
      <c r="AQ734">
        <v>0</v>
      </c>
      <c r="AR734">
        <v>0</v>
      </c>
      <c r="AS734">
        <v>0</v>
      </c>
      <c r="AT734">
        <f t="shared" si="35"/>
        <v>15.8</v>
      </c>
      <c r="AU734">
        <f t="shared" si="33"/>
        <v>2.833333333333333</v>
      </c>
      <c r="AV734">
        <f t="shared" si="34"/>
        <v>779.69999999999993</v>
      </c>
      <c r="AY734">
        <v>857</v>
      </c>
      <c r="AZ734">
        <v>12.41</v>
      </c>
      <c r="BC734" t="s">
        <v>161</v>
      </c>
    </row>
    <row r="735" spans="3:55" x14ac:dyDescent="0.45">
      <c r="C735">
        <v>46</v>
      </c>
      <c r="D735">
        <v>0</v>
      </c>
      <c r="E735">
        <v>0</v>
      </c>
      <c r="F735">
        <v>0</v>
      </c>
      <c r="G735">
        <v>0</v>
      </c>
      <c r="H735">
        <v>0</v>
      </c>
      <c r="I735">
        <v>0</v>
      </c>
      <c r="J735">
        <v>9</v>
      </c>
      <c r="K735">
        <v>35</v>
      </c>
      <c r="L735">
        <v>6</v>
      </c>
      <c r="M735">
        <v>4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1</v>
      </c>
      <c r="W735">
        <v>20</v>
      </c>
      <c r="X735">
        <v>44</v>
      </c>
      <c r="Y735">
        <v>0</v>
      </c>
      <c r="Z735">
        <v>1</v>
      </c>
      <c r="AA735">
        <v>0</v>
      </c>
      <c r="AB735">
        <v>0</v>
      </c>
      <c r="AC735">
        <v>800</v>
      </c>
      <c r="AD735">
        <v>0.5</v>
      </c>
      <c r="AE735">
        <v>1</v>
      </c>
      <c r="AF735">
        <v>0</v>
      </c>
      <c r="AG735">
        <v>0</v>
      </c>
      <c r="AH735">
        <v>0</v>
      </c>
      <c r="AI735">
        <v>0</v>
      </c>
      <c r="AJ735">
        <v>0</v>
      </c>
      <c r="AK735">
        <v>0</v>
      </c>
      <c r="AL735">
        <v>0</v>
      </c>
      <c r="AM735">
        <v>0</v>
      </c>
      <c r="AN735">
        <v>0</v>
      </c>
      <c r="AO735">
        <v>0</v>
      </c>
      <c r="AP735">
        <v>0</v>
      </c>
      <c r="AQ735">
        <v>0</v>
      </c>
      <c r="AR735">
        <v>0</v>
      </c>
      <c r="AS735">
        <v>0</v>
      </c>
      <c r="AT735">
        <f t="shared" si="35"/>
        <v>15.8</v>
      </c>
      <c r="AU735">
        <f t="shared" si="33"/>
        <v>2.833333333333333</v>
      </c>
      <c r="AV735">
        <f t="shared" si="34"/>
        <v>779.69999999999993</v>
      </c>
      <c r="AY735">
        <v>935</v>
      </c>
      <c r="AZ735">
        <v>8.9</v>
      </c>
      <c r="BC735" t="s">
        <v>162</v>
      </c>
    </row>
    <row r="736" spans="3:55" x14ac:dyDescent="0.45">
      <c r="C736">
        <v>46</v>
      </c>
      <c r="D736">
        <v>0</v>
      </c>
      <c r="E736">
        <v>0</v>
      </c>
      <c r="F736">
        <v>0</v>
      </c>
      <c r="G736">
        <v>0</v>
      </c>
      <c r="H736">
        <v>0</v>
      </c>
      <c r="I736">
        <v>0</v>
      </c>
      <c r="J736">
        <v>9</v>
      </c>
      <c r="K736">
        <v>35</v>
      </c>
      <c r="L736">
        <v>6</v>
      </c>
      <c r="M736">
        <v>4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1</v>
      </c>
      <c r="W736">
        <v>20</v>
      </c>
      <c r="X736">
        <v>66</v>
      </c>
      <c r="Y736">
        <v>0</v>
      </c>
      <c r="Z736">
        <v>1</v>
      </c>
      <c r="AA736">
        <v>0</v>
      </c>
      <c r="AB736">
        <v>0</v>
      </c>
      <c r="AC736">
        <v>800</v>
      </c>
      <c r="AD736">
        <v>0.5</v>
      </c>
      <c r="AE736">
        <v>1</v>
      </c>
      <c r="AF736">
        <v>0</v>
      </c>
      <c r="AG736">
        <v>0</v>
      </c>
      <c r="AH736">
        <v>0</v>
      </c>
      <c r="AI736">
        <v>0</v>
      </c>
      <c r="AJ736">
        <v>0</v>
      </c>
      <c r="AK736">
        <v>0</v>
      </c>
      <c r="AL736">
        <v>0</v>
      </c>
      <c r="AM736">
        <v>0</v>
      </c>
      <c r="AN736">
        <v>0</v>
      </c>
      <c r="AO736">
        <v>0</v>
      </c>
      <c r="AP736">
        <v>0</v>
      </c>
      <c r="AQ736">
        <v>0</v>
      </c>
      <c r="AR736">
        <v>0</v>
      </c>
      <c r="AS736">
        <v>0</v>
      </c>
      <c r="AT736">
        <f t="shared" si="35"/>
        <v>15.8</v>
      </c>
      <c r="AU736">
        <f t="shared" si="33"/>
        <v>2.833333333333333</v>
      </c>
      <c r="AV736">
        <f t="shared" si="34"/>
        <v>779.69999999999993</v>
      </c>
      <c r="AY736">
        <v>1009</v>
      </c>
      <c r="AZ736">
        <v>7.98</v>
      </c>
      <c r="BC736" t="s">
        <v>163</v>
      </c>
    </row>
    <row r="737" spans="3:55" x14ac:dyDescent="0.45">
      <c r="C737">
        <v>46</v>
      </c>
      <c r="D737">
        <v>0</v>
      </c>
      <c r="E737">
        <v>0</v>
      </c>
      <c r="F737">
        <v>0</v>
      </c>
      <c r="G737">
        <v>0</v>
      </c>
      <c r="H737">
        <v>0</v>
      </c>
      <c r="I737">
        <v>0</v>
      </c>
      <c r="J737">
        <v>9</v>
      </c>
      <c r="K737">
        <v>35</v>
      </c>
      <c r="L737">
        <v>6</v>
      </c>
      <c r="M737">
        <v>4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1</v>
      </c>
      <c r="W737">
        <v>20</v>
      </c>
      <c r="X737">
        <v>85</v>
      </c>
      <c r="Y737">
        <v>0</v>
      </c>
      <c r="Z737">
        <v>1</v>
      </c>
      <c r="AA737">
        <v>0</v>
      </c>
      <c r="AB737">
        <v>0</v>
      </c>
      <c r="AC737">
        <v>800</v>
      </c>
      <c r="AD737">
        <v>0.5</v>
      </c>
      <c r="AE737">
        <v>1</v>
      </c>
      <c r="AF737">
        <v>0</v>
      </c>
      <c r="AG737">
        <v>0</v>
      </c>
      <c r="AH737">
        <v>0</v>
      </c>
      <c r="AI737">
        <v>0</v>
      </c>
      <c r="AJ737">
        <v>0</v>
      </c>
      <c r="AK737">
        <v>0</v>
      </c>
      <c r="AL737">
        <v>0</v>
      </c>
      <c r="AM737">
        <v>0</v>
      </c>
      <c r="AN737">
        <v>0</v>
      </c>
      <c r="AO737">
        <v>0</v>
      </c>
      <c r="AP737">
        <v>0</v>
      </c>
      <c r="AQ737">
        <v>0</v>
      </c>
      <c r="AR737">
        <v>0</v>
      </c>
      <c r="AS737">
        <v>0</v>
      </c>
      <c r="AT737">
        <f t="shared" si="35"/>
        <v>15.8</v>
      </c>
      <c r="AU737">
        <f t="shared" si="33"/>
        <v>2.833333333333333</v>
      </c>
      <c r="AV737">
        <f t="shared" si="34"/>
        <v>779.69999999999993</v>
      </c>
      <c r="AY737">
        <v>1110</v>
      </c>
      <c r="AZ737">
        <v>4.42</v>
      </c>
      <c r="BC737" t="s">
        <v>164</v>
      </c>
    </row>
    <row r="738" spans="3:55" x14ac:dyDescent="0.45">
      <c r="C738">
        <v>61.7</v>
      </c>
      <c r="D738">
        <v>0</v>
      </c>
      <c r="E738">
        <v>0</v>
      </c>
      <c r="F738">
        <v>0</v>
      </c>
      <c r="G738">
        <v>0</v>
      </c>
      <c r="H738">
        <v>0</v>
      </c>
      <c r="I738">
        <v>0</v>
      </c>
      <c r="J738">
        <v>9.1</v>
      </c>
      <c r="K738">
        <v>18.5</v>
      </c>
      <c r="L738">
        <v>4.8</v>
      </c>
      <c r="M738">
        <v>5.9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1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>
        <v>0</v>
      </c>
      <c r="AI738">
        <v>0</v>
      </c>
      <c r="AJ738">
        <v>0</v>
      </c>
      <c r="AK738">
        <v>0</v>
      </c>
      <c r="AL738">
        <v>0</v>
      </c>
      <c r="AM738">
        <v>0</v>
      </c>
      <c r="AN738">
        <v>0</v>
      </c>
      <c r="AO738">
        <v>0</v>
      </c>
      <c r="AP738">
        <v>0</v>
      </c>
      <c r="AQ738">
        <v>0</v>
      </c>
      <c r="AR738">
        <v>0</v>
      </c>
      <c r="AS738">
        <v>0</v>
      </c>
      <c r="AT738">
        <f t="shared" si="35"/>
        <v>9.98</v>
      </c>
      <c r="AU738">
        <f t="shared" si="33"/>
        <v>3.4833333333333334</v>
      </c>
      <c r="AV738">
        <f t="shared" si="34"/>
        <v>798.39</v>
      </c>
      <c r="AX738">
        <v>499</v>
      </c>
      <c r="AY738">
        <v>519</v>
      </c>
      <c r="AZ738">
        <v>6.4</v>
      </c>
      <c r="BC738" t="s">
        <v>108</v>
      </c>
    </row>
    <row r="739" spans="3:55" x14ac:dyDescent="0.45">
      <c r="C739">
        <v>65.599999999999994</v>
      </c>
      <c r="D739">
        <v>0</v>
      </c>
      <c r="E739">
        <v>0</v>
      </c>
      <c r="F739">
        <v>0</v>
      </c>
      <c r="G739">
        <v>0</v>
      </c>
      <c r="H739">
        <v>0</v>
      </c>
      <c r="I739">
        <v>0</v>
      </c>
      <c r="J739">
        <v>9.3000000000000007</v>
      </c>
      <c r="K739">
        <v>14.2</v>
      </c>
      <c r="L739">
        <v>4.9000000000000004</v>
      </c>
      <c r="M739">
        <v>6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1</v>
      </c>
      <c r="Z739">
        <v>0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0</v>
      </c>
      <c r="AH739">
        <v>0</v>
      </c>
      <c r="AI739">
        <v>0</v>
      </c>
      <c r="AJ739">
        <v>0</v>
      </c>
      <c r="AK739">
        <v>0</v>
      </c>
      <c r="AL739">
        <v>0</v>
      </c>
      <c r="AM739">
        <v>0</v>
      </c>
      <c r="AN739">
        <v>0</v>
      </c>
      <c r="AO739">
        <v>0</v>
      </c>
      <c r="AP739">
        <v>0</v>
      </c>
      <c r="AQ739">
        <v>0</v>
      </c>
      <c r="AR739">
        <v>0</v>
      </c>
      <c r="AS739">
        <v>0</v>
      </c>
      <c r="AT739">
        <f t="shared" si="35"/>
        <v>8.8760000000000012</v>
      </c>
      <c r="AU739">
        <f t="shared" si="33"/>
        <v>3.55</v>
      </c>
      <c r="AV739">
        <f t="shared" si="34"/>
        <v>796.48000000000013</v>
      </c>
      <c r="AX739">
        <v>566</v>
      </c>
      <c r="AY739">
        <v>701</v>
      </c>
      <c r="AZ739">
        <v>13.6</v>
      </c>
      <c r="BC739" t="s">
        <v>108</v>
      </c>
    </row>
    <row r="740" spans="3:55" x14ac:dyDescent="0.45">
      <c r="C740">
        <v>69.599999999999994</v>
      </c>
      <c r="D740">
        <v>0</v>
      </c>
      <c r="E740">
        <v>0</v>
      </c>
      <c r="F740">
        <v>0</v>
      </c>
      <c r="G740">
        <v>0</v>
      </c>
      <c r="H740">
        <v>0</v>
      </c>
      <c r="I740">
        <v>0</v>
      </c>
      <c r="J740">
        <v>9.5</v>
      </c>
      <c r="K740">
        <v>9.6999999999999993</v>
      </c>
      <c r="L740">
        <v>5</v>
      </c>
      <c r="M740">
        <v>6.2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1</v>
      </c>
      <c r="Z740">
        <v>0</v>
      </c>
      <c r="AA740">
        <v>0</v>
      </c>
      <c r="AB740">
        <v>0</v>
      </c>
      <c r="AC740">
        <v>0</v>
      </c>
      <c r="AD740">
        <v>0</v>
      </c>
      <c r="AE740">
        <v>0</v>
      </c>
      <c r="AF740">
        <v>0</v>
      </c>
      <c r="AG740">
        <v>0</v>
      </c>
      <c r="AH740">
        <v>0</v>
      </c>
      <c r="AI740">
        <v>0</v>
      </c>
      <c r="AJ740">
        <v>0</v>
      </c>
      <c r="AK740">
        <v>0</v>
      </c>
      <c r="AL740">
        <v>0</v>
      </c>
      <c r="AM740">
        <v>0</v>
      </c>
      <c r="AN740">
        <v>0</v>
      </c>
      <c r="AO740">
        <v>0</v>
      </c>
      <c r="AP740">
        <v>0</v>
      </c>
      <c r="AQ740">
        <v>0</v>
      </c>
      <c r="AR740">
        <v>0</v>
      </c>
      <c r="AS740">
        <v>0</v>
      </c>
      <c r="AT740">
        <f t="shared" si="35"/>
        <v>7.7160000000000002</v>
      </c>
      <c r="AU740">
        <f t="shared" si="33"/>
        <v>3.6500000000000004</v>
      </c>
      <c r="AV740">
        <f t="shared" si="34"/>
        <v>794.99</v>
      </c>
      <c r="AX740">
        <v>235</v>
      </c>
      <c r="AY740">
        <v>715</v>
      </c>
      <c r="AZ740">
        <v>12.5</v>
      </c>
      <c r="BC740" t="s">
        <v>108</v>
      </c>
    </row>
    <row r="741" spans="3:55" x14ac:dyDescent="0.45">
      <c r="C741">
        <v>73.8</v>
      </c>
      <c r="D741">
        <v>0</v>
      </c>
      <c r="E741">
        <v>0</v>
      </c>
      <c r="F741">
        <v>0</v>
      </c>
      <c r="G741">
        <v>0</v>
      </c>
      <c r="H741">
        <v>0</v>
      </c>
      <c r="I741">
        <v>0</v>
      </c>
      <c r="J741">
        <v>4.9000000000000004</v>
      </c>
      <c r="K741">
        <v>9.9</v>
      </c>
      <c r="L741">
        <v>5.0999999999999996</v>
      </c>
      <c r="M741">
        <v>6.3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1</v>
      </c>
      <c r="Z741">
        <v>0</v>
      </c>
      <c r="AA741">
        <v>0</v>
      </c>
      <c r="AB741">
        <v>0</v>
      </c>
      <c r="AC741">
        <v>0</v>
      </c>
      <c r="AD741">
        <v>0</v>
      </c>
      <c r="AE741">
        <v>0</v>
      </c>
      <c r="AF741">
        <v>0</v>
      </c>
      <c r="AG741">
        <v>0</v>
      </c>
      <c r="AH741">
        <v>0</v>
      </c>
      <c r="AI741">
        <v>0</v>
      </c>
      <c r="AJ741">
        <v>0</v>
      </c>
      <c r="AK741">
        <v>0</v>
      </c>
      <c r="AL741">
        <v>0</v>
      </c>
      <c r="AM741">
        <v>0</v>
      </c>
      <c r="AN741">
        <v>0</v>
      </c>
      <c r="AO741">
        <v>0</v>
      </c>
      <c r="AP741">
        <v>0</v>
      </c>
      <c r="AQ741">
        <v>0</v>
      </c>
      <c r="AR741">
        <v>0</v>
      </c>
      <c r="AS741">
        <v>0</v>
      </c>
      <c r="AT741">
        <f t="shared" si="35"/>
        <v>7.8719999999999999</v>
      </c>
      <c r="AU741">
        <f t="shared" si="33"/>
        <v>2.916666666666667</v>
      </c>
      <c r="AV741">
        <f t="shared" si="34"/>
        <v>826.2</v>
      </c>
      <c r="AX741">
        <v>275</v>
      </c>
      <c r="AY741">
        <v>762</v>
      </c>
      <c r="AZ741">
        <v>13.8</v>
      </c>
      <c r="BC741" t="s">
        <v>108</v>
      </c>
    </row>
    <row r="742" spans="3:55" x14ac:dyDescent="0.45">
      <c r="C742">
        <v>68</v>
      </c>
      <c r="D742">
        <v>0</v>
      </c>
      <c r="E742">
        <v>0</v>
      </c>
      <c r="F742">
        <v>0</v>
      </c>
      <c r="G742">
        <v>0</v>
      </c>
      <c r="H742">
        <v>0</v>
      </c>
      <c r="I742">
        <v>0</v>
      </c>
      <c r="J742">
        <v>5</v>
      </c>
      <c r="K742">
        <v>15.2</v>
      </c>
      <c r="L742">
        <v>5.3</v>
      </c>
      <c r="M742">
        <v>6.5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1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  <c r="AG742">
        <v>0</v>
      </c>
      <c r="AH742">
        <v>0</v>
      </c>
      <c r="AI742">
        <v>0</v>
      </c>
      <c r="AJ742">
        <v>0</v>
      </c>
      <c r="AK742">
        <v>0</v>
      </c>
      <c r="AL742">
        <v>0</v>
      </c>
      <c r="AM742">
        <v>0</v>
      </c>
      <c r="AN742">
        <v>0</v>
      </c>
      <c r="AO742">
        <v>0</v>
      </c>
      <c r="AP742">
        <v>0</v>
      </c>
      <c r="AQ742">
        <v>0</v>
      </c>
      <c r="AR742">
        <v>0</v>
      </c>
      <c r="AS742">
        <v>0</v>
      </c>
      <c r="AT742">
        <f t="shared" si="35"/>
        <v>9.5560000000000009</v>
      </c>
      <c r="AU742">
        <f t="shared" si="33"/>
        <v>3</v>
      </c>
      <c r="AV742">
        <f t="shared" si="34"/>
        <v>824.44999999999993</v>
      </c>
      <c r="AX742">
        <v>533</v>
      </c>
      <c r="AY742">
        <v>692</v>
      </c>
      <c r="AZ742">
        <v>14.2</v>
      </c>
      <c r="BC742" t="s">
        <v>108</v>
      </c>
    </row>
    <row r="743" spans="3:55" x14ac:dyDescent="0.45">
      <c r="C743">
        <v>68</v>
      </c>
      <c r="D743">
        <v>0</v>
      </c>
      <c r="E743">
        <v>0</v>
      </c>
      <c r="F743">
        <v>0</v>
      </c>
      <c r="G743">
        <v>0</v>
      </c>
      <c r="H743">
        <v>0</v>
      </c>
      <c r="I743">
        <v>0</v>
      </c>
      <c r="J743">
        <v>10</v>
      </c>
      <c r="K743">
        <v>10.199999999999999</v>
      </c>
      <c r="L743">
        <v>5.3</v>
      </c>
      <c r="M743">
        <v>6.5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1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0</v>
      </c>
      <c r="AH743">
        <v>0</v>
      </c>
      <c r="AI743">
        <v>0</v>
      </c>
      <c r="AJ743">
        <v>0</v>
      </c>
      <c r="AK743">
        <v>0</v>
      </c>
      <c r="AL743">
        <v>0</v>
      </c>
      <c r="AM743">
        <v>0</v>
      </c>
      <c r="AN743">
        <v>0</v>
      </c>
      <c r="AO743">
        <v>0</v>
      </c>
      <c r="AP743">
        <v>0</v>
      </c>
      <c r="AQ743">
        <v>0</v>
      </c>
      <c r="AR743">
        <v>0</v>
      </c>
      <c r="AS743">
        <v>0</v>
      </c>
      <c r="AT743">
        <f t="shared" si="35"/>
        <v>8.1559999999999988</v>
      </c>
      <c r="AU743">
        <f t="shared" si="33"/>
        <v>3.833333333333333</v>
      </c>
      <c r="AV743">
        <f t="shared" si="34"/>
        <v>789.94999999999993</v>
      </c>
      <c r="AX743">
        <v>478</v>
      </c>
      <c r="AY743">
        <v>715</v>
      </c>
      <c r="AZ743">
        <v>7.6</v>
      </c>
      <c r="BC743" t="s">
        <v>108</v>
      </c>
    </row>
    <row r="744" spans="3:55" x14ac:dyDescent="0.45">
      <c r="C744">
        <v>68</v>
      </c>
      <c r="D744">
        <v>0</v>
      </c>
      <c r="E744">
        <v>0</v>
      </c>
      <c r="F744">
        <v>0</v>
      </c>
      <c r="G744">
        <v>0</v>
      </c>
      <c r="H744">
        <v>0</v>
      </c>
      <c r="I744">
        <v>0</v>
      </c>
      <c r="J744">
        <v>10</v>
      </c>
      <c r="K744">
        <v>10.199999999999999</v>
      </c>
      <c r="L744">
        <v>5.3</v>
      </c>
      <c r="M744">
        <v>6.5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1</v>
      </c>
      <c r="W744">
        <v>90</v>
      </c>
      <c r="X744">
        <v>0</v>
      </c>
      <c r="Y744">
        <v>0</v>
      </c>
      <c r="Z744">
        <v>1</v>
      </c>
      <c r="AA744">
        <v>0</v>
      </c>
      <c r="AB744">
        <v>0</v>
      </c>
      <c r="AC744">
        <v>0</v>
      </c>
      <c r="AD744">
        <v>0</v>
      </c>
      <c r="AE744">
        <v>0</v>
      </c>
      <c r="AF744">
        <v>0</v>
      </c>
      <c r="AG744">
        <v>0</v>
      </c>
      <c r="AH744">
        <v>0</v>
      </c>
      <c r="AI744">
        <v>0</v>
      </c>
      <c r="AJ744">
        <v>0</v>
      </c>
      <c r="AK744">
        <v>0</v>
      </c>
      <c r="AL744">
        <v>0</v>
      </c>
      <c r="AM744">
        <v>0</v>
      </c>
      <c r="AN744">
        <v>0</v>
      </c>
      <c r="AO744">
        <v>0</v>
      </c>
      <c r="AP744">
        <v>0</v>
      </c>
      <c r="AQ744">
        <v>0</v>
      </c>
      <c r="AR744">
        <v>0</v>
      </c>
      <c r="AS744">
        <v>0</v>
      </c>
      <c r="AT744">
        <f t="shared" si="35"/>
        <v>8.1559999999999988</v>
      </c>
      <c r="AU744">
        <f t="shared" si="33"/>
        <v>3.833333333333333</v>
      </c>
      <c r="AV744">
        <f t="shared" si="34"/>
        <v>789.94999999999993</v>
      </c>
      <c r="AX744">
        <v>558</v>
      </c>
      <c r="AY744">
        <v>738</v>
      </c>
      <c r="AZ744">
        <v>2.7</v>
      </c>
      <c r="BC744" t="s">
        <v>108</v>
      </c>
    </row>
    <row r="745" spans="3:55" x14ac:dyDescent="0.45">
      <c r="C745">
        <v>68</v>
      </c>
      <c r="D745">
        <v>0</v>
      </c>
      <c r="E745">
        <v>0</v>
      </c>
      <c r="F745">
        <v>0</v>
      </c>
      <c r="G745">
        <v>0</v>
      </c>
      <c r="H745">
        <v>0</v>
      </c>
      <c r="I745">
        <v>0</v>
      </c>
      <c r="J745">
        <v>10</v>
      </c>
      <c r="K745">
        <v>10.199999999999999</v>
      </c>
      <c r="L745">
        <v>5.3</v>
      </c>
      <c r="M745">
        <v>6.5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1</v>
      </c>
      <c r="W745">
        <v>90</v>
      </c>
      <c r="X745">
        <v>0</v>
      </c>
      <c r="Y745">
        <v>0</v>
      </c>
      <c r="Z745">
        <v>1</v>
      </c>
      <c r="AA745">
        <v>0</v>
      </c>
      <c r="AB745">
        <v>0</v>
      </c>
      <c r="AC745">
        <v>950</v>
      </c>
      <c r="AD745">
        <v>2</v>
      </c>
      <c r="AE745">
        <v>1</v>
      </c>
      <c r="AF745">
        <v>0</v>
      </c>
      <c r="AG745">
        <v>0</v>
      </c>
      <c r="AH745">
        <v>0</v>
      </c>
      <c r="AI745">
        <v>0</v>
      </c>
      <c r="AJ745">
        <v>0</v>
      </c>
      <c r="AK745">
        <v>0</v>
      </c>
      <c r="AL745">
        <v>0</v>
      </c>
      <c r="AM745">
        <v>0</v>
      </c>
      <c r="AN745">
        <v>0</v>
      </c>
      <c r="AO745">
        <v>0</v>
      </c>
      <c r="AP745">
        <v>0</v>
      </c>
      <c r="AQ745">
        <v>0</v>
      </c>
      <c r="AR745">
        <v>0</v>
      </c>
      <c r="AS745">
        <v>0</v>
      </c>
      <c r="AT745">
        <f t="shared" si="35"/>
        <v>8.1559999999999988</v>
      </c>
      <c r="AU745">
        <f t="shared" si="33"/>
        <v>3.833333333333333</v>
      </c>
      <c r="AV745">
        <f t="shared" si="34"/>
        <v>789.94999999999993</v>
      </c>
      <c r="AX745">
        <v>408</v>
      </c>
      <c r="AY745">
        <v>577</v>
      </c>
      <c r="AZ745">
        <v>6.7</v>
      </c>
      <c r="BC745" t="s">
        <v>108</v>
      </c>
    </row>
    <row r="746" spans="3:55" x14ac:dyDescent="0.45">
      <c r="C746">
        <v>68</v>
      </c>
      <c r="D746">
        <v>0</v>
      </c>
      <c r="E746">
        <v>0</v>
      </c>
      <c r="F746">
        <v>0</v>
      </c>
      <c r="G746">
        <v>0</v>
      </c>
      <c r="H746">
        <v>0</v>
      </c>
      <c r="I746">
        <v>0</v>
      </c>
      <c r="J746">
        <v>10</v>
      </c>
      <c r="K746">
        <v>10.199999999999999</v>
      </c>
      <c r="L746">
        <v>5.3</v>
      </c>
      <c r="M746">
        <v>6.5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1</v>
      </c>
      <c r="W746">
        <v>90</v>
      </c>
      <c r="X746">
        <v>0</v>
      </c>
      <c r="Y746">
        <v>0</v>
      </c>
      <c r="Z746">
        <v>1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>
        <v>400</v>
      </c>
      <c r="AI746">
        <v>0.33333333300000001</v>
      </c>
      <c r="AJ746">
        <v>1</v>
      </c>
      <c r="AK746">
        <v>0</v>
      </c>
      <c r="AL746">
        <v>0</v>
      </c>
      <c r="AM746">
        <v>0</v>
      </c>
      <c r="AN746">
        <v>0</v>
      </c>
      <c r="AO746">
        <v>0</v>
      </c>
      <c r="AP746">
        <v>0</v>
      </c>
      <c r="AQ746">
        <v>0</v>
      </c>
      <c r="AR746">
        <v>0</v>
      </c>
      <c r="AS746">
        <v>0</v>
      </c>
      <c r="AT746">
        <f t="shared" si="35"/>
        <v>8.1559999999999988</v>
      </c>
      <c r="AU746">
        <f t="shared" si="33"/>
        <v>3.833333333333333</v>
      </c>
      <c r="AV746">
        <f t="shared" si="34"/>
        <v>789.94999999999993</v>
      </c>
      <c r="AX746">
        <v>1176</v>
      </c>
      <c r="AY746">
        <v>1369</v>
      </c>
      <c r="AZ746">
        <v>2.9</v>
      </c>
      <c r="BC746" t="s">
        <v>108</v>
      </c>
    </row>
    <row r="747" spans="3:55" x14ac:dyDescent="0.45">
      <c r="C747">
        <v>68</v>
      </c>
      <c r="D747">
        <v>0</v>
      </c>
      <c r="E747">
        <v>0</v>
      </c>
      <c r="F747">
        <v>0</v>
      </c>
      <c r="G747">
        <v>0</v>
      </c>
      <c r="H747">
        <v>0</v>
      </c>
      <c r="I747">
        <v>0</v>
      </c>
      <c r="J747">
        <v>10</v>
      </c>
      <c r="K747">
        <v>10.199999999999999</v>
      </c>
      <c r="L747">
        <v>5.3</v>
      </c>
      <c r="M747">
        <v>6.5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1</v>
      </c>
      <c r="W747">
        <v>90</v>
      </c>
      <c r="X747">
        <v>0</v>
      </c>
      <c r="Y747">
        <v>0</v>
      </c>
      <c r="Z747">
        <v>1</v>
      </c>
      <c r="AA747">
        <v>0</v>
      </c>
      <c r="AB747">
        <v>0</v>
      </c>
      <c r="AC747">
        <v>950</v>
      </c>
      <c r="AD747">
        <v>1</v>
      </c>
      <c r="AE747">
        <v>1</v>
      </c>
      <c r="AF747">
        <v>0</v>
      </c>
      <c r="AG747">
        <v>0</v>
      </c>
      <c r="AH747">
        <v>0</v>
      </c>
      <c r="AI747">
        <v>0</v>
      </c>
      <c r="AJ747">
        <v>0</v>
      </c>
      <c r="AK747">
        <v>0</v>
      </c>
      <c r="AL747">
        <v>0</v>
      </c>
      <c r="AM747">
        <v>0</v>
      </c>
      <c r="AN747">
        <v>0</v>
      </c>
      <c r="AO747">
        <v>0</v>
      </c>
      <c r="AP747">
        <v>0</v>
      </c>
      <c r="AQ747">
        <v>0</v>
      </c>
      <c r="AR747">
        <v>0</v>
      </c>
      <c r="AS747">
        <v>0</v>
      </c>
      <c r="AT747">
        <f t="shared" si="35"/>
        <v>8.1559999999999988</v>
      </c>
      <c r="AU747">
        <f t="shared" si="33"/>
        <v>3.833333333333333</v>
      </c>
      <c r="AV747">
        <f t="shared" si="34"/>
        <v>789.94999999999993</v>
      </c>
      <c r="AX747">
        <v>602</v>
      </c>
      <c r="AY747">
        <v>813</v>
      </c>
      <c r="AZ747">
        <v>8.1</v>
      </c>
      <c r="BB747" t="s">
        <v>352</v>
      </c>
      <c r="BC747" t="s">
        <v>108</v>
      </c>
    </row>
    <row r="748" spans="3:55" x14ac:dyDescent="0.45">
      <c r="C748">
        <v>68</v>
      </c>
      <c r="D748">
        <v>0</v>
      </c>
      <c r="E748">
        <v>0</v>
      </c>
      <c r="F748">
        <v>0</v>
      </c>
      <c r="G748">
        <v>0</v>
      </c>
      <c r="H748">
        <v>0</v>
      </c>
      <c r="I748">
        <v>0</v>
      </c>
      <c r="J748">
        <v>10</v>
      </c>
      <c r="K748">
        <v>10.199999999999999</v>
      </c>
      <c r="L748">
        <v>5.3</v>
      </c>
      <c r="M748">
        <v>6.5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1</v>
      </c>
      <c r="W748">
        <v>90</v>
      </c>
      <c r="X748">
        <v>0</v>
      </c>
      <c r="Y748">
        <v>0</v>
      </c>
      <c r="Z748">
        <v>1</v>
      </c>
      <c r="AA748">
        <v>0</v>
      </c>
      <c r="AB748">
        <v>0</v>
      </c>
      <c r="AC748">
        <v>950</v>
      </c>
      <c r="AD748">
        <v>1</v>
      </c>
      <c r="AE748">
        <v>1</v>
      </c>
      <c r="AF748">
        <v>0</v>
      </c>
      <c r="AG748">
        <v>0</v>
      </c>
      <c r="AH748">
        <v>400</v>
      </c>
      <c r="AI748">
        <v>0.33333333300000001</v>
      </c>
      <c r="AJ748">
        <v>1</v>
      </c>
      <c r="AK748">
        <v>0</v>
      </c>
      <c r="AL748">
        <v>0</v>
      </c>
      <c r="AM748">
        <v>0</v>
      </c>
      <c r="AN748">
        <v>0</v>
      </c>
      <c r="AO748">
        <v>0</v>
      </c>
      <c r="AP748">
        <v>0</v>
      </c>
      <c r="AQ748">
        <v>0</v>
      </c>
      <c r="AR748">
        <v>0</v>
      </c>
      <c r="AS748">
        <v>0</v>
      </c>
      <c r="AT748">
        <f t="shared" si="35"/>
        <v>8.1559999999999988</v>
      </c>
      <c r="AU748">
        <f t="shared" si="33"/>
        <v>3.833333333333333</v>
      </c>
      <c r="AV748">
        <f t="shared" si="34"/>
        <v>789.94999999999993</v>
      </c>
      <c r="AX748">
        <v>488</v>
      </c>
      <c r="AY748">
        <v>635</v>
      </c>
      <c r="AZ748">
        <v>1.5</v>
      </c>
      <c r="BB748" t="s">
        <v>352</v>
      </c>
      <c r="BC748" t="s">
        <v>108</v>
      </c>
    </row>
    <row r="749" spans="3:55" x14ac:dyDescent="0.45">
      <c r="C749">
        <v>76.38000000000001</v>
      </c>
      <c r="D749">
        <v>0</v>
      </c>
      <c r="E749">
        <v>0</v>
      </c>
      <c r="F749">
        <v>0</v>
      </c>
      <c r="G749">
        <v>0</v>
      </c>
      <c r="H749">
        <v>0</v>
      </c>
      <c r="I749">
        <v>0</v>
      </c>
      <c r="J749">
        <v>5.91</v>
      </c>
      <c r="K749">
        <v>11.799999999999999</v>
      </c>
      <c r="L749">
        <v>2.96</v>
      </c>
      <c r="M749">
        <v>2.9499999999999997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1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>
        <v>0</v>
      </c>
      <c r="AI749">
        <v>0</v>
      </c>
      <c r="AJ749">
        <v>0</v>
      </c>
      <c r="AK749">
        <v>0</v>
      </c>
      <c r="AL749">
        <v>0</v>
      </c>
      <c r="AM749">
        <v>0</v>
      </c>
      <c r="AN749">
        <v>0</v>
      </c>
      <c r="AO749">
        <v>0</v>
      </c>
      <c r="AP749">
        <v>0</v>
      </c>
      <c r="AQ749">
        <v>0</v>
      </c>
      <c r="AR749">
        <v>0</v>
      </c>
      <c r="AS749">
        <v>0</v>
      </c>
      <c r="AT749">
        <f t="shared" si="35"/>
        <v>6.2639999999999993</v>
      </c>
      <c r="AU749">
        <f t="shared" si="33"/>
        <v>1.9683333333333333</v>
      </c>
      <c r="AV749">
        <f t="shared" si="34"/>
        <v>825.49099999999999</v>
      </c>
      <c r="AW749">
        <v>72</v>
      </c>
      <c r="AX749">
        <v>499</v>
      </c>
      <c r="BB749" t="s">
        <v>352</v>
      </c>
      <c r="BC749" t="s">
        <v>60</v>
      </c>
    </row>
    <row r="750" spans="3:55" x14ac:dyDescent="0.45">
      <c r="C750">
        <v>79.36</v>
      </c>
      <c r="D750">
        <v>0</v>
      </c>
      <c r="E750">
        <v>0</v>
      </c>
      <c r="F750">
        <v>0</v>
      </c>
      <c r="G750">
        <v>0</v>
      </c>
      <c r="H750">
        <v>0</v>
      </c>
      <c r="I750">
        <v>0</v>
      </c>
      <c r="J750">
        <v>5.8999999999999995</v>
      </c>
      <c r="K750">
        <v>8.85</v>
      </c>
      <c r="L750">
        <v>2.96</v>
      </c>
      <c r="M750">
        <v>2.93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1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0</v>
      </c>
      <c r="AH750">
        <v>0</v>
      </c>
      <c r="AI750">
        <v>0</v>
      </c>
      <c r="AJ750">
        <v>0</v>
      </c>
      <c r="AK750">
        <v>0</v>
      </c>
      <c r="AL750">
        <v>0</v>
      </c>
      <c r="AM750">
        <v>0</v>
      </c>
      <c r="AN750">
        <v>0</v>
      </c>
      <c r="AO750">
        <v>0</v>
      </c>
      <c r="AP750">
        <v>0</v>
      </c>
      <c r="AQ750">
        <v>0</v>
      </c>
      <c r="AR750">
        <v>0</v>
      </c>
      <c r="AS750">
        <v>0</v>
      </c>
      <c r="AT750">
        <f t="shared" si="35"/>
        <v>5.4380000000000006</v>
      </c>
      <c r="AU750">
        <f t="shared" si="33"/>
        <v>1.96</v>
      </c>
      <c r="AV750">
        <f t="shared" si="34"/>
        <v>825.476</v>
      </c>
      <c r="AW750">
        <v>56</v>
      </c>
      <c r="AX750">
        <v>566</v>
      </c>
      <c r="BB750" t="s">
        <v>352</v>
      </c>
      <c r="BC750" t="s">
        <v>60</v>
      </c>
    </row>
    <row r="751" spans="3:55" x14ac:dyDescent="0.45">
      <c r="C751">
        <v>81.22</v>
      </c>
      <c r="D751">
        <v>0</v>
      </c>
      <c r="E751">
        <v>0</v>
      </c>
      <c r="F751">
        <v>0</v>
      </c>
      <c r="G751">
        <v>0</v>
      </c>
      <c r="H751">
        <v>0</v>
      </c>
      <c r="I751">
        <v>0</v>
      </c>
      <c r="J751">
        <v>3.1300000000000003</v>
      </c>
      <c r="K751">
        <v>9.35</v>
      </c>
      <c r="L751">
        <v>3.16</v>
      </c>
      <c r="M751">
        <v>3.1300000000000003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1</v>
      </c>
      <c r="Z751">
        <v>0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>
        <v>0</v>
      </c>
      <c r="AH751">
        <v>0</v>
      </c>
      <c r="AI751">
        <v>0</v>
      </c>
      <c r="AJ751">
        <v>0</v>
      </c>
      <c r="AK751">
        <v>0</v>
      </c>
      <c r="AL751">
        <v>0</v>
      </c>
      <c r="AM751">
        <v>0</v>
      </c>
      <c r="AN751">
        <v>0</v>
      </c>
      <c r="AO751">
        <v>0</v>
      </c>
      <c r="AP751">
        <v>0</v>
      </c>
      <c r="AQ751">
        <v>0</v>
      </c>
      <c r="AR751">
        <v>0</v>
      </c>
      <c r="AS751">
        <v>0</v>
      </c>
      <c r="AT751">
        <f t="shared" si="35"/>
        <v>5.7780000000000005</v>
      </c>
      <c r="AU751">
        <f t="shared" si="33"/>
        <v>1.5650000000000002</v>
      </c>
      <c r="AV751">
        <f t="shared" si="34"/>
        <v>843.529</v>
      </c>
      <c r="AW751">
        <v>55</v>
      </c>
      <c r="AX751">
        <v>533</v>
      </c>
      <c r="BB751" t="s">
        <v>304</v>
      </c>
      <c r="BC751" t="s">
        <v>60</v>
      </c>
    </row>
    <row r="752" spans="3:55" x14ac:dyDescent="0.45">
      <c r="C752">
        <v>79.990000000000009</v>
      </c>
      <c r="D752">
        <v>0</v>
      </c>
      <c r="E752">
        <v>0</v>
      </c>
      <c r="F752">
        <v>0</v>
      </c>
      <c r="G752">
        <v>0</v>
      </c>
      <c r="H752">
        <v>0</v>
      </c>
      <c r="I752">
        <v>0</v>
      </c>
      <c r="J752">
        <v>1.8800000000000001</v>
      </c>
      <c r="K752">
        <v>15.379999999999999</v>
      </c>
      <c r="L752">
        <v>1.79</v>
      </c>
      <c r="M752">
        <v>0.96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1</v>
      </c>
      <c r="W752">
        <v>0</v>
      </c>
      <c r="X752">
        <v>0</v>
      </c>
      <c r="Y752">
        <v>0</v>
      </c>
      <c r="Z752">
        <v>1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1</v>
      </c>
      <c r="AG752">
        <v>0</v>
      </c>
      <c r="AH752">
        <v>0</v>
      </c>
      <c r="AI752">
        <v>0</v>
      </c>
      <c r="AJ752">
        <v>0</v>
      </c>
      <c r="AK752">
        <v>0</v>
      </c>
      <c r="AL752">
        <v>0</v>
      </c>
      <c r="AM752">
        <v>0</v>
      </c>
      <c r="AN752">
        <v>0</v>
      </c>
      <c r="AO752">
        <v>0</v>
      </c>
      <c r="AP752">
        <v>0</v>
      </c>
      <c r="AQ752">
        <v>0</v>
      </c>
      <c r="AR752">
        <v>0</v>
      </c>
      <c r="AS752">
        <v>0</v>
      </c>
      <c r="AT752">
        <f t="shared" si="35"/>
        <v>6.0964</v>
      </c>
      <c r="AU752">
        <f t="shared" si="33"/>
        <v>0.6333333333333333</v>
      </c>
      <c r="AV752">
        <f t="shared" si="34"/>
        <v>856.05500000000006</v>
      </c>
      <c r="AW752">
        <v>83</v>
      </c>
      <c r="AX752">
        <v>499.1</v>
      </c>
      <c r="BB752" t="s">
        <v>305</v>
      </c>
      <c r="BC752" t="s">
        <v>60</v>
      </c>
    </row>
    <row r="753" spans="3:55" x14ac:dyDescent="0.45">
      <c r="C753">
        <v>80.64</v>
      </c>
      <c r="D753">
        <v>0</v>
      </c>
      <c r="E753">
        <v>0</v>
      </c>
      <c r="F753">
        <v>0</v>
      </c>
      <c r="G753">
        <v>0</v>
      </c>
      <c r="H753">
        <v>0</v>
      </c>
      <c r="I753">
        <v>0</v>
      </c>
      <c r="J753">
        <v>1.7399999999999998</v>
      </c>
      <c r="K753">
        <v>14.93</v>
      </c>
      <c r="L753">
        <v>1.78</v>
      </c>
      <c r="M753">
        <v>0.91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1</v>
      </c>
      <c r="W753">
        <v>0</v>
      </c>
      <c r="X753">
        <v>0</v>
      </c>
      <c r="Y753">
        <v>0</v>
      </c>
      <c r="Z753">
        <v>1</v>
      </c>
      <c r="AA753">
        <v>0</v>
      </c>
      <c r="AB753">
        <v>0</v>
      </c>
      <c r="AC753">
        <v>0</v>
      </c>
      <c r="AD753">
        <v>0</v>
      </c>
      <c r="AE753">
        <v>1</v>
      </c>
      <c r="AF753">
        <v>0</v>
      </c>
      <c r="AG753">
        <v>0</v>
      </c>
      <c r="AH753">
        <v>0</v>
      </c>
      <c r="AI753">
        <v>0</v>
      </c>
      <c r="AJ753">
        <v>0</v>
      </c>
      <c r="AK753">
        <v>0</v>
      </c>
      <c r="AL753">
        <v>0</v>
      </c>
      <c r="AM753">
        <v>0</v>
      </c>
      <c r="AN753">
        <v>0</v>
      </c>
      <c r="AO753">
        <v>0</v>
      </c>
      <c r="AP753">
        <v>0</v>
      </c>
      <c r="AQ753">
        <v>0</v>
      </c>
      <c r="AR753">
        <v>0</v>
      </c>
      <c r="AS753">
        <v>0</v>
      </c>
      <c r="AT753">
        <f t="shared" si="35"/>
        <v>5.9604000000000008</v>
      </c>
      <c r="AU753">
        <f t="shared" si="33"/>
        <v>0.59333333333333327</v>
      </c>
      <c r="AV753">
        <f t="shared" si="34"/>
        <v>856.90600000000006</v>
      </c>
      <c r="AW753">
        <v>72</v>
      </c>
      <c r="AX753">
        <v>534</v>
      </c>
      <c r="BB753" t="s">
        <v>306</v>
      </c>
      <c r="BC753" t="s">
        <v>60</v>
      </c>
    </row>
    <row r="754" spans="3:55" x14ac:dyDescent="0.45">
      <c r="C754">
        <v>78.400000000000006</v>
      </c>
      <c r="D754">
        <v>0</v>
      </c>
      <c r="E754">
        <v>0</v>
      </c>
      <c r="F754">
        <v>0</v>
      </c>
      <c r="G754">
        <v>0</v>
      </c>
      <c r="H754">
        <v>0</v>
      </c>
      <c r="I754">
        <v>0</v>
      </c>
      <c r="J754">
        <v>1.97</v>
      </c>
      <c r="K754">
        <v>15.329999999999998</v>
      </c>
      <c r="L754">
        <v>3.32</v>
      </c>
      <c r="M754">
        <v>0.98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1</v>
      </c>
      <c r="W754">
        <v>0</v>
      </c>
      <c r="X754">
        <v>0</v>
      </c>
      <c r="Y754">
        <v>0</v>
      </c>
      <c r="Z754">
        <v>1</v>
      </c>
      <c r="AA754">
        <v>0</v>
      </c>
      <c r="AB754">
        <v>0</v>
      </c>
      <c r="AC754">
        <v>0</v>
      </c>
      <c r="AD754">
        <v>0</v>
      </c>
      <c r="AE754">
        <v>1</v>
      </c>
      <c r="AF754">
        <v>0</v>
      </c>
      <c r="AG754">
        <v>0</v>
      </c>
      <c r="AH754">
        <v>0</v>
      </c>
      <c r="AI754">
        <v>0</v>
      </c>
      <c r="AJ754">
        <v>0</v>
      </c>
      <c r="AK754">
        <v>0</v>
      </c>
      <c r="AL754">
        <v>0</v>
      </c>
      <c r="AM754">
        <v>0</v>
      </c>
      <c r="AN754">
        <v>0</v>
      </c>
      <c r="AO754">
        <v>0</v>
      </c>
      <c r="AP754">
        <v>0</v>
      </c>
      <c r="AQ754">
        <v>0</v>
      </c>
      <c r="AR754">
        <v>0</v>
      </c>
      <c r="AS754">
        <v>0</v>
      </c>
      <c r="AT754">
        <f t="shared" si="35"/>
        <v>7.6123999999999992</v>
      </c>
      <c r="AU754">
        <f t="shared" si="33"/>
        <v>0.65500000000000003</v>
      </c>
      <c r="AV754">
        <f t="shared" si="34"/>
        <v>840.98300000000006</v>
      </c>
      <c r="AW754">
        <v>68</v>
      </c>
      <c r="AX754">
        <v>491</v>
      </c>
      <c r="BB754" t="s">
        <v>307</v>
      </c>
      <c r="BC754" t="s">
        <v>60</v>
      </c>
    </row>
    <row r="755" spans="3:55" x14ac:dyDescent="0.45">
      <c r="C755">
        <v>81.25</v>
      </c>
      <c r="D755">
        <v>0</v>
      </c>
      <c r="E755">
        <v>0</v>
      </c>
      <c r="F755">
        <v>0</v>
      </c>
      <c r="G755">
        <v>0</v>
      </c>
      <c r="H755">
        <v>0</v>
      </c>
      <c r="I755">
        <v>0</v>
      </c>
      <c r="J755">
        <v>6.25</v>
      </c>
      <c r="K755">
        <v>6.25</v>
      </c>
      <c r="L755">
        <v>3.13</v>
      </c>
      <c r="M755">
        <v>3.12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1</v>
      </c>
      <c r="Z755">
        <v>0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>
        <v>0</v>
      </c>
      <c r="AH755">
        <v>0</v>
      </c>
      <c r="AI755">
        <v>0</v>
      </c>
      <c r="AJ755">
        <v>0</v>
      </c>
      <c r="AK755">
        <v>0</v>
      </c>
      <c r="AL755">
        <v>0</v>
      </c>
      <c r="AM755">
        <v>0</v>
      </c>
      <c r="AN755">
        <v>0</v>
      </c>
      <c r="AO755">
        <v>0</v>
      </c>
      <c r="AP755">
        <v>0</v>
      </c>
      <c r="AQ755">
        <v>0</v>
      </c>
      <c r="AR755">
        <v>0</v>
      </c>
      <c r="AS755">
        <v>0</v>
      </c>
      <c r="AT755">
        <f t="shared" si="35"/>
        <v>4.88</v>
      </c>
      <c r="AU755">
        <f t="shared" si="33"/>
        <v>2.081666666666667</v>
      </c>
      <c r="AV755">
        <f t="shared" si="34"/>
        <v>822.24400000000003</v>
      </c>
      <c r="AW755">
        <v>48</v>
      </c>
      <c r="BB755" t="s">
        <v>308</v>
      </c>
    </row>
    <row r="756" spans="3:55" x14ac:dyDescent="0.45">
      <c r="C756">
        <v>75</v>
      </c>
      <c r="D756">
        <v>0</v>
      </c>
      <c r="E756">
        <v>0</v>
      </c>
      <c r="F756">
        <v>0</v>
      </c>
      <c r="G756">
        <v>0</v>
      </c>
      <c r="H756">
        <v>0</v>
      </c>
      <c r="I756">
        <v>0</v>
      </c>
      <c r="J756">
        <v>12.5</v>
      </c>
      <c r="K756">
        <v>6.25</v>
      </c>
      <c r="L756">
        <v>3.13</v>
      </c>
      <c r="M756">
        <v>3.12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1</v>
      </c>
      <c r="Z756">
        <v>0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>
        <v>0</v>
      </c>
      <c r="AH756">
        <v>0</v>
      </c>
      <c r="AI756">
        <v>0</v>
      </c>
      <c r="AJ756">
        <v>0</v>
      </c>
      <c r="AK756">
        <v>0</v>
      </c>
      <c r="AL756">
        <v>0</v>
      </c>
      <c r="AM756">
        <v>0</v>
      </c>
      <c r="AN756">
        <v>0</v>
      </c>
      <c r="AO756">
        <v>0</v>
      </c>
      <c r="AP756">
        <v>0</v>
      </c>
      <c r="AQ756">
        <v>0</v>
      </c>
      <c r="AR756">
        <v>0</v>
      </c>
      <c r="AS756">
        <v>0</v>
      </c>
      <c r="AT756">
        <f t="shared" si="35"/>
        <v>4.88</v>
      </c>
      <c r="AU756">
        <f t="shared" si="33"/>
        <v>3.1233333333333335</v>
      </c>
      <c r="AV756">
        <f t="shared" si="34"/>
        <v>779.11900000000003</v>
      </c>
      <c r="AW756">
        <v>56</v>
      </c>
      <c r="BB756" t="s">
        <v>309</v>
      </c>
    </row>
    <row r="757" spans="3:55" x14ac:dyDescent="0.45">
      <c r="C757">
        <v>76.47</v>
      </c>
      <c r="D757">
        <v>0</v>
      </c>
      <c r="E757">
        <v>0</v>
      </c>
      <c r="F757">
        <v>0</v>
      </c>
      <c r="G757">
        <v>0</v>
      </c>
      <c r="H757">
        <v>0</v>
      </c>
      <c r="I757">
        <v>0</v>
      </c>
      <c r="J757">
        <v>5.88</v>
      </c>
      <c r="K757">
        <v>11.76</v>
      </c>
      <c r="L757">
        <v>2.94</v>
      </c>
      <c r="M757">
        <v>2.95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1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>
        <v>0</v>
      </c>
      <c r="AI757">
        <v>0</v>
      </c>
      <c r="AJ757">
        <v>0</v>
      </c>
      <c r="AK757">
        <v>0</v>
      </c>
      <c r="AL757">
        <v>0</v>
      </c>
      <c r="AM757">
        <v>0</v>
      </c>
      <c r="AN757">
        <v>0</v>
      </c>
      <c r="AO757">
        <v>0</v>
      </c>
      <c r="AP757">
        <v>0</v>
      </c>
      <c r="AQ757">
        <v>0</v>
      </c>
      <c r="AR757">
        <v>0</v>
      </c>
      <c r="AS757">
        <v>0</v>
      </c>
      <c r="AT757">
        <f t="shared" si="35"/>
        <v>6.2328000000000001</v>
      </c>
      <c r="AU757">
        <f t="shared" si="33"/>
        <v>1.9633333333333334</v>
      </c>
      <c r="AV757">
        <f t="shared" si="34"/>
        <v>825.88800000000003</v>
      </c>
      <c r="AW757">
        <v>72</v>
      </c>
      <c r="BB757" t="s">
        <v>310</v>
      </c>
    </row>
    <row r="758" spans="3:55" x14ac:dyDescent="0.45">
      <c r="C758">
        <v>68.099999999999994</v>
      </c>
      <c r="D758">
        <v>0</v>
      </c>
      <c r="E758">
        <v>0</v>
      </c>
      <c r="F758">
        <v>0</v>
      </c>
      <c r="G758">
        <v>0</v>
      </c>
      <c r="H758">
        <v>0</v>
      </c>
      <c r="I758">
        <v>0</v>
      </c>
      <c r="J758">
        <v>10</v>
      </c>
      <c r="K758">
        <v>10.199999999999999</v>
      </c>
      <c r="L758">
        <v>5.2</v>
      </c>
      <c r="M758">
        <v>6.5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1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>
        <v>0</v>
      </c>
      <c r="AI758">
        <v>0</v>
      </c>
      <c r="AJ758">
        <v>0</v>
      </c>
      <c r="AK758">
        <v>0</v>
      </c>
      <c r="AL758">
        <v>0</v>
      </c>
      <c r="AM758">
        <v>0</v>
      </c>
      <c r="AN758">
        <v>0</v>
      </c>
      <c r="AO758">
        <v>0</v>
      </c>
      <c r="AP758">
        <v>0</v>
      </c>
      <c r="AQ758">
        <v>0</v>
      </c>
      <c r="AR758">
        <v>0</v>
      </c>
      <c r="AS758">
        <v>0</v>
      </c>
      <c r="AT758">
        <f t="shared" si="35"/>
        <v>8.0560000000000009</v>
      </c>
      <c r="AU758">
        <f t="shared" si="33"/>
        <v>3.833333333333333</v>
      </c>
      <c r="AV758">
        <f t="shared" si="34"/>
        <v>790.9</v>
      </c>
      <c r="AW758">
        <v>48</v>
      </c>
      <c r="BB758" t="s">
        <v>311</v>
      </c>
    </row>
    <row r="759" spans="3:55" x14ac:dyDescent="0.45">
      <c r="C759">
        <v>60</v>
      </c>
      <c r="D759">
        <v>0</v>
      </c>
      <c r="E759">
        <v>0</v>
      </c>
      <c r="F759">
        <v>0</v>
      </c>
      <c r="G759">
        <v>0</v>
      </c>
      <c r="H759">
        <v>0</v>
      </c>
      <c r="I759">
        <v>0</v>
      </c>
      <c r="J759">
        <v>19.100000000000001</v>
      </c>
      <c r="K759">
        <v>9.6999999999999993</v>
      </c>
      <c r="L759">
        <v>5</v>
      </c>
      <c r="M759">
        <v>6.2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1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>
        <v>0</v>
      </c>
      <c r="AI759">
        <v>0</v>
      </c>
      <c r="AJ759">
        <v>0</v>
      </c>
      <c r="AK759">
        <v>0</v>
      </c>
      <c r="AL759">
        <v>0</v>
      </c>
      <c r="AM759">
        <v>0</v>
      </c>
      <c r="AN759">
        <v>0</v>
      </c>
      <c r="AO759">
        <v>0</v>
      </c>
      <c r="AP759">
        <v>0</v>
      </c>
      <c r="AQ759">
        <v>0</v>
      </c>
      <c r="AR759">
        <v>0</v>
      </c>
      <c r="AS759">
        <v>0</v>
      </c>
      <c r="AT759">
        <f t="shared" si="35"/>
        <v>7.7160000000000002</v>
      </c>
      <c r="AU759">
        <f t="shared" si="33"/>
        <v>5.25</v>
      </c>
      <c r="AV759">
        <f t="shared" si="34"/>
        <v>728.75</v>
      </c>
      <c r="AW759">
        <v>56</v>
      </c>
      <c r="BB759" t="s">
        <v>312</v>
      </c>
    </row>
    <row r="760" spans="3:55" x14ac:dyDescent="0.45">
      <c r="C760">
        <v>61.9</v>
      </c>
      <c r="D760">
        <v>0</v>
      </c>
      <c r="E760">
        <v>0</v>
      </c>
      <c r="F760">
        <v>0</v>
      </c>
      <c r="G760">
        <v>0</v>
      </c>
      <c r="H760">
        <v>0</v>
      </c>
      <c r="I760">
        <v>0</v>
      </c>
      <c r="J760">
        <v>9.1</v>
      </c>
      <c r="K760">
        <v>18.5</v>
      </c>
      <c r="L760">
        <v>4.7</v>
      </c>
      <c r="M760">
        <v>5.8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1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>
        <v>0</v>
      </c>
      <c r="AI760">
        <v>0</v>
      </c>
      <c r="AJ760">
        <v>0</v>
      </c>
      <c r="AK760">
        <v>0</v>
      </c>
      <c r="AL760">
        <v>0</v>
      </c>
      <c r="AM760">
        <v>0</v>
      </c>
      <c r="AN760">
        <v>0</v>
      </c>
      <c r="AO760">
        <v>0</v>
      </c>
      <c r="AP760">
        <v>0</v>
      </c>
      <c r="AQ760">
        <v>0</v>
      </c>
      <c r="AR760">
        <v>0</v>
      </c>
      <c r="AS760">
        <v>0</v>
      </c>
      <c r="AT760">
        <f t="shared" si="35"/>
        <v>9.8800000000000008</v>
      </c>
      <c r="AU760">
        <f t="shared" si="33"/>
        <v>3.45</v>
      </c>
      <c r="AV760">
        <f t="shared" si="34"/>
        <v>798.92000000000007</v>
      </c>
      <c r="AW760">
        <v>72</v>
      </c>
      <c r="BB760" t="s">
        <v>313</v>
      </c>
    </row>
    <row r="761" spans="3:55" x14ac:dyDescent="0.45">
      <c r="C761">
        <v>54.7</v>
      </c>
      <c r="D761">
        <v>0</v>
      </c>
      <c r="E761">
        <v>0</v>
      </c>
      <c r="F761">
        <v>0</v>
      </c>
      <c r="G761">
        <v>0</v>
      </c>
      <c r="H761">
        <v>0</v>
      </c>
      <c r="I761">
        <v>0</v>
      </c>
      <c r="J761">
        <v>17.399999999999999</v>
      </c>
      <c r="K761">
        <v>17.8</v>
      </c>
      <c r="L761">
        <v>4.5</v>
      </c>
      <c r="M761">
        <v>5.6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1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>
        <v>0</v>
      </c>
      <c r="AI761">
        <v>0</v>
      </c>
      <c r="AJ761">
        <v>0</v>
      </c>
      <c r="AK761">
        <v>0</v>
      </c>
      <c r="AL761">
        <v>0</v>
      </c>
      <c r="AM761">
        <v>0</v>
      </c>
      <c r="AN761">
        <v>0</v>
      </c>
      <c r="AO761">
        <v>0</v>
      </c>
      <c r="AP761">
        <v>0</v>
      </c>
      <c r="AQ761">
        <v>0</v>
      </c>
      <c r="AR761">
        <v>0</v>
      </c>
      <c r="AS761">
        <v>0</v>
      </c>
      <c r="AT761">
        <f t="shared" si="35"/>
        <v>9.4840000000000018</v>
      </c>
      <c r="AU761">
        <f t="shared" si="33"/>
        <v>4.7666666666666666</v>
      </c>
      <c r="AV761">
        <f t="shared" si="34"/>
        <v>742.71</v>
      </c>
      <c r="AW761">
        <v>82</v>
      </c>
      <c r="BB761" t="s">
        <v>314</v>
      </c>
    </row>
    <row r="762" spans="3:55" x14ac:dyDescent="0.45">
      <c r="C762">
        <v>56.6</v>
      </c>
      <c r="D762">
        <v>0</v>
      </c>
      <c r="E762">
        <v>0</v>
      </c>
      <c r="F762">
        <v>0</v>
      </c>
      <c r="G762">
        <v>0</v>
      </c>
      <c r="H762">
        <v>0</v>
      </c>
      <c r="I762">
        <v>0</v>
      </c>
      <c r="J762">
        <v>8.1999999999999993</v>
      </c>
      <c r="K762">
        <v>25.4</v>
      </c>
      <c r="L762">
        <v>4.4000000000000004</v>
      </c>
      <c r="M762">
        <v>5.4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1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>
        <v>0</v>
      </c>
      <c r="AI762">
        <v>0</v>
      </c>
      <c r="AJ762">
        <v>0</v>
      </c>
      <c r="AK762">
        <v>0</v>
      </c>
      <c r="AL762">
        <v>0</v>
      </c>
      <c r="AM762">
        <v>0</v>
      </c>
      <c r="AN762">
        <v>0</v>
      </c>
      <c r="AO762">
        <v>0</v>
      </c>
      <c r="AP762">
        <v>0</v>
      </c>
      <c r="AQ762">
        <v>0</v>
      </c>
      <c r="AR762">
        <v>0</v>
      </c>
      <c r="AS762">
        <v>0</v>
      </c>
      <c r="AT762">
        <f t="shared" si="35"/>
        <v>11.512</v>
      </c>
      <c r="AU762">
        <f t="shared" si="33"/>
        <v>3.1666666666666665</v>
      </c>
      <c r="AV762">
        <f t="shared" si="34"/>
        <v>806.3</v>
      </c>
      <c r="AW762">
        <v>66</v>
      </c>
    </row>
    <row r="763" spans="3:55" x14ac:dyDescent="0.45">
      <c r="C763">
        <v>50.2</v>
      </c>
      <c r="D763">
        <v>0</v>
      </c>
      <c r="E763">
        <v>0</v>
      </c>
      <c r="F763">
        <v>0</v>
      </c>
      <c r="G763">
        <v>0</v>
      </c>
      <c r="H763">
        <v>0</v>
      </c>
      <c r="I763">
        <v>0</v>
      </c>
      <c r="J763">
        <v>15.9</v>
      </c>
      <c r="K763">
        <v>24.4</v>
      </c>
      <c r="L763">
        <v>4.3</v>
      </c>
      <c r="M763">
        <v>5.2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1</v>
      </c>
      <c r="Z763">
        <v>0</v>
      </c>
      <c r="AA763">
        <v>0</v>
      </c>
      <c r="AB763">
        <v>0</v>
      </c>
      <c r="AC763">
        <v>0</v>
      </c>
      <c r="AD763">
        <v>0</v>
      </c>
      <c r="AE763">
        <v>0</v>
      </c>
      <c r="AF763">
        <v>0</v>
      </c>
      <c r="AG763">
        <v>0</v>
      </c>
      <c r="AH763">
        <v>0</v>
      </c>
      <c r="AI763">
        <v>0</v>
      </c>
      <c r="AJ763">
        <v>0</v>
      </c>
      <c r="AK763">
        <v>0</v>
      </c>
      <c r="AL763">
        <v>0</v>
      </c>
      <c r="AM763">
        <v>0</v>
      </c>
      <c r="AN763">
        <v>0</v>
      </c>
      <c r="AO763">
        <v>0</v>
      </c>
      <c r="AP763">
        <v>0</v>
      </c>
      <c r="AQ763">
        <v>0</v>
      </c>
      <c r="AR763">
        <v>0</v>
      </c>
      <c r="AS763">
        <v>0</v>
      </c>
      <c r="AT763">
        <f t="shared" si="35"/>
        <v>11.132</v>
      </c>
      <c r="AU763">
        <f t="shared" si="33"/>
        <v>4.3833333333333329</v>
      </c>
      <c r="AV763">
        <f t="shared" si="34"/>
        <v>753.28</v>
      </c>
      <c r="AW763">
        <v>72</v>
      </c>
    </row>
    <row r="764" spans="3:55" x14ac:dyDescent="0.45">
      <c r="C764">
        <v>81.3</v>
      </c>
      <c r="D764">
        <v>0</v>
      </c>
      <c r="E764">
        <v>0</v>
      </c>
      <c r="F764">
        <v>0</v>
      </c>
      <c r="G764">
        <v>0</v>
      </c>
      <c r="H764">
        <v>0</v>
      </c>
      <c r="I764">
        <v>0</v>
      </c>
      <c r="J764">
        <v>7.5</v>
      </c>
      <c r="K764">
        <v>5</v>
      </c>
      <c r="L764">
        <v>3.1</v>
      </c>
      <c r="M764">
        <v>3.1</v>
      </c>
      <c r="N764">
        <v>0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1</v>
      </c>
      <c r="Z764">
        <v>0</v>
      </c>
      <c r="AA764">
        <v>0</v>
      </c>
      <c r="AB764">
        <v>0</v>
      </c>
      <c r="AC764">
        <v>0</v>
      </c>
      <c r="AD764">
        <v>0</v>
      </c>
      <c r="AE764">
        <v>0</v>
      </c>
      <c r="AF764">
        <v>0</v>
      </c>
      <c r="AG764">
        <v>0</v>
      </c>
      <c r="AH764">
        <v>0</v>
      </c>
      <c r="AI764">
        <v>0</v>
      </c>
      <c r="AJ764">
        <v>0</v>
      </c>
      <c r="AK764">
        <v>0</v>
      </c>
      <c r="AL764">
        <v>0</v>
      </c>
      <c r="AM764">
        <v>0</v>
      </c>
      <c r="AN764">
        <v>0</v>
      </c>
      <c r="AO764">
        <v>0</v>
      </c>
      <c r="AP764">
        <v>0</v>
      </c>
      <c r="AQ764">
        <v>0</v>
      </c>
      <c r="AR764">
        <v>0</v>
      </c>
      <c r="AS764">
        <v>0</v>
      </c>
      <c r="AT764">
        <f t="shared" si="35"/>
        <v>4.5</v>
      </c>
      <c r="AU764">
        <f t="shared" si="33"/>
        <v>2.2833333333333332</v>
      </c>
      <c r="AV764">
        <f t="shared" si="34"/>
        <v>813.81999999999994</v>
      </c>
      <c r="AW764">
        <v>58</v>
      </c>
    </row>
    <row r="765" spans="3:55" x14ac:dyDescent="0.45">
      <c r="C765">
        <v>81.3</v>
      </c>
      <c r="D765">
        <v>0</v>
      </c>
      <c r="E765">
        <v>0</v>
      </c>
      <c r="F765">
        <v>0</v>
      </c>
      <c r="G765">
        <v>0</v>
      </c>
      <c r="H765">
        <v>0</v>
      </c>
      <c r="I765">
        <v>0</v>
      </c>
      <c r="J765">
        <v>9.4</v>
      </c>
      <c r="K765">
        <v>3.1</v>
      </c>
      <c r="L765">
        <v>3.1</v>
      </c>
      <c r="M765">
        <v>3.1</v>
      </c>
      <c r="N765">
        <v>0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1</v>
      </c>
      <c r="Z765">
        <v>0</v>
      </c>
      <c r="AA765">
        <v>0</v>
      </c>
      <c r="AB765">
        <v>0</v>
      </c>
      <c r="AC765">
        <v>0</v>
      </c>
      <c r="AD765">
        <v>0</v>
      </c>
      <c r="AE765">
        <v>0</v>
      </c>
      <c r="AF765">
        <v>0</v>
      </c>
      <c r="AG765">
        <v>0</v>
      </c>
      <c r="AH765">
        <v>0</v>
      </c>
      <c r="AI765">
        <v>0</v>
      </c>
      <c r="AJ765">
        <v>0</v>
      </c>
      <c r="AK765">
        <v>0</v>
      </c>
      <c r="AL765">
        <v>0</v>
      </c>
      <c r="AM765">
        <v>0</v>
      </c>
      <c r="AN765">
        <v>0</v>
      </c>
      <c r="AO765">
        <v>0</v>
      </c>
      <c r="AP765">
        <v>0</v>
      </c>
      <c r="AQ765">
        <v>0</v>
      </c>
      <c r="AR765">
        <v>0</v>
      </c>
      <c r="AS765">
        <v>0</v>
      </c>
      <c r="AT765">
        <f t="shared" si="35"/>
        <v>3.968</v>
      </c>
      <c r="AU765">
        <f t="shared" si="33"/>
        <v>2.6</v>
      </c>
      <c r="AV765">
        <f t="shared" si="34"/>
        <v>800.70999999999992</v>
      </c>
      <c r="AW765">
        <v>56</v>
      </c>
    </row>
    <row r="766" spans="3:55" x14ac:dyDescent="0.45">
      <c r="C766">
        <v>81.17</v>
      </c>
      <c r="D766">
        <v>0</v>
      </c>
      <c r="E766">
        <v>0</v>
      </c>
      <c r="F766">
        <v>0</v>
      </c>
      <c r="G766">
        <v>0</v>
      </c>
      <c r="H766">
        <v>0</v>
      </c>
      <c r="I766">
        <v>0</v>
      </c>
      <c r="J766">
        <v>6.27</v>
      </c>
      <c r="K766">
        <v>6.27</v>
      </c>
      <c r="L766">
        <v>3.16</v>
      </c>
      <c r="M766">
        <v>3.13</v>
      </c>
      <c r="N766">
        <v>0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1</v>
      </c>
      <c r="Z766">
        <v>0</v>
      </c>
      <c r="AA766">
        <v>0</v>
      </c>
      <c r="AB766">
        <v>0</v>
      </c>
      <c r="AC766">
        <v>0</v>
      </c>
      <c r="AD766">
        <v>0</v>
      </c>
      <c r="AE766">
        <v>0</v>
      </c>
      <c r="AF766">
        <v>0</v>
      </c>
      <c r="AG766">
        <v>0</v>
      </c>
      <c r="AH766">
        <v>0</v>
      </c>
      <c r="AI766">
        <v>0</v>
      </c>
      <c r="AJ766">
        <v>0</v>
      </c>
      <c r="AK766">
        <v>0</v>
      </c>
      <c r="AL766">
        <v>0</v>
      </c>
      <c r="AM766">
        <v>0</v>
      </c>
      <c r="AN766">
        <v>0</v>
      </c>
      <c r="AO766">
        <v>0</v>
      </c>
      <c r="AP766">
        <v>0</v>
      </c>
      <c r="AQ766">
        <v>0</v>
      </c>
      <c r="AR766">
        <v>0</v>
      </c>
      <c r="AS766">
        <v>0</v>
      </c>
      <c r="AT766">
        <f t="shared" si="35"/>
        <v>4.9156000000000004</v>
      </c>
      <c r="AU766">
        <f t="shared" si="33"/>
        <v>2.0883333333333329</v>
      </c>
      <c r="AV766">
        <f t="shared" si="34"/>
        <v>821.86299999999994</v>
      </c>
      <c r="AW766">
        <v>48</v>
      </c>
    </row>
    <row r="767" spans="3:55" x14ac:dyDescent="0.45">
      <c r="C767">
        <v>76.38</v>
      </c>
      <c r="D767">
        <v>0</v>
      </c>
      <c r="E767">
        <v>0</v>
      </c>
      <c r="F767">
        <v>0</v>
      </c>
      <c r="G767">
        <v>0</v>
      </c>
      <c r="H767">
        <v>0</v>
      </c>
      <c r="I767">
        <v>0</v>
      </c>
      <c r="J767">
        <v>5.91</v>
      </c>
      <c r="K767">
        <v>11.8</v>
      </c>
      <c r="L767">
        <v>2.96</v>
      </c>
      <c r="M767">
        <v>2.95</v>
      </c>
      <c r="N767">
        <v>0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1</v>
      </c>
      <c r="Z767">
        <v>0</v>
      </c>
      <c r="AA767">
        <v>0</v>
      </c>
      <c r="AB767">
        <v>0</v>
      </c>
      <c r="AC767">
        <v>0</v>
      </c>
      <c r="AD767">
        <v>0</v>
      </c>
      <c r="AE767">
        <v>0</v>
      </c>
      <c r="AF767">
        <v>0</v>
      </c>
      <c r="AG767">
        <v>0</v>
      </c>
      <c r="AH767">
        <v>0</v>
      </c>
      <c r="AI767">
        <v>0</v>
      </c>
      <c r="AJ767">
        <v>0</v>
      </c>
      <c r="AK767">
        <v>0</v>
      </c>
      <c r="AL767">
        <v>0</v>
      </c>
      <c r="AM767">
        <v>0</v>
      </c>
      <c r="AN767">
        <v>0</v>
      </c>
      <c r="AO767">
        <v>0</v>
      </c>
      <c r="AP767">
        <v>0</v>
      </c>
      <c r="AQ767">
        <v>0</v>
      </c>
      <c r="AR767">
        <v>0</v>
      </c>
      <c r="AS767">
        <v>0</v>
      </c>
      <c r="AT767">
        <f t="shared" si="35"/>
        <v>6.2640000000000011</v>
      </c>
      <c r="AU767">
        <f t="shared" si="33"/>
        <v>1.9683333333333333</v>
      </c>
      <c r="AV767">
        <f t="shared" si="34"/>
        <v>825.49099999999999</v>
      </c>
      <c r="AW767">
        <v>72</v>
      </c>
    </row>
    <row r="768" spans="3:55" x14ac:dyDescent="0.45">
      <c r="C768">
        <v>79.36</v>
      </c>
      <c r="D768">
        <v>0</v>
      </c>
      <c r="E768">
        <v>0</v>
      </c>
      <c r="F768">
        <v>0</v>
      </c>
      <c r="G768">
        <v>0</v>
      </c>
      <c r="H768">
        <v>0</v>
      </c>
      <c r="I768">
        <v>0</v>
      </c>
      <c r="J768">
        <v>5.9</v>
      </c>
      <c r="K768">
        <v>8.85</v>
      </c>
      <c r="L768">
        <v>2.96</v>
      </c>
      <c r="M768">
        <v>2.93</v>
      </c>
      <c r="N768">
        <v>0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1</v>
      </c>
      <c r="Z768">
        <v>0</v>
      </c>
      <c r="AA768">
        <v>0</v>
      </c>
      <c r="AB768">
        <v>0</v>
      </c>
      <c r="AC768">
        <v>0</v>
      </c>
      <c r="AD768">
        <v>0</v>
      </c>
      <c r="AE768">
        <v>0</v>
      </c>
      <c r="AF768">
        <v>0</v>
      </c>
      <c r="AG768">
        <v>0</v>
      </c>
      <c r="AH768">
        <v>0</v>
      </c>
      <c r="AI768">
        <v>0</v>
      </c>
      <c r="AJ768">
        <v>0</v>
      </c>
      <c r="AK768">
        <v>0</v>
      </c>
      <c r="AL768">
        <v>0</v>
      </c>
      <c r="AM768">
        <v>0</v>
      </c>
      <c r="AN768">
        <v>0</v>
      </c>
      <c r="AO768">
        <v>0</v>
      </c>
      <c r="AP768">
        <v>0</v>
      </c>
      <c r="AQ768">
        <v>0</v>
      </c>
      <c r="AR768">
        <v>0</v>
      </c>
      <c r="AS768">
        <v>0</v>
      </c>
      <c r="AT768">
        <f t="shared" si="35"/>
        <v>5.4380000000000006</v>
      </c>
      <c r="AU768">
        <f t="shared" si="33"/>
        <v>1.96</v>
      </c>
      <c r="AV768">
        <f t="shared" si="34"/>
        <v>825.476</v>
      </c>
      <c r="AW768">
        <v>56</v>
      </c>
    </row>
    <row r="769" spans="3:55" x14ac:dyDescent="0.45">
      <c r="C769">
        <v>82.3</v>
      </c>
      <c r="D769">
        <v>0</v>
      </c>
      <c r="E769">
        <v>0</v>
      </c>
      <c r="F769">
        <v>0</v>
      </c>
      <c r="G769">
        <v>0</v>
      </c>
      <c r="H769">
        <v>0</v>
      </c>
      <c r="I769">
        <v>0</v>
      </c>
      <c r="J769">
        <v>5.9</v>
      </c>
      <c r="K769">
        <v>5.9</v>
      </c>
      <c r="L769">
        <v>2.95</v>
      </c>
      <c r="M769">
        <v>2.95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0</v>
      </c>
      <c r="AH769">
        <v>0</v>
      </c>
      <c r="AI769">
        <v>0</v>
      </c>
      <c r="AJ769">
        <v>0</v>
      </c>
      <c r="AK769">
        <v>0</v>
      </c>
      <c r="AL769">
        <v>0</v>
      </c>
      <c r="AM769">
        <v>0</v>
      </c>
      <c r="AN769">
        <v>0</v>
      </c>
      <c r="AO769">
        <v>0</v>
      </c>
      <c r="AP769">
        <v>0</v>
      </c>
      <c r="AQ769">
        <v>0</v>
      </c>
      <c r="AR769">
        <v>0</v>
      </c>
      <c r="AS769">
        <v>0</v>
      </c>
      <c r="AT769">
        <f t="shared" si="35"/>
        <v>4.6020000000000003</v>
      </c>
      <c r="AU769">
        <f t="shared" si="33"/>
        <v>1.9666666666666668</v>
      </c>
      <c r="AV769">
        <f t="shared" si="34"/>
        <v>825.65499999999997</v>
      </c>
      <c r="AW769">
        <v>54</v>
      </c>
    </row>
    <row r="770" spans="3:55" x14ac:dyDescent="0.45">
      <c r="C770">
        <v>85.25</v>
      </c>
      <c r="D770">
        <v>0</v>
      </c>
      <c r="E770">
        <v>0</v>
      </c>
      <c r="F770">
        <v>0</v>
      </c>
      <c r="G770">
        <v>0</v>
      </c>
      <c r="H770">
        <v>0</v>
      </c>
      <c r="I770">
        <v>0</v>
      </c>
      <c r="J770">
        <v>2.97</v>
      </c>
      <c r="K770">
        <v>5.9</v>
      </c>
      <c r="L770">
        <v>2.94</v>
      </c>
      <c r="M770">
        <v>2.94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0</v>
      </c>
      <c r="AH770">
        <v>0</v>
      </c>
      <c r="AI770">
        <v>0</v>
      </c>
      <c r="AJ770">
        <v>0</v>
      </c>
      <c r="AK770">
        <v>0</v>
      </c>
      <c r="AL770">
        <v>0</v>
      </c>
      <c r="AM770">
        <v>0</v>
      </c>
      <c r="AN770">
        <v>0</v>
      </c>
      <c r="AO770">
        <v>0</v>
      </c>
      <c r="AP770">
        <v>0</v>
      </c>
      <c r="AQ770">
        <v>0</v>
      </c>
      <c r="AR770">
        <v>0</v>
      </c>
      <c r="AS770">
        <v>0</v>
      </c>
      <c r="AT770">
        <f t="shared" si="35"/>
        <v>4.5920000000000005</v>
      </c>
      <c r="AU770">
        <f t="shared" ref="AU770:AU833" si="36">D770+J770/6+M770/3+(T770+S770)/10</f>
        <v>1.4750000000000001</v>
      </c>
      <c r="AV770">
        <f t="shared" ref="AV770:AV833" si="37">882+2.1*D770-9.5*L770+4.2*M770-6.9*J770-11.8*E770-12.1*F770-15.4*H770+23.3*Q770+123*T770</f>
        <v>845.92499999999995</v>
      </c>
      <c r="AW770">
        <v>59</v>
      </c>
    </row>
    <row r="771" spans="3:55" x14ac:dyDescent="0.45">
      <c r="C771">
        <v>81.22</v>
      </c>
      <c r="D771">
        <v>0</v>
      </c>
      <c r="E771">
        <v>0</v>
      </c>
      <c r="F771">
        <v>0</v>
      </c>
      <c r="G771">
        <v>0</v>
      </c>
      <c r="H771">
        <v>0</v>
      </c>
      <c r="I771">
        <v>0</v>
      </c>
      <c r="J771">
        <v>3.13</v>
      </c>
      <c r="K771">
        <v>9.36</v>
      </c>
      <c r="L771">
        <v>3.16</v>
      </c>
      <c r="M771">
        <v>3.13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0</v>
      </c>
      <c r="AH771">
        <v>0</v>
      </c>
      <c r="AI771">
        <v>0</v>
      </c>
      <c r="AJ771">
        <v>0</v>
      </c>
      <c r="AK771">
        <v>0</v>
      </c>
      <c r="AL771">
        <v>0</v>
      </c>
      <c r="AM771">
        <v>0</v>
      </c>
      <c r="AN771">
        <v>0</v>
      </c>
      <c r="AO771">
        <v>0</v>
      </c>
      <c r="AP771">
        <v>0</v>
      </c>
      <c r="AQ771">
        <v>0</v>
      </c>
      <c r="AR771">
        <v>0</v>
      </c>
      <c r="AS771">
        <v>0</v>
      </c>
      <c r="AT771">
        <f t="shared" ref="AT771:AT834" si="38">L771+0.67*E771+0.44*P771+0.28*K771+0.22*O771+2.9*H771+1.6*F771+1.7*G771-D771</f>
        <v>5.7808000000000002</v>
      </c>
      <c r="AU771">
        <f t="shared" si="36"/>
        <v>1.5649999999999999</v>
      </c>
      <c r="AV771">
        <f t="shared" si="37"/>
        <v>843.529</v>
      </c>
      <c r="AW771">
        <v>55</v>
      </c>
    </row>
    <row r="772" spans="3:55" x14ac:dyDescent="0.45">
      <c r="C772">
        <v>72.22</v>
      </c>
      <c r="D772">
        <v>0</v>
      </c>
      <c r="E772">
        <v>0</v>
      </c>
      <c r="F772">
        <v>0</v>
      </c>
      <c r="G772">
        <v>0</v>
      </c>
      <c r="H772">
        <v>0</v>
      </c>
      <c r="I772">
        <v>0</v>
      </c>
      <c r="J772">
        <v>5.56</v>
      </c>
      <c r="K772">
        <v>16.670000000000002</v>
      </c>
      <c r="L772">
        <v>2.78</v>
      </c>
      <c r="M772">
        <v>2.77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0</v>
      </c>
      <c r="AH772">
        <v>0</v>
      </c>
      <c r="AI772">
        <v>0</v>
      </c>
      <c r="AJ772">
        <v>0</v>
      </c>
      <c r="AK772">
        <v>0</v>
      </c>
      <c r="AL772">
        <v>0</v>
      </c>
      <c r="AM772">
        <v>0</v>
      </c>
      <c r="AN772">
        <v>0</v>
      </c>
      <c r="AO772">
        <v>0</v>
      </c>
      <c r="AP772">
        <v>0</v>
      </c>
      <c r="AQ772">
        <v>0</v>
      </c>
      <c r="AR772">
        <v>0</v>
      </c>
      <c r="AS772">
        <v>0</v>
      </c>
      <c r="AT772">
        <f t="shared" si="38"/>
        <v>7.4476000000000013</v>
      </c>
      <c r="AU772">
        <f t="shared" si="36"/>
        <v>1.85</v>
      </c>
      <c r="AV772">
        <f t="shared" si="37"/>
        <v>828.86</v>
      </c>
      <c r="AW772">
        <v>66</v>
      </c>
    </row>
    <row r="773" spans="3:55" x14ac:dyDescent="0.45">
      <c r="C773">
        <v>78.92</v>
      </c>
      <c r="D773">
        <v>0</v>
      </c>
      <c r="E773">
        <v>0</v>
      </c>
      <c r="F773">
        <v>0</v>
      </c>
      <c r="G773">
        <v>0</v>
      </c>
      <c r="H773">
        <v>0</v>
      </c>
      <c r="I773">
        <v>0</v>
      </c>
      <c r="J773">
        <v>1.9</v>
      </c>
      <c r="K773">
        <v>14.9</v>
      </c>
      <c r="L773">
        <v>3.31</v>
      </c>
      <c r="M773">
        <v>0.97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1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0</v>
      </c>
      <c r="AH773">
        <v>0</v>
      </c>
      <c r="AI773">
        <v>0</v>
      </c>
      <c r="AJ773">
        <v>0</v>
      </c>
      <c r="AK773">
        <v>0</v>
      </c>
      <c r="AL773">
        <v>0</v>
      </c>
      <c r="AM773">
        <v>0</v>
      </c>
      <c r="AN773">
        <v>0</v>
      </c>
      <c r="AO773">
        <v>0</v>
      </c>
      <c r="AP773">
        <v>0</v>
      </c>
      <c r="AQ773">
        <v>0</v>
      </c>
      <c r="AR773">
        <v>0</v>
      </c>
      <c r="AS773">
        <v>0</v>
      </c>
      <c r="AT773">
        <f t="shared" si="38"/>
        <v>7.4820000000000011</v>
      </c>
      <c r="AU773">
        <f t="shared" si="36"/>
        <v>0.6399999999999999</v>
      </c>
      <c r="AV773">
        <f t="shared" si="37"/>
        <v>841.51899999999989</v>
      </c>
      <c r="AW773">
        <v>63</v>
      </c>
    </row>
    <row r="774" spans="3:55" x14ac:dyDescent="0.45">
      <c r="C774">
        <v>80.72</v>
      </c>
      <c r="D774">
        <v>0</v>
      </c>
      <c r="E774">
        <v>0</v>
      </c>
      <c r="F774">
        <v>0</v>
      </c>
      <c r="G774">
        <v>0</v>
      </c>
      <c r="H774">
        <v>0</v>
      </c>
      <c r="I774">
        <v>0</v>
      </c>
      <c r="J774">
        <v>1.87</v>
      </c>
      <c r="K774">
        <v>14.68</v>
      </c>
      <c r="L774">
        <v>1.77</v>
      </c>
      <c r="M774">
        <v>0.96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1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0</v>
      </c>
      <c r="AH774">
        <v>0</v>
      </c>
      <c r="AI774">
        <v>0</v>
      </c>
      <c r="AJ774">
        <v>0</v>
      </c>
      <c r="AK774">
        <v>0</v>
      </c>
      <c r="AL774">
        <v>0</v>
      </c>
      <c r="AM774">
        <v>0</v>
      </c>
      <c r="AN774">
        <v>0</v>
      </c>
      <c r="AO774">
        <v>0</v>
      </c>
      <c r="AP774">
        <v>0</v>
      </c>
      <c r="AQ774">
        <v>0</v>
      </c>
      <c r="AR774">
        <v>0</v>
      </c>
      <c r="AS774">
        <v>0</v>
      </c>
      <c r="AT774">
        <f t="shared" si="38"/>
        <v>5.8803999999999998</v>
      </c>
      <c r="AU774">
        <f t="shared" si="36"/>
        <v>0.63166666666666671</v>
      </c>
      <c r="AV774">
        <f t="shared" si="37"/>
        <v>856.31399999999996</v>
      </c>
      <c r="AW774">
        <v>69</v>
      </c>
    </row>
    <row r="775" spans="3:55" x14ac:dyDescent="0.45">
      <c r="C775">
        <v>80.23</v>
      </c>
      <c r="D775">
        <v>0</v>
      </c>
      <c r="E775">
        <v>0</v>
      </c>
      <c r="F775">
        <v>0</v>
      </c>
      <c r="G775">
        <v>0</v>
      </c>
      <c r="H775">
        <v>0</v>
      </c>
      <c r="I775">
        <v>0</v>
      </c>
      <c r="J775">
        <v>0.63</v>
      </c>
      <c r="K775">
        <v>15.42</v>
      </c>
      <c r="L775">
        <v>1.79</v>
      </c>
      <c r="M775">
        <v>1.93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1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0</v>
      </c>
      <c r="AH775">
        <v>0</v>
      </c>
      <c r="AI775">
        <v>0</v>
      </c>
      <c r="AJ775">
        <v>0</v>
      </c>
      <c r="AK775">
        <v>0</v>
      </c>
      <c r="AL775">
        <v>0</v>
      </c>
      <c r="AM775">
        <v>0</v>
      </c>
      <c r="AN775">
        <v>0</v>
      </c>
      <c r="AO775">
        <v>0</v>
      </c>
      <c r="AP775">
        <v>0</v>
      </c>
      <c r="AQ775">
        <v>0</v>
      </c>
      <c r="AR775">
        <v>0</v>
      </c>
      <c r="AS775">
        <v>0</v>
      </c>
      <c r="AT775">
        <f t="shared" si="38"/>
        <v>6.1076000000000006</v>
      </c>
      <c r="AU775">
        <f t="shared" si="36"/>
        <v>0.74833333333333329</v>
      </c>
      <c r="AV775">
        <f t="shared" si="37"/>
        <v>868.75400000000002</v>
      </c>
      <c r="AW775">
        <v>58</v>
      </c>
    </row>
    <row r="776" spans="3:55" x14ac:dyDescent="0.45">
      <c r="C776">
        <v>79.989999999999995</v>
      </c>
      <c r="D776">
        <v>0</v>
      </c>
      <c r="E776">
        <v>0</v>
      </c>
      <c r="F776">
        <v>0</v>
      </c>
      <c r="G776">
        <v>0</v>
      </c>
      <c r="H776">
        <v>0</v>
      </c>
      <c r="I776">
        <v>0</v>
      </c>
      <c r="J776">
        <v>1.88</v>
      </c>
      <c r="K776">
        <v>15.38</v>
      </c>
      <c r="L776">
        <v>1.79</v>
      </c>
      <c r="M776">
        <v>0.96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1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0</v>
      </c>
      <c r="AH776">
        <v>0</v>
      </c>
      <c r="AI776">
        <v>0</v>
      </c>
      <c r="AJ776">
        <v>0</v>
      </c>
      <c r="AK776">
        <v>0</v>
      </c>
      <c r="AL776">
        <v>0</v>
      </c>
      <c r="AM776">
        <v>0</v>
      </c>
      <c r="AN776">
        <v>0</v>
      </c>
      <c r="AO776">
        <v>0</v>
      </c>
      <c r="AP776">
        <v>0</v>
      </c>
      <c r="AQ776">
        <v>0</v>
      </c>
      <c r="AR776">
        <v>0</v>
      </c>
      <c r="AS776">
        <v>0</v>
      </c>
      <c r="AT776">
        <f t="shared" si="38"/>
        <v>6.0964000000000009</v>
      </c>
      <c r="AU776">
        <f t="shared" si="36"/>
        <v>0.6333333333333333</v>
      </c>
      <c r="AV776">
        <f t="shared" si="37"/>
        <v>856.05500000000006</v>
      </c>
      <c r="AW776">
        <v>69</v>
      </c>
    </row>
    <row r="777" spans="3:55" x14ac:dyDescent="0.45">
      <c r="C777">
        <v>83.67</v>
      </c>
      <c r="D777">
        <v>0</v>
      </c>
      <c r="E777">
        <v>0</v>
      </c>
      <c r="F777">
        <v>0</v>
      </c>
      <c r="G777">
        <v>0</v>
      </c>
      <c r="H777">
        <v>0</v>
      </c>
      <c r="I777">
        <v>0</v>
      </c>
      <c r="J777">
        <v>3.05</v>
      </c>
      <c r="K777">
        <v>8.98</v>
      </c>
      <c r="L777">
        <v>2.9</v>
      </c>
      <c r="M777">
        <v>1.4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1</v>
      </c>
      <c r="Z777">
        <v>0</v>
      </c>
      <c r="AA777">
        <v>0</v>
      </c>
      <c r="AB777">
        <v>0</v>
      </c>
      <c r="AC777">
        <v>0</v>
      </c>
      <c r="AD777">
        <v>0</v>
      </c>
      <c r="AE777">
        <v>0</v>
      </c>
      <c r="AF777">
        <v>0</v>
      </c>
      <c r="AG777">
        <v>0</v>
      </c>
      <c r="AH777">
        <v>0</v>
      </c>
      <c r="AI777">
        <v>0</v>
      </c>
      <c r="AJ777">
        <v>0</v>
      </c>
      <c r="AK777">
        <v>0</v>
      </c>
      <c r="AL777">
        <v>0</v>
      </c>
      <c r="AM777">
        <v>0</v>
      </c>
      <c r="AN777">
        <v>0</v>
      </c>
      <c r="AO777">
        <v>0</v>
      </c>
      <c r="AP777">
        <v>0</v>
      </c>
      <c r="AQ777">
        <v>0</v>
      </c>
      <c r="AR777">
        <v>0</v>
      </c>
      <c r="AS777">
        <v>0</v>
      </c>
      <c r="AT777">
        <f t="shared" si="38"/>
        <v>5.4144000000000005</v>
      </c>
      <c r="AU777">
        <f t="shared" si="36"/>
        <v>0.97499999999999987</v>
      </c>
      <c r="AV777">
        <f t="shared" si="37"/>
        <v>839.28500000000008</v>
      </c>
      <c r="AW777">
        <v>65</v>
      </c>
    </row>
    <row r="778" spans="3:55" x14ac:dyDescent="0.45">
      <c r="C778">
        <v>80</v>
      </c>
      <c r="D778">
        <v>4</v>
      </c>
      <c r="E778">
        <v>5</v>
      </c>
      <c r="F778">
        <v>6</v>
      </c>
      <c r="G778">
        <v>0</v>
      </c>
      <c r="H778">
        <v>0</v>
      </c>
      <c r="I778">
        <v>0</v>
      </c>
      <c r="J778">
        <v>0</v>
      </c>
      <c r="K778">
        <v>0</v>
      </c>
      <c r="L778">
        <v>5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1</v>
      </c>
      <c r="W778">
        <v>800</v>
      </c>
      <c r="X778">
        <v>65.7</v>
      </c>
      <c r="Y778">
        <v>0</v>
      </c>
      <c r="Z778">
        <v>1</v>
      </c>
      <c r="AA778">
        <v>0</v>
      </c>
      <c r="AB778">
        <v>0</v>
      </c>
      <c r="AC778">
        <v>730</v>
      </c>
      <c r="AD778">
        <v>0.5</v>
      </c>
      <c r="AE778">
        <v>0</v>
      </c>
      <c r="AF778">
        <v>1</v>
      </c>
      <c r="AG778">
        <v>0</v>
      </c>
      <c r="AH778">
        <v>0</v>
      </c>
      <c r="AI778">
        <v>0</v>
      </c>
      <c r="AJ778">
        <v>0</v>
      </c>
      <c r="AK778">
        <v>1</v>
      </c>
      <c r="AL778">
        <v>0</v>
      </c>
      <c r="AM778">
        <v>0</v>
      </c>
      <c r="AN778">
        <v>0</v>
      </c>
      <c r="AO778">
        <v>0</v>
      </c>
      <c r="AP778">
        <v>0</v>
      </c>
      <c r="AQ778">
        <v>0</v>
      </c>
      <c r="AR778">
        <v>0</v>
      </c>
      <c r="AS778">
        <v>0</v>
      </c>
      <c r="AT778">
        <f t="shared" si="38"/>
        <v>13.950000000000003</v>
      </c>
      <c r="AU778">
        <f t="shared" si="36"/>
        <v>4</v>
      </c>
      <c r="AV778">
        <f t="shared" si="37"/>
        <v>711.3</v>
      </c>
      <c r="AY778">
        <v>973</v>
      </c>
      <c r="AZ778">
        <v>22</v>
      </c>
      <c r="BC778" t="s">
        <v>165</v>
      </c>
    </row>
    <row r="779" spans="3:55" x14ac:dyDescent="0.45">
      <c r="C779">
        <v>80</v>
      </c>
      <c r="D779">
        <v>4</v>
      </c>
      <c r="E779">
        <v>5</v>
      </c>
      <c r="F779">
        <v>6</v>
      </c>
      <c r="G779">
        <v>0</v>
      </c>
      <c r="H779">
        <v>0</v>
      </c>
      <c r="I779">
        <v>0</v>
      </c>
      <c r="J779">
        <v>0</v>
      </c>
      <c r="K779">
        <v>0</v>
      </c>
      <c r="L779">
        <v>5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1</v>
      </c>
      <c r="W779">
        <v>800</v>
      </c>
      <c r="X779">
        <v>65.7</v>
      </c>
      <c r="Y779">
        <v>0</v>
      </c>
      <c r="Z779">
        <v>1</v>
      </c>
      <c r="AA779">
        <v>0</v>
      </c>
      <c r="AB779">
        <v>0</v>
      </c>
      <c r="AC779">
        <v>760</v>
      </c>
      <c r="AD779">
        <v>0.5</v>
      </c>
      <c r="AE779">
        <v>0</v>
      </c>
      <c r="AF779">
        <v>1</v>
      </c>
      <c r="AG779">
        <v>0</v>
      </c>
      <c r="AH779">
        <v>0</v>
      </c>
      <c r="AI779">
        <v>0</v>
      </c>
      <c r="AJ779">
        <v>0</v>
      </c>
      <c r="AK779">
        <v>1</v>
      </c>
      <c r="AL779">
        <v>0</v>
      </c>
      <c r="AM779">
        <v>0</v>
      </c>
      <c r="AN779">
        <v>0</v>
      </c>
      <c r="AO779">
        <v>0</v>
      </c>
      <c r="AP779">
        <v>0</v>
      </c>
      <c r="AQ779">
        <v>0</v>
      </c>
      <c r="AR779">
        <v>0</v>
      </c>
      <c r="AS779">
        <v>0</v>
      </c>
      <c r="AT779">
        <f t="shared" si="38"/>
        <v>13.950000000000003</v>
      </c>
      <c r="AU779">
        <f t="shared" si="36"/>
        <v>4</v>
      </c>
      <c r="AV779">
        <f t="shared" si="37"/>
        <v>711.3</v>
      </c>
      <c r="AY779">
        <v>953.57</v>
      </c>
      <c r="AZ779">
        <v>23</v>
      </c>
      <c r="BC779" t="s">
        <v>166</v>
      </c>
    </row>
    <row r="780" spans="3:55" x14ac:dyDescent="0.45">
      <c r="C780">
        <v>80</v>
      </c>
      <c r="D780">
        <v>4</v>
      </c>
      <c r="E780">
        <v>5</v>
      </c>
      <c r="F780">
        <v>6</v>
      </c>
      <c r="G780">
        <v>0</v>
      </c>
      <c r="H780">
        <v>0</v>
      </c>
      <c r="I780">
        <v>0</v>
      </c>
      <c r="J780">
        <v>0</v>
      </c>
      <c r="K780">
        <v>0</v>
      </c>
      <c r="L780">
        <v>5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1</v>
      </c>
      <c r="W780">
        <v>800</v>
      </c>
      <c r="X780">
        <v>65.7</v>
      </c>
      <c r="Y780">
        <v>0</v>
      </c>
      <c r="Z780">
        <v>1</v>
      </c>
      <c r="AA780">
        <v>0</v>
      </c>
      <c r="AB780">
        <v>0</v>
      </c>
      <c r="AC780">
        <v>800</v>
      </c>
      <c r="AD780">
        <v>0.5</v>
      </c>
      <c r="AE780">
        <v>0</v>
      </c>
      <c r="AF780">
        <v>1</v>
      </c>
      <c r="AG780">
        <v>0</v>
      </c>
      <c r="AH780">
        <v>0</v>
      </c>
      <c r="AI780">
        <v>0</v>
      </c>
      <c r="AJ780">
        <v>0</v>
      </c>
      <c r="AK780">
        <v>1</v>
      </c>
      <c r="AL780">
        <v>0</v>
      </c>
      <c r="AM780">
        <v>0</v>
      </c>
      <c r="AN780">
        <v>0</v>
      </c>
      <c r="AO780">
        <v>0</v>
      </c>
      <c r="AP780">
        <v>0</v>
      </c>
      <c r="AQ780">
        <v>0</v>
      </c>
      <c r="AR780">
        <v>0</v>
      </c>
      <c r="AS780">
        <v>0</v>
      </c>
      <c r="AT780">
        <f t="shared" si="38"/>
        <v>13.950000000000003</v>
      </c>
      <c r="AU780">
        <f t="shared" si="36"/>
        <v>4</v>
      </c>
      <c r="AV780">
        <f t="shared" si="37"/>
        <v>711.3</v>
      </c>
      <c r="AY780">
        <v>875.28</v>
      </c>
      <c r="AZ780">
        <v>21.92</v>
      </c>
      <c r="BC780" t="s">
        <v>167</v>
      </c>
    </row>
    <row r="781" spans="3:55" x14ac:dyDescent="0.45">
      <c r="C781">
        <v>80</v>
      </c>
      <c r="D781">
        <v>4</v>
      </c>
      <c r="E781">
        <v>5</v>
      </c>
      <c r="F781">
        <v>6</v>
      </c>
      <c r="G781">
        <v>0</v>
      </c>
      <c r="H781">
        <v>0</v>
      </c>
      <c r="I781">
        <v>0</v>
      </c>
      <c r="J781">
        <v>0</v>
      </c>
      <c r="K781">
        <v>0</v>
      </c>
      <c r="L781">
        <v>5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1</v>
      </c>
      <c r="W781">
        <v>800</v>
      </c>
      <c r="X781">
        <v>65.7</v>
      </c>
      <c r="Y781">
        <v>0</v>
      </c>
      <c r="Z781">
        <v>1</v>
      </c>
      <c r="AA781">
        <v>0</v>
      </c>
      <c r="AB781">
        <v>0</v>
      </c>
      <c r="AC781">
        <v>830</v>
      </c>
      <c r="AD781">
        <v>0.5</v>
      </c>
      <c r="AE781">
        <v>0</v>
      </c>
      <c r="AF781">
        <v>1</v>
      </c>
      <c r="AG781">
        <v>0</v>
      </c>
      <c r="AH781">
        <v>0</v>
      </c>
      <c r="AI781">
        <v>0</v>
      </c>
      <c r="AJ781">
        <v>0</v>
      </c>
      <c r="AK781">
        <v>1</v>
      </c>
      <c r="AL781">
        <v>0</v>
      </c>
      <c r="AM781">
        <v>0</v>
      </c>
      <c r="AN781">
        <v>0</v>
      </c>
      <c r="AO781">
        <v>0</v>
      </c>
      <c r="AP781">
        <v>0</v>
      </c>
      <c r="AQ781">
        <v>0</v>
      </c>
      <c r="AR781">
        <v>0</v>
      </c>
      <c r="AS781">
        <v>0</v>
      </c>
      <c r="AT781">
        <f t="shared" si="38"/>
        <v>13.950000000000003</v>
      </c>
      <c r="AU781">
        <f t="shared" si="36"/>
        <v>4</v>
      </c>
      <c r="AV781">
        <f t="shared" si="37"/>
        <v>711.3</v>
      </c>
      <c r="AY781">
        <v>867.62</v>
      </c>
      <c r="AZ781">
        <v>22.9</v>
      </c>
      <c r="BC781" t="s">
        <v>168</v>
      </c>
    </row>
    <row r="782" spans="3:55" x14ac:dyDescent="0.45">
      <c r="C782">
        <v>80</v>
      </c>
      <c r="D782">
        <v>4</v>
      </c>
      <c r="E782">
        <v>5</v>
      </c>
      <c r="F782">
        <v>6</v>
      </c>
      <c r="G782">
        <v>0</v>
      </c>
      <c r="H782">
        <v>0</v>
      </c>
      <c r="I782">
        <v>0</v>
      </c>
      <c r="J782">
        <v>0</v>
      </c>
      <c r="K782">
        <v>0</v>
      </c>
      <c r="L782">
        <v>5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1</v>
      </c>
      <c r="W782">
        <v>800</v>
      </c>
      <c r="X782">
        <v>65.7</v>
      </c>
      <c r="Y782">
        <v>0</v>
      </c>
      <c r="Z782">
        <v>1</v>
      </c>
      <c r="AA782">
        <v>0</v>
      </c>
      <c r="AB782">
        <v>0</v>
      </c>
      <c r="AC782">
        <v>730</v>
      </c>
      <c r="AD782">
        <v>0.5</v>
      </c>
      <c r="AE782">
        <v>0</v>
      </c>
      <c r="AF782">
        <v>1</v>
      </c>
      <c r="AG782">
        <v>0</v>
      </c>
      <c r="AH782">
        <v>460</v>
      </c>
      <c r="AI782">
        <v>6</v>
      </c>
      <c r="AJ782">
        <v>0</v>
      </c>
      <c r="AK782">
        <v>1</v>
      </c>
      <c r="AL782">
        <v>0</v>
      </c>
      <c r="AM782">
        <v>0</v>
      </c>
      <c r="AN782">
        <v>0</v>
      </c>
      <c r="AO782">
        <v>0</v>
      </c>
      <c r="AP782">
        <v>0</v>
      </c>
      <c r="AQ782">
        <v>0</v>
      </c>
      <c r="AR782">
        <v>0</v>
      </c>
      <c r="AS782">
        <v>0</v>
      </c>
      <c r="AT782">
        <f t="shared" si="38"/>
        <v>13.950000000000003</v>
      </c>
      <c r="AU782">
        <f t="shared" si="36"/>
        <v>4</v>
      </c>
      <c r="AV782">
        <f t="shared" si="37"/>
        <v>711.3</v>
      </c>
      <c r="AY782">
        <v>1485.34</v>
      </c>
      <c r="AZ782">
        <v>10.119999999999999</v>
      </c>
      <c r="BC782" t="s">
        <v>169</v>
      </c>
    </row>
    <row r="783" spans="3:55" x14ac:dyDescent="0.45">
      <c r="C783">
        <v>80</v>
      </c>
      <c r="D783">
        <v>4</v>
      </c>
      <c r="E783">
        <v>5</v>
      </c>
      <c r="F783">
        <v>6</v>
      </c>
      <c r="G783">
        <v>0</v>
      </c>
      <c r="H783">
        <v>0</v>
      </c>
      <c r="I783">
        <v>0</v>
      </c>
      <c r="J783">
        <v>0</v>
      </c>
      <c r="K783">
        <v>0</v>
      </c>
      <c r="L783">
        <v>5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1</v>
      </c>
      <c r="W783">
        <v>800</v>
      </c>
      <c r="X783">
        <v>65.7</v>
      </c>
      <c r="Y783">
        <v>0</v>
      </c>
      <c r="Z783">
        <v>1</v>
      </c>
      <c r="AA783">
        <v>0</v>
      </c>
      <c r="AB783">
        <v>0</v>
      </c>
      <c r="AC783">
        <v>760</v>
      </c>
      <c r="AD783">
        <v>0.5</v>
      </c>
      <c r="AE783">
        <v>0</v>
      </c>
      <c r="AF783">
        <v>1</v>
      </c>
      <c r="AG783">
        <v>0</v>
      </c>
      <c r="AH783">
        <v>460</v>
      </c>
      <c r="AI783">
        <v>6</v>
      </c>
      <c r="AJ783">
        <v>0</v>
      </c>
      <c r="AK783">
        <v>1</v>
      </c>
      <c r="AL783">
        <v>0</v>
      </c>
      <c r="AM783">
        <v>0</v>
      </c>
      <c r="AN783">
        <v>0</v>
      </c>
      <c r="AO783">
        <v>0</v>
      </c>
      <c r="AP783">
        <v>0</v>
      </c>
      <c r="AQ783">
        <v>0</v>
      </c>
      <c r="AR783">
        <v>0</v>
      </c>
      <c r="AS783">
        <v>0</v>
      </c>
      <c r="AT783">
        <f t="shared" si="38"/>
        <v>13.950000000000003</v>
      </c>
      <c r="AU783">
        <f t="shared" si="36"/>
        <v>4</v>
      </c>
      <c r="AV783">
        <f t="shared" si="37"/>
        <v>711.3</v>
      </c>
      <c r="AY783">
        <v>1572.56</v>
      </c>
      <c r="AZ783">
        <v>6.18</v>
      </c>
      <c r="BC783" t="s">
        <v>170</v>
      </c>
    </row>
    <row r="784" spans="3:55" x14ac:dyDescent="0.45">
      <c r="C784">
        <v>80</v>
      </c>
      <c r="D784">
        <v>4</v>
      </c>
      <c r="E784">
        <v>5</v>
      </c>
      <c r="F784">
        <v>6</v>
      </c>
      <c r="G784">
        <v>0</v>
      </c>
      <c r="H784">
        <v>0</v>
      </c>
      <c r="I784">
        <v>0</v>
      </c>
      <c r="J784">
        <v>0</v>
      </c>
      <c r="K784">
        <v>0</v>
      </c>
      <c r="L784">
        <v>5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1</v>
      </c>
      <c r="W784">
        <v>800</v>
      </c>
      <c r="X784">
        <v>65.7</v>
      </c>
      <c r="Y784">
        <v>0</v>
      </c>
      <c r="Z784">
        <v>1</v>
      </c>
      <c r="AA784">
        <v>0</v>
      </c>
      <c r="AB784">
        <v>0</v>
      </c>
      <c r="AC784">
        <v>800</v>
      </c>
      <c r="AD784">
        <v>0.5</v>
      </c>
      <c r="AE784">
        <v>0</v>
      </c>
      <c r="AF784">
        <v>1</v>
      </c>
      <c r="AG784">
        <v>0</v>
      </c>
      <c r="AH784">
        <v>460</v>
      </c>
      <c r="AI784">
        <v>6</v>
      </c>
      <c r="AJ784">
        <v>0</v>
      </c>
      <c r="AK784">
        <v>1</v>
      </c>
      <c r="AL784">
        <v>0</v>
      </c>
      <c r="AM784">
        <v>0</v>
      </c>
      <c r="AN784">
        <v>0</v>
      </c>
      <c r="AO784">
        <v>0</v>
      </c>
      <c r="AP784">
        <v>0</v>
      </c>
      <c r="AQ784">
        <v>0</v>
      </c>
      <c r="AR784">
        <v>0</v>
      </c>
      <c r="AS784">
        <v>0</v>
      </c>
      <c r="AT784">
        <f t="shared" si="38"/>
        <v>13.950000000000003</v>
      </c>
      <c r="AU784">
        <f t="shared" si="36"/>
        <v>4</v>
      </c>
      <c r="AV784">
        <f t="shared" si="37"/>
        <v>711.3</v>
      </c>
      <c r="AY784">
        <v>1208.8</v>
      </c>
      <c r="AZ784">
        <v>10.73</v>
      </c>
      <c r="BC784" t="s">
        <v>171</v>
      </c>
    </row>
    <row r="785" spans="3:55" x14ac:dyDescent="0.45">
      <c r="C785">
        <v>80</v>
      </c>
      <c r="D785">
        <v>4</v>
      </c>
      <c r="E785">
        <v>5</v>
      </c>
      <c r="F785">
        <v>6</v>
      </c>
      <c r="G785">
        <v>0</v>
      </c>
      <c r="H785">
        <v>0</v>
      </c>
      <c r="I785">
        <v>0</v>
      </c>
      <c r="J785">
        <v>0</v>
      </c>
      <c r="K785">
        <v>0</v>
      </c>
      <c r="L785">
        <v>5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1</v>
      </c>
      <c r="W785">
        <v>800</v>
      </c>
      <c r="X785">
        <v>65.7</v>
      </c>
      <c r="Y785">
        <v>0</v>
      </c>
      <c r="Z785">
        <v>1</v>
      </c>
      <c r="AA785">
        <v>0</v>
      </c>
      <c r="AB785">
        <v>0</v>
      </c>
      <c r="AC785">
        <v>830</v>
      </c>
      <c r="AD785">
        <v>0.5</v>
      </c>
      <c r="AE785">
        <v>0</v>
      </c>
      <c r="AF785">
        <v>1</v>
      </c>
      <c r="AG785">
        <v>0</v>
      </c>
      <c r="AH785">
        <v>460</v>
      </c>
      <c r="AI785">
        <v>6</v>
      </c>
      <c r="AJ785">
        <v>0</v>
      </c>
      <c r="AK785">
        <v>1</v>
      </c>
      <c r="AL785">
        <v>0</v>
      </c>
      <c r="AM785">
        <v>0</v>
      </c>
      <c r="AN785">
        <v>0</v>
      </c>
      <c r="AO785">
        <v>0</v>
      </c>
      <c r="AP785">
        <v>0</v>
      </c>
      <c r="AQ785">
        <v>0</v>
      </c>
      <c r="AR785">
        <v>0</v>
      </c>
      <c r="AS785">
        <v>0</v>
      </c>
      <c r="AT785">
        <f t="shared" si="38"/>
        <v>13.950000000000003</v>
      </c>
      <c r="AU785">
        <f t="shared" si="36"/>
        <v>4</v>
      </c>
      <c r="AV785">
        <f t="shared" si="37"/>
        <v>711.3</v>
      </c>
      <c r="AY785">
        <v>1288.17</v>
      </c>
      <c r="AZ785">
        <v>7.72</v>
      </c>
      <c r="BC785" t="s">
        <v>172</v>
      </c>
    </row>
    <row r="786" spans="3:55" x14ac:dyDescent="0.45">
      <c r="C786">
        <v>80</v>
      </c>
      <c r="D786">
        <v>4</v>
      </c>
      <c r="E786">
        <v>5</v>
      </c>
      <c r="F786">
        <v>6</v>
      </c>
      <c r="G786">
        <v>0</v>
      </c>
      <c r="H786">
        <v>0</v>
      </c>
      <c r="I786">
        <v>0</v>
      </c>
      <c r="J786">
        <v>0</v>
      </c>
      <c r="K786">
        <v>0</v>
      </c>
      <c r="L786">
        <v>5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1</v>
      </c>
      <c r="W786">
        <v>800</v>
      </c>
      <c r="X786">
        <v>65.7</v>
      </c>
      <c r="Y786">
        <v>0</v>
      </c>
      <c r="Z786">
        <v>1</v>
      </c>
      <c r="AA786">
        <v>0</v>
      </c>
      <c r="AB786">
        <v>0</v>
      </c>
      <c r="AC786">
        <v>730</v>
      </c>
      <c r="AD786">
        <v>0.5</v>
      </c>
      <c r="AE786">
        <v>0</v>
      </c>
      <c r="AF786">
        <v>1</v>
      </c>
      <c r="AG786">
        <v>0</v>
      </c>
      <c r="AH786">
        <v>480</v>
      </c>
      <c r="AI786">
        <v>6</v>
      </c>
      <c r="AJ786">
        <v>0</v>
      </c>
      <c r="AK786">
        <v>1</v>
      </c>
      <c r="AL786">
        <v>0</v>
      </c>
      <c r="AM786">
        <v>0</v>
      </c>
      <c r="AN786">
        <v>0</v>
      </c>
      <c r="AO786">
        <v>0</v>
      </c>
      <c r="AP786">
        <v>0</v>
      </c>
      <c r="AQ786">
        <v>0</v>
      </c>
      <c r="AR786">
        <v>0</v>
      </c>
      <c r="AS786">
        <v>0</v>
      </c>
      <c r="AT786">
        <f t="shared" si="38"/>
        <v>13.950000000000003</v>
      </c>
      <c r="AU786">
        <f t="shared" si="36"/>
        <v>4</v>
      </c>
      <c r="AV786">
        <f t="shared" si="37"/>
        <v>711.3</v>
      </c>
      <c r="AY786">
        <v>1475.41</v>
      </c>
      <c r="AZ786">
        <v>10.18</v>
      </c>
      <c r="BC786" t="s">
        <v>173</v>
      </c>
    </row>
    <row r="787" spans="3:55" x14ac:dyDescent="0.45">
      <c r="C787">
        <v>80</v>
      </c>
      <c r="D787">
        <v>4</v>
      </c>
      <c r="E787">
        <v>5</v>
      </c>
      <c r="F787">
        <v>6</v>
      </c>
      <c r="G787">
        <v>0</v>
      </c>
      <c r="H787">
        <v>0</v>
      </c>
      <c r="I787">
        <v>0</v>
      </c>
      <c r="J787">
        <v>0</v>
      </c>
      <c r="K787">
        <v>0</v>
      </c>
      <c r="L787">
        <v>5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1</v>
      </c>
      <c r="W787">
        <v>800</v>
      </c>
      <c r="X787">
        <v>65.7</v>
      </c>
      <c r="Y787">
        <v>0</v>
      </c>
      <c r="Z787">
        <v>1</v>
      </c>
      <c r="AA787">
        <v>0</v>
      </c>
      <c r="AB787">
        <v>0</v>
      </c>
      <c r="AC787">
        <v>760</v>
      </c>
      <c r="AD787">
        <v>0.5</v>
      </c>
      <c r="AE787">
        <v>0</v>
      </c>
      <c r="AF787">
        <v>1</v>
      </c>
      <c r="AG787">
        <v>0</v>
      </c>
      <c r="AH787">
        <v>480</v>
      </c>
      <c r="AI787">
        <v>6</v>
      </c>
      <c r="AJ787">
        <v>0</v>
      </c>
      <c r="AK787">
        <v>1</v>
      </c>
      <c r="AL787">
        <v>0</v>
      </c>
      <c r="AM787">
        <v>0</v>
      </c>
      <c r="AN787">
        <v>0</v>
      </c>
      <c r="AO787">
        <v>0</v>
      </c>
      <c r="AP787">
        <v>0</v>
      </c>
      <c r="AQ787">
        <v>0</v>
      </c>
      <c r="AR787">
        <v>0</v>
      </c>
      <c r="AS787">
        <v>0</v>
      </c>
      <c r="AT787">
        <f t="shared" si="38"/>
        <v>13.950000000000003</v>
      </c>
      <c r="AU787">
        <f t="shared" si="36"/>
        <v>4</v>
      </c>
      <c r="AV787">
        <f t="shared" si="37"/>
        <v>711.3</v>
      </c>
      <c r="AY787">
        <v>1474.28</v>
      </c>
      <c r="AZ787">
        <v>8.9499999999999993</v>
      </c>
      <c r="BC787" t="s">
        <v>174</v>
      </c>
    </row>
    <row r="788" spans="3:55" x14ac:dyDescent="0.45">
      <c r="C788">
        <v>80</v>
      </c>
      <c r="D788">
        <v>4</v>
      </c>
      <c r="E788">
        <v>5</v>
      </c>
      <c r="F788">
        <v>6</v>
      </c>
      <c r="G788">
        <v>0</v>
      </c>
      <c r="H788">
        <v>0</v>
      </c>
      <c r="I788">
        <v>0</v>
      </c>
      <c r="J788">
        <v>0</v>
      </c>
      <c r="K788">
        <v>0</v>
      </c>
      <c r="L788">
        <v>5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1</v>
      </c>
      <c r="W788">
        <v>800</v>
      </c>
      <c r="X788">
        <v>65.7</v>
      </c>
      <c r="Y788">
        <v>0</v>
      </c>
      <c r="Z788">
        <v>1</v>
      </c>
      <c r="AA788">
        <v>0</v>
      </c>
      <c r="AB788">
        <v>0</v>
      </c>
      <c r="AC788">
        <v>800</v>
      </c>
      <c r="AD788">
        <v>0.5</v>
      </c>
      <c r="AE788">
        <v>0</v>
      </c>
      <c r="AF788">
        <v>1</v>
      </c>
      <c r="AG788">
        <v>0</v>
      </c>
      <c r="AH788">
        <v>480</v>
      </c>
      <c r="AI788">
        <v>6</v>
      </c>
      <c r="AJ788">
        <v>0</v>
      </c>
      <c r="AK788">
        <v>1</v>
      </c>
      <c r="AL788">
        <v>0</v>
      </c>
      <c r="AM788">
        <v>0</v>
      </c>
      <c r="AN788">
        <v>0</v>
      </c>
      <c r="AO788">
        <v>0</v>
      </c>
      <c r="AP788">
        <v>0</v>
      </c>
      <c r="AQ788">
        <v>0</v>
      </c>
      <c r="AR788">
        <v>0</v>
      </c>
      <c r="AS788">
        <v>0</v>
      </c>
      <c r="AT788">
        <f t="shared" si="38"/>
        <v>13.950000000000003</v>
      </c>
      <c r="AU788">
        <f t="shared" si="36"/>
        <v>4</v>
      </c>
      <c r="AV788">
        <f t="shared" si="37"/>
        <v>711.3</v>
      </c>
      <c r="AY788">
        <v>1263.42</v>
      </c>
      <c r="AZ788">
        <v>9.44</v>
      </c>
      <c r="BC788" t="s">
        <v>175</v>
      </c>
    </row>
    <row r="789" spans="3:55" x14ac:dyDescent="0.45">
      <c r="C789">
        <v>80</v>
      </c>
      <c r="D789">
        <v>4</v>
      </c>
      <c r="E789">
        <v>5</v>
      </c>
      <c r="F789">
        <v>6</v>
      </c>
      <c r="G789">
        <v>0</v>
      </c>
      <c r="H789">
        <v>0</v>
      </c>
      <c r="I789">
        <v>0</v>
      </c>
      <c r="J789">
        <v>0</v>
      </c>
      <c r="K789">
        <v>0</v>
      </c>
      <c r="L789">
        <v>5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1</v>
      </c>
      <c r="W789">
        <v>800</v>
      </c>
      <c r="X789">
        <v>65.7</v>
      </c>
      <c r="Y789">
        <v>0</v>
      </c>
      <c r="Z789">
        <v>1</v>
      </c>
      <c r="AA789">
        <v>0</v>
      </c>
      <c r="AB789">
        <v>0</v>
      </c>
      <c r="AC789">
        <v>830</v>
      </c>
      <c r="AD789">
        <v>0.5</v>
      </c>
      <c r="AE789">
        <v>0</v>
      </c>
      <c r="AF789">
        <v>1</v>
      </c>
      <c r="AG789">
        <v>0</v>
      </c>
      <c r="AH789">
        <v>480</v>
      </c>
      <c r="AI789">
        <v>6</v>
      </c>
      <c r="AJ789">
        <v>0</v>
      </c>
      <c r="AK789">
        <v>1</v>
      </c>
      <c r="AL789">
        <v>0</v>
      </c>
      <c r="AM789">
        <v>0</v>
      </c>
      <c r="AN789">
        <v>0</v>
      </c>
      <c r="AO789">
        <v>0</v>
      </c>
      <c r="AP789">
        <v>0</v>
      </c>
      <c r="AQ789">
        <v>0</v>
      </c>
      <c r="AR789">
        <v>0</v>
      </c>
      <c r="AS789">
        <v>0</v>
      </c>
      <c r="AT789">
        <f t="shared" si="38"/>
        <v>13.950000000000003</v>
      </c>
      <c r="AU789">
        <f t="shared" si="36"/>
        <v>4</v>
      </c>
      <c r="AV789">
        <f t="shared" si="37"/>
        <v>711.3</v>
      </c>
      <c r="AY789">
        <v>1216.6300000000001</v>
      </c>
      <c r="AZ789">
        <v>9.9</v>
      </c>
      <c r="BC789" t="s">
        <v>176</v>
      </c>
    </row>
    <row r="790" spans="3:55" x14ac:dyDescent="0.45">
      <c r="C790">
        <v>80</v>
      </c>
      <c r="D790">
        <v>4</v>
      </c>
      <c r="E790">
        <v>5</v>
      </c>
      <c r="F790">
        <v>6</v>
      </c>
      <c r="G790">
        <v>0</v>
      </c>
      <c r="H790">
        <v>0</v>
      </c>
      <c r="I790">
        <v>0</v>
      </c>
      <c r="J790">
        <v>0</v>
      </c>
      <c r="K790">
        <v>0</v>
      </c>
      <c r="L790">
        <v>5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1</v>
      </c>
      <c r="W790">
        <v>800</v>
      </c>
      <c r="X790">
        <v>65.7</v>
      </c>
      <c r="Y790">
        <v>0</v>
      </c>
      <c r="Z790">
        <v>1</v>
      </c>
      <c r="AA790">
        <v>0</v>
      </c>
      <c r="AB790">
        <v>0</v>
      </c>
      <c r="AC790">
        <v>730</v>
      </c>
      <c r="AD790">
        <v>0.5</v>
      </c>
      <c r="AE790">
        <v>0</v>
      </c>
      <c r="AF790">
        <v>1</v>
      </c>
      <c r="AG790">
        <v>0</v>
      </c>
      <c r="AH790">
        <v>500</v>
      </c>
      <c r="AI790">
        <v>6</v>
      </c>
      <c r="AJ790">
        <v>0</v>
      </c>
      <c r="AK790">
        <v>1</v>
      </c>
      <c r="AL790">
        <v>0</v>
      </c>
      <c r="AM790">
        <v>0</v>
      </c>
      <c r="AN790">
        <v>0</v>
      </c>
      <c r="AO790">
        <v>0</v>
      </c>
      <c r="AP790">
        <v>0</v>
      </c>
      <c r="AQ790">
        <v>0</v>
      </c>
      <c r="AR790">
        <v>0</v>
      </c>
      <c r="AS790">
        <v>0</v>
      </c>
      <c r="AT790">
        <f t="shared" si="38"/>
        <v>13.950000000000003</v>
      </c>
      <c r="AU790">
        <f t="shared" si="36"/>
        <v>4</v>
      </c>
      <c r="AV790">
        <f t="shared" si="37"/>
        <v>711.3</v>
      </c>
      <c r="AY790">
        <v>1383.33</v>
      </c>
      <c r="AZ790">
        <v>13.87</v>
      </c>
      <c r="BC790" t="s">
        <v>177</v>
      </c>
    </row>
    <row r="791" spans="3:55" x14ac:dyDescent="0.45">
      <c r="C791">
        <v>80</v>
      </c>
      <c r="D791">
        <v>4</v>
      </c>
      <c r="E791">
        <v>5</v>
      </c>
      <c r="F791">
        <v>6</v>
      </c>
      <c r="G791">
        <v>0</v>
      </c>
      <c r="H791">
        <v>0</v>
      </c>
      <c r="I791">
        <v>0</v>
      </c>
      <c r="J791">
        <v>0</v>
      </c>
      <c r="K791">
        <v>0</v>
      </c>
      <c r="L791">
        <v>5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1</v>
      </c>
      <c r="W791">
        <v>800</v>
      </c>
      <c r="X791">
        <v>65.7</v>
      </c>
      <c r="Y791">
        <v>0</v>
      </c>
      <c r="Z791">
        <v>1</v>
      </c>
      <c r="AA791">
        <v>0</v>
      </c>
      <c r="AB791">
        <v>0</v>
      </c>
      <c r="AC791">
        <v>760</v>
      </c>
      <c r="AD791">
        <v>0.5</v>
      </c>
      <c r="AE791">
        <v>0</v>
      </c>
      <c r="AF791">
        <v>1</v>
      </c>
      <c r="AG791">
        <v>0</v>
      </c>
      <c r="AH791">
        <v>500</v>
      </c>
      <c r="AI791">
        <v>6</v>
      </c>
      <c r="AJ791">
        <v>0</v>
      </c>
      <c r="AK791">
        <v>1</v>
      </c>
      <c r="AL791">
        <v>0</v>
      </c>
      <c r="AM791">
        <v>0</v>
      </c>
      <c r="AN791">
        <v>0</v>
      </c>
      <c r="AO791">
        <v>0</v>
      </c>
      <c r="AP791">
        <v>0</v>
      </c>
      <c r="AQ791">
        <v>0</v>
      </c>
      <c r="AR791">
        <v>0</v>
      </c>
      <c r="AS791">
        <v>0</v>
      </c>
      <c r="AT791">
        <f t="shared" si="38"/>
        <v>13.950000000000003</v>
      </c>
      <c r="AU791">
        <f t="shared" si="36"/>
        <v>4</v>
      </c>
      <c r="AV791">
        <f t="shared" si="37"/>
        <v>711.3</v>
      </c>
      <c r="AY791">
        <v>1470.05</v>
      </c>
      <c r="AZ791">
        <v>10.4</v>
      </c>
      <c r="BC791" t="s">
        <v>178</v>
      </c>
    </row>
    <row r="792" spans="3:55" x14ac:dyDescent="0.45">
      <c r="C792">
        <v>80</v>
      </c>
      <c r="D792">
        <v>4</v>
      </c>
      <c r="E792">
        <v>5</v>
      </c>
      <c r="F792">
        <v>6</v>
      </c>
      <c r="G792">
        <v>0</v>
      </c>
      <c r="H792">
        <v>0</v>
      </c>
      <c r="I792">
        <v>0</v>
      </c>
      <c r="J792">
        <v>0</v>
      </c>
      <c r="K792">
        <v>0</v>
      </c>
      <c r="L792">
        <v>5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1</v>
      </c>
      <c r="W792">
        <v>800</v>
      </c>
      <c r="X792">
        <v>65.7</v>
      </c>
      <c r="Y792">
        <v>0</v>
      </c>
      <c r="Z792">
        <v>1</v>
      </c>
      <c r="AA792">
        <v>0</v>
      </c>
      <c r="AB792">
        <v>0</v>
      </c>
      <c r="AC792">
        <v>800</v>
      </c>
      <c r="AD792">
        <v>0.5</v>
      </c>
      <c r="AE792">
        <v>0</v>
      </c>
      <c r="AF792">
        <v>1</v>
      </c>
      <c r="AG792">
        <v>0</v>
      </c>
      <c r="AH792">
        <v>500</v>
      </c>
      <c r="AI792">
        <v>6</v>
      </c>
      <c r="AJ792">
        <v>0</v>
      </c>
      <c r="AK792">
        <v>1</v>
      </c>
      <c r="AL792">
        <v>0</v>
      </c>
      <c r="AM792">
        <v>0</v>
      </c>
      <c r="AN792">
        <v>0</v>
      </c>
      <c r="AO792">
        <v>0</v>
      </c>
      <c r="AP792">
        <v>0</v>
      </c>
      <c r="AQ792">
        <v>0</v>
      </c>
      <c r="AR792">
        <v>0</v>
      </c>
      <c r="AS792">
        <v>0</v>
      </c>
      <c r="AT792">
        <f t="shared" si="38"/>
        <v>13.950000000000003</v>
      </c>
      <c r="AU792">
        <f t="shared" si="36"/>
        <v>4</v>
      </c>
      <c r="AV792">
        <f t="shared" si="37"/>
        <v>711.3</v>
      </c>
      <c r="AY792">
        <v>1400.15</v>
      </c>
      <c r="AZ792">
        <v>7.52</v>
      </c>
      <c r="BC792" t="s">
        <v>179</v>
      </c>
    </row>
    <row r="793" spans="3:55" x14ac:dyDescent="0.45">
      <c r="C793">
        <v>80</v>
      </c>
      <c r="D793">
        <v>4</v>
      </c>
      <c r="E793">
        <v>5</v>
      </c>
      <c r="F793">
        <v>6</v>
      </c>
      <c r="G793">
        <v>0</v>
      </c>
      <c r="H793">
        <v>0</v>
      </c>
      <c r="I793">
        <v>0</v>
      </c>
      <c r="J793">
        <v>0</v>
      </c>
      <c r="K793">
        <v>0</v>
      </c>
      <c r="L793">
        <v>5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1</v>
      </c>
      <c r="W793">
        <v>800</v>
      </c>
      <c r="X793">
        <v>65.7</v>
      </c>
      <c r="Y793">
        <v>0</v>
      </c>
      <c r="Z793">
        <v>1</v>
      </c>
      <c r="AA793">
        <v>0</v>
      </c>
      <c r="AB793">
        <v>0</v>
      </c>
      <c r="AC793">
        <v>830</v>
      </c>
      <c r="AD793">
        <v>0.5</v>
      </c>
      <c r="AE793">
        <v>0</v>
      </c>
      <c r="AF793">
        <v>1</v>
      </c>
      <c r="AG793">
        <v>0</v>
      </c>
      <c r="AH793">
        <v>500</v>
      </c>
      <c r="AI793">
        <v>6</v>
      </c>
      <c r="AJ793">
        <v>0</v>
      </c>
      <c r="AK793">
        <v>1</v>
      </c>
      <c r="AL793">
        <v>0</v>
      </c>
      <c r="AM793">
        <v>0</v>
      </c>
      <c r="AN793">
        <v>0</v>
      </c>
      <c r="AO793">
        <v>0</v>
      </c>
      <c r="AP793">
        <v>0</v>
      </c>
      <c r="AQ793">
        <v>0</v>
      </c>
      <c r="AR793">
        <v>0</v>
      </c>
      <c r="AS793">
        <v>0</v>
      </c>
      <c r="AT793">
        <f t="shared" si="38"/>
        <v>13.950000000000003</v>
      </c>
      <c r="AU793">
        <f t="shared" si="36"/>
        <v>4</v>
      </c>
      <c r="AV793">
        <f t="shared" si="37"/>
        <v>711.3</v>
      </c>
      <c r="AY793">
        <v>1305.81</v>
      </c>
      <c r="AZ793">
        <v>7.75</v>
      </c>
      <c r="BC793" t="s">
        <v>180</v>
      </c>
    </row>
    <row r="794" spans="3:55" x14ac:dyDescent="0.45">
      <c r="C794">
        <v>80</v>
      </c>
      <c r="D794">
        <v>4</v>
      </c>
      <c r="E794">
        <v>5</v>
      </c>
      <c r="F794">
        <v>6</v>
      </c>
      <c r="G794">
        <v>0</v>
      </c>
      <c r="H794">
        <v>0</v>
      </c>
      <c r="I794">
        <v>0</v>
      </c>
      <c r="J794">
        <v>0</v>
      </c>
      <c r="K794">
        <v>0</v>
      </c>
      <c r="L794">
        <v>5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1</v>
      </c>
      <c r="W794">
        <v>800</v>
      </c>
      <c r="X794">
        <v>65.7</v>
      </c>
      <c r="Y794">
        <v>0</v>
      </c>
      <c r="Z794">
        <v>1</v>
      </c>
      <c r="AA794">
        <v>0</v>
      </c>
      <c r="AB794">
        <v>0</v>
      </c>
      <c r="AC794">
        <v>730</v>
      </c>
      <c r="AD794">
        <v>0.5</v>
      </c>
      <c r="AE794">
        <v>0</v>
      </c>
      <c r="AF794">
        <v>1</v>
      </c>
      <c r="AG794">
        <v>0</v>
      </c>
      <c r="AH794">
        <v>520</v>
      </c>
      <c r="AI794">
        <v>6</v>
      </c>
      <c r="AJ794">
        <v>0</v>
      </c>
      <c r="AK794">
        <v>1</v>
      </c>
      <c r="AL794">
        <v>0</v>
      </c>
      <c r="AM794">
        <v>0</v>
      </c>
      <c r="AN794">
        <v>0</v>
      </c>
      <c r="AO794">
        <v>0</v>
      </c>
      <c r="AP794">
        <v>0</v>
      </c>
      <c r="AQ794">
        <v>0</v>
      </c>
      <c r="AR794">
        <v>0</v>
      </c>
      <c r="AS794">
        <v>0</v>
      </c>
      <c r="AT794">
        <f t="shared" si="38"/>
        <v>13.950000000000003</v>
      </c>
      <c r="AU794">
        <f t="shared" si="36"/>
        <v>4</v>
      </c>
      <c r="AV794">
        <f t="shared" si="37"/>
        <v>711.3</v>
      </c>
      <c r="AY794">
        <v>1279.6600000000001</v>
      </c>
      <c r="AZ794">
        <v>15.55</v>
      </c>
      <c r="BC794" t="s">
        <v>181</v>
      </c>
    </row>
    <row r="795" spans="3:55" x14ac:dyDescent="0.45">
      <c r="C795">
        <v>80</v>
      </c>
      <c r="D795">
        <v>4</v>
      </c>
      <c r="E795">
        <v>5</v>
      </c>
      <c r="F795">
        <v>6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5</v>
      </c>
      <c r="M795">
        <v>0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1</v>
      </c>
      <c r="W795">
        <v>800</v>
      </c>
      <c r="X795">
        <v>65.7</v>
      </c>
      <c r="Y795">
        <v>0</v>
      </c>
      <c r="Z795">
        <v>1</v>
      </c>
      <c r="AA795">
        <v>0</v>
      </c>
      <c r="AB795">
        <v>0</v>
      </c>
      <c r="AC795">
        <v>760</v>
      </c>
      <c r="AD795">
        <v>0.5</v>
      </c>
      <c r="AE795">
        <v>0</v>
      </c>
      <c r="AF795">
        <v>1</v>
      </c>
      <c r="AG795">
        <v>0</v>
      </c>
      <c r="AH795">
        <v>520</v>
      </c>
      <c r="AI795">
        <v>6</v>
      </c>
      <c r="AJ795">
        <v>0</v>
      </c>
      <c r="AK795">
        <v>1</v>
      </c>
      <c r="AL795">
        <v>0</v>
      </c>
      <c r="AM795">
        <v>0</v>
      </c>
      <c r="AN795">
        <v>0</v>
      </c>
      <c r="AO795">
        <v>0</v>
      </c>
      <c r="AP795">
        <v>0</v>
      </c>
      <c r="AQ795">
        <v>0</v>
      </c>
      <c r="AR795">
        <v>0</v>
      </c>
      <c r="AS795">
        <v>0</v>
      </c>
      <c r="AT795">
        <f t="shared" si="38"/>
        <v>13.950000000000003</v>
      </c>
      <c r="AU795">
        <f t="shared" si="36"/>
        <v>4</v>
      </c>
      <c r="AV795">
        <f t="shared" si="37"/>
        <v>711.3</v>
      </c>
      <c r="AY795">
        <v>1366.56</v>
      </c>
      <c r="AZ795">
        <v>12.97</v>
      </c>
      <c r="BC795" t="s">
        <v>182</v>
      </c>
    </row>
    <row r="796" spans="3:55" x14ac:dyDescent="0.45">
      <c r="C796">
        <v>80</v>
      </c>
      <c r="D796">
        <v>4</v>
      </c>
      <c r="E796">
        <v>5</v>
      </c>
      <c r="F796">
        <v>6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5</v>
      </c>
      <c r="M796">
        <v>0</v>
      </c>
      <c r="N796">
        <v>0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1</v>
      </c>
      <c r="W796">
        <v>800</v>
      </c>
      <c r="X796">
        <v>65.7</v>
      </c>
      <c r="Y796">
        <v>0</v>
      </c>
      <c r="Z796">
        <v>1</v>
      </c>
      <c r="AA796">
        <v>0</v>
      </c>
      <c r="AB796">
        <v>0</v>
      </c>
      <c r="AC796">
        <v>800</v>
      </c>
      <c r="AD796">
        <v>0.5</v>
      </c>
      <c r="AE796">
        <v>0</v>
      </c>
      <c r="AF796">
        <v>1</v>
      </c>
      <c r="AG796">
        <v>0</v>
      </c>
      <c r="AH796">
        <v>520</v>
      </c>
      <c r="AI796">
        <v>6</v>
      </c>
      <c r="AJ796">
        <v>0</v>
      </c>
      <c r="AK796">
        <v>1</v>
      </c>
      <c r="AL796">
        <v>0</v>
      </c>
      <c r="AM796">
        <v>0</v>
      </c>
      <c r="AN796">
        <v>0</v>
      </c>
      <c r="AO796">
        <v>0</v>
      </c>
      <c r="AP796">
        <v>0</v>
      </c>
      <c r="AQ796">
        <v>0</v>
      </c>
      <c r="AR796">
        <v>0</v>
      </c>
      <c r="AS796">
        <v>0</v>
      </c>
      <c r="AT796">
        <f t="shared" si="38"/>
        <v>13.950000000000003</v>
      </c>
      <c r="AU796">
        <f t="shared" si="36"/>
        <v>4</v>
      </c>
      <c r="AV796">
        <f t="shared" si="37"/>
        <v>711.3</v>
      </c>
      <c r="AY796">
        <v>1413.25</v>
      </c>
      <c r="AZ796">
        <v>8.1999999999999993</v>
      </c>
      <c r="BC796" t="s">
        <v>183</v>
      </c>
    </row>
    <row r="797" spans="3:55" x14ac:dyDescent="0.45">
      <c r="C797">
        <v>80</v>
      </c>
      <c r="D797">
        <v>4</v>
      </c>
      <c r="E797">
        <v>5</v>
      </c>
      <c r="F797">
        <v>6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5</v>
      </c>
      <c r="M797">
        <v>0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1</v>
      </c>
      <c r="W797">
        <v>800</v>
      </c>
      <c r="X797">
        <v>65.7</v>
      </c>
      <c r="Y797">
        <v>0</v>
      </c>
      <c r="Z797">
        <v>1</v>
      </c>
      <c r="AA797">
        <v>0</v>
      </c>
      <c r="AB797">
        <v>0</v>
      </c>
      <c r="AC797">
        <v>830</v>
      </c>
      <c r="AD797">
        <v>0.5</v>
      </c>
      <c r="AE797">
        <v>0</v>
      </c>
      <c r="AF797">
        <v>1</v>
      </c>
      <c r="AG797">
        <v>0</v>
      </c>
      <c r="AH797">
        <v>520</v>
      </c>
      <c r="AI797">
        <v>6</v>
      </c>
      <c r="AJ797">
        <v>0</v>
      </c>
      <c r="AK797">
        <v>1</v>
      </c>
      <c r="AL797">
        <v>0</v>
      </c>
      <c r="AM797">
        <v>0</v>
      </c>
      <c r="AN797">
        <v>0</v>
      </c>
      <c r="AO797">
        <v>0</v>
      </c>
      <c r="AP797">
        <v>0</v>
      </c>
      <c r="AQ797">
        <v>0</v>
      </c>
      <c r="AR797">
        <v>0</v>
      </c>
      <c r="AS797">
        <v>0</v>
      </c>
      <c r="AT797">
        <f t="shared" si="38"/>
        <v>13.950000000000003</v>
      </c>
      <c r="AU797">
        <f t="shared" si="36"/>
        <v>4</v>
      </c>
      <c r="AV797">
        <f t="shared" si="37"/>
        <v>711.3</v>
      </c>
      <c r="AY797">
        <v>1409.09</v>
      </c>
      <c r="AZ797">
        <v>6.88</v>
      </c>
      <c r="BC797" t="s">
        <v>184</v>
      </c>
    </row>
    <row r="798" spans="3:55" x14ac:dyDescent="0.45">
      <c r="C798">
        <v>88.6</v>
      </c>
      <c r="D798">
        <v>6.1</v>
      </c>
      <c r="E798">
        <v>4</v>
      </c>
      <c r="F798">
        <v>0</v>
      </c>
      <c r="G798">
        <v>0</v>
      </c>
      <c r="H798">
        <v>0</v>
      </c>
      <c r="I798">
        <v>0</v>
      </c>
      <c r="J798">
        <v>0.65</v>
      </c>
      <c r="K798">
        <v>0</v>
      </c>
      <c r="L798">
        <v>0.65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1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>
        <v>0</v>
      </c>
      <c r="AH798">
        <v>0</v>
      </c>
      <c r="AI798">
        <v>0</v>
      </c>
      <c r="AJ798">
        <v>0</v>
      </c>
      <c r="AK798">
        <v>0</v>
      </c>
      <c r="AL798">
        <v>0</v>
      </c>
      <c r="AM798">
        <v>0</v>
      </c>
      <c r="AN798">
        <v>0</v>
      </c>
      <c r="AO798">
        <v>0</v>
      </c>
      <c r="AP798">
        <v>0</v>
      </c>
      <c r="AQ798">
        <v>0</v>
      </c>
      <c r="AR798">
        <v>0</v>
      </c>
      <c r="AS798">
        <v>0</v>
      </c>
      <c r="AT798">
        <f t="shared" si="38"/>
        <v>-2.7699999999999996</v>
      </c>
      <c r="AU798">
        <f t="shared" si="36"/>
        <v>6.208333333333333</v>
      </c>
      <c r="AV798">
        <f t="shared" si="37"/>
        <v>836.94999999999993</v>
      </c>
      <c r="BC798" t="s">
        <v>185</v>
      </c>
    </row>
    <row r="799" spans="3:55" x14ac:dyDescent="0.45">
      <c r="C799">
        <v>88.6</v>
      </c>
      <c r="D799">
        <v>6.1</v>
      </c>
      <c r="E799">
        <v>4</v>
      </c>
      <c r="F799">
        <v>0</v>
      </c>
      <c r="G799">
        <v>0</v>
      </c>
      <c r="H799">
        <v>0</v>
      </c>
      <c r="I799">
        <v>0</v>
      </c>
      <c r="J799">
        <v>0.65</v>
      </c>
      <c r="K799">
        <v>0</v>
      </c>
      <c r="L799">
        <v>0.65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1</v>
      </c>
      <c r="Z799">
        <v>0</v>
      </c>
      <c r="AA799">
        <v>0</v>
      </c>
      <c r="AB799">
        <v>0</v>
      </c>
      <c r="AC799">
        <v>910</v>
      </c>
      <c r="AD799">
        <v>2</v>
      </c>
      <c r="AE799">
        <v>0</v>
      </c>
      <c r="AF799">
        <v>1</v>
      </c>
      <c r="AG799">
        <v>0</v>
      </c>
      <c r="AH799">
        <v>0</v>
      </c>
      <c r="AI799">
        <v>0</v>
      </c>
      <c r="AJ799">
        <v>0</v>
      </c>
      <c r="AK799">
        <v>0</v>
      </c>
      <c r="AL799">
        <v>0</v>
      </c>
      <c r="AM799">
        <v>0</v>
      </c>
      <c r="AN799">
        <v>0</v>
      </c>
      <c r="AO799">
        <v>0</v>
      </c>
      <c r="AP799">
        <v>0</v>
      </c>
      <c r="AQ799">
        <v>0</v>
      </c>
      <c r="AR799">
        <v>0</v>
      </c>
      <c r="AS799">
        <v>0</v>
      </c>
      <c r="AT799">
        <f t="shared" si="38"/>
        <v>-2.7699999999999996</v>
      </c>
      <c r="AU799">
        <f t="shared" si="36"/>
        <v>6.208333333333333</v>
      </c>
      <c r="AV799">
        <f t="shared" si="37"/>
        <v>836.94999999999993</v>
      </c>
      <c r="BC799" t="s">
        <v>185</v>
      </c>
    </row>
    <row r="800" spans="3:55" x14ac:dyDescent="0.45">
      <c r="C800">
        <v>88.6</v>
      </c>
      <c r="D800">
        <v>6.1</v>
      </c>
      <c r="E800">
        <v>4</v>
      </c>
      <c r="F800">
        <v>0</v>
      </c>
      <c r="G800">
        <v>0</v>
      </c>
      <c r="H800">
        <v>0</v>
      </c>
      <c r="I800">
        <v>0</v>
      </c>
      <c r="J800">
        <v>0.65</v>
      </c>
      <c r="K800">
        <v>0</v>
      </c>
      <c r="L800">
        <v>0.65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1</v>
      </c>
      <c r="Z800">
        <v>0</v>
      </c>
      <c r="AA800">
        <v>0</v>
      </c>
      <c r="AB800">
        <v>0</v>
      </c>
      <c r="AC800">
        <v>910</v>
      </c>
      <c r="AD800">
        <v>1</v>
      </c>
      <c r="AE800">
        <v>0</v>
      </c>
      <c r="AF800">
        <v>0</v>
      </c>
      <c r="AG800">
        <v>1</v>
      </c>
      <c r="AH800">
        <v>0</v>
      </c>
      <c r="AI800">
        <v>0</v>
      </c>
      <c r="AJ800">
        <v>0</v>
      </c>
      <c r="AK800">
        <v>0</v>
      </c>
      <c r="AL800">
        <v>0</v>
      </c>
      <c r="AM800">
        <v>0</v>
      </c>
      <c r="AN800">
        <v>0</v>
      </c>
      <c r="AO800">
        <v>0</v>
      </c>
      <c r="AP800">
        <v>0</v>
      </c>
      <c r="AQ800">
        <v>0</v>
      </c>
      <c r="AR800">
        <v>0</v>
      </c>
      <c r="AS800">
        <v>0</v>
      </c>
      <c r="AT800">
        <f t="shared" si="38"/>
        <v>-2.7699999999999996</v>
      </c>
      <c r="AU800">
        <f t="shared" si="36"/>
        <v>6.208333333333333</v>
      </c>
      <c r="AV800">
        <f t="shared" si="37"/>
        <v>836.94999999999993</v>
      </c>
      <c r="BC800" t="s">
        <v>185</v>
      </c>
    </row>
    <row r="801" spans="3:55" x14ac:dyDescent="0.45">
      <c r="C801">
        <v>88.6</v>
      </c>
      <c r="D801">
        <v>6.1</v>
      </c>
      <c r="E801">
        <v>4</v>
      </c>
      <c r="F801">
        <v>0</v>
      </c>
      <c r="G801">
        <v>0</v>
      </c>
      <c r="H801">
        <v>0</v>
      </c>
      <c r="I801">
        <v>0</v>
      </c>
      <c r="J801">
        <v>0.65</v>
      </c>
      <c r="K801">
        <v>0</v>
      </c>
      <c r="L801">
        <v>0.65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1</v>
      </c>
      <c r="Z801">
        <v>0</v>
      </c>
      <c r="AA801">
        <v>0</v>
      </c>
      <c r="AB801">
        <v>0</v>
      </c>
      <c r="AC801">
        <v>955</v>
      </c>
      <c r="AD801">
        <v>1</v>
      </c>
      <c r="AE801">
        <v>0</v>
      </c>
      <c r="AF801">
        <v>0</v>
      </c>
      <c r="AG801">
        <v>1</v>
      </c>
      <c r="AH801">
        <v>500</v>
      </c>
      <c r="AI801">
        <v>2</v>
      </c>
      <c r="AJ801">
        <v>0</v>
      </c>
      <c r="AK801">
        <v>1</v>
      </c>
      <c r="AL801">
        <v>0</v>
      </c>
      <c r="AM801">
        <v>0</v>
      </c>
      <c r="AN801">
        <v>0</v>
      </c>
      <c r="AO801">
        <v>0</v>
      </c>
      <c r="AP801">
        <v>0</v>
      </c>
      <c r="AQ801">
        <v>0</v>
      </c>
      <c r="AR801">
        <v>0</v>
      </c>
      <c r="AS801">
        <v>0</v>
      </c>
      <c r="AT801">
        <f t="shared" si="38"/>
        <v>-2.7699999999999996</v>
      </c>
      <c r="AU801">
        <f t="shared" si="36"/>
        <v>6.208333333333333</v>
      </c>
      <c r="AV801">
        <f t="shared" si="37"/>
        <v>836.94999999999993</v>
      </c>
      <c r="BC801" t="s">
        <v>185</v>
      </c>
    </row>
    <row r="802" spans="3:55" x14ac:dyDescent="0.45">
      <c r="C802">
        <v>88.3</v>
      </c>
      <c r="D802">
        <v>6.1</v>
      </c>
      <c r="E802">
        <v>4</v>
      </c>
      <c r="F802">
        <v>0</v>
      </c>
      <c r="G802">
        <v>0</v>
      </c>
      <c r="H802">
        <v>0</v>
      </c>
      <c r="I802">
        <v>0</v>
      </c>
      <c r="J802">
        <v>0.8</v>
      </c>
      <c r="K802">
        <v>0</v>
      </c>
      <c r="L802">
        <v>0.8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1</v>
      </c>
      <c r="Z802">
        <v>0</v>
      </c>
      <c r="AA802">
        <v>0</v>
      </c>
      <c r="AB802">
        <v>0</v>
      </c>
      <c r="AC802">
        <v>955</v>
      </c>
      <c r="AD802">
        <v>1</v>
      </c>
      <c r="AE802">
        <v>0</v>
      </c>
      <c r="AF802">
        <v>0</v>
      </c>
      <c r="AG802">
        <v>1</v>
      </c>
      <c r="AH802">
        <v>500</v>
      </c>
      <c r="AI802">
        <v>2</v>
      </c>
      <c r="AJ802">
        <v>0</v>
      </c>
      <c r="AK802">
        <v>1</v>
      </c>
      <c r="AL802">
        <v>0</v>
      </c>
      <c r="AM802">
        <v>0</v>
      </c>
      <c r="AN802">
        <v>0</v>
      </c>
      <c r="AO802">
        <v>0</v>
      </c>
      <c r="AP802">
        <v>0</v>
      </c>
      <c r="AQ802">
        <v>0</v>
      </c>
      <c r="AR802">
        <v>0</v>
      </c>
      <c r="AS802">
        <v>0</v>
      </c>
      <c r="AT802">
        <f t="shared" si="38"/>
        <v>-2.6199999999999992</v>
      </c>
      <c r="AU802">
        <f t="shared" si="36"/>
        <v>6.2333333333333334</v>
      </c>
      <c r="AV802">
        <f t="shared" si="37"/>
        <v>834.4899999999999</v>
      </c>
      <c r="BB802" t="s">
        <v>315</v>
      </c>
      <c r="BC802" t="s">
        <v>186</v>
      </c>
    </row>
    <row r="803" spans="3:55" x14ac:dyDescent="0.45">
      <c r="C803">
        <v>88</v>
      </c>
      <c r="D803">
        <v>6</v>
      </c>
      <c r="E803">
        <v>0</v>
      </c>
      <c r="F803">
        <v>0</v>
      </c>
      <c r="G803">
        <v>0</v>
      </c>
      <c r="H803">
        <v>0</v>
      </c>
      <c r="I803">
        <v>0</v>
      </c>
      <c r="J803">
        <v>2</v>
      </c>
      <c r="K803">
        <v>3</v>
      </c>
      <c r="L803">
        <v>1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1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>
        <v>0</v>
      </c>
      <c r="AH803">
        <v>0</v>
      </c>
      <c r="AI803">
        <v>0</v>
      </c>
      <c r="AJ803">
        <v>0</v>
      </c>
      <c r="AK803">
        <v>0</v>
      </c>
      <c r="AL803">
        <v>0</v>
      </c>
      <c r="AM803">
        <v>0</v>
      </c>
      <c r="AN803">
        <v>0</v>
      </c>
      <c r="AO803">
        <v>0</v>
      </c>
      <c r="AP803">
        <v>0</v>
      </c>
      <c r="AQ803">
        <v>0</v>
      </c>
      <c r="AR803">
        <v>0</v>
      </c>
      <c r="AS803">
        <v>0</v>
      </c>
      <c r="AT803">
        <f t="shared" si="38"/>
        <v>-4.16</v>
      </c>
      <c r="AU803">
        <f t="shared" si="36"/>
        <v>6.333333333333333</v>
      </c>
      <c r="AV803">
        <f t="shared" si="37"/>
        <v>871.30000000000007</v>
      </c>
      <c r="BB803" t="s">
        <v>316</v>
      </c>
      <c r="BC803" t="s">
        <v>187</v>
      </c>
    </row>
    <row r="804" spans="3:55" x14ac:dyDescent="0.45">
      <c r="C804">
        <v>88</v>
      </c>
      <c r="D804">
        <v>6</v>
      </c>
      <c r="E804">
        <v>0</v>
      </c>
      <c r="F804">
        <v>0</v>
      </c>
      <c r="G804">
        <v>0</v>
      </c>
      <c r="H804">
        <v>0</v>
      </c>
      <c r="I804">
        <v>0</v>
      </c>
      <c r="J804">
        <v>2</v>
      </c>
      <c r="K804">
        <v>3</v>
      </c>
      <c r="L804">
        <v>1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1</v>
      </c>
      <c r="Z804">
        <v>0</v>
      </c>
      <c r="AA804">
        <v>0</v>
      </c>
      <c r="AB804">
        <v>0</v>
      </c>
      <c r="AC804">
        <v>0</v>
      </c>
      <c r="AD804">
        <v>0</v>
      </c>
      <c r="AE804">
        <v>0</v>
      </c>
      <c r="AF804">
        <v>0</v>
      </c>
      <c r="AG804">
        <v>0</v>
      </c>
      <c r="AH804">
        <v>0</v>
      </c>
      <c r="AI804">
        <v>0</v>
      </c>
      <c r="AJ804">
        <v>0</v>
      </c>
      <c r="AK804">
        <v>0</v>
      </c>
      <c r="AL804">
        <v>0</v>
      </c>
      <c r="AM804">
        <v>0</v>
      </c>
      <c r="AN804">
        <v>0</v>
      </c>
      <c r="AO804">
        <v>0</v>
      </c>
      <c r="AP804">
        <v>0</v>
      </c>
      <c r="AQ804">
        <v>0</v>
      </c>
      <c r="AR804">
        <v>0</v>
      </c>
      <c r="AS804">
        <v>0</v>
      </c>
      <c r="AT804">
        <f t="shared" si="38"/>
        <v>-4.16</v>
      </c>
      <c r="AU804">
        <f t="shared" si="36"/>
        <v>6.333333333333333</v>
      </c>
      <c r="AV804">
        <f t="shared" si="37"/>
        <v>871.30000000000007</v>
      </c>
      <c r="BB804" t="s">
        <v>317</v>
      </c>
      <c r="BC804" t="s">
        <v>187</v>
      </c>
    </row>
    <row r="805" spans="3:55" x14ac:dyDescent="0.45">
      <c r="C805">
        <v>88</v>
      </c>
      <c r="D805">
        <v>6</v>
      </c>
      <c r="E805">
        <v>0</v>
      </c>
      <c r="F805">
        <v>0</v>
      </c>
      <c r="G805">
        <v>0</v>
      </c>
      <c r="H805">
        <v>0</v>
      </c>
      <c r="I805">
        <v>0</v>
      </c>
      <c r="J805">
        <v>2</v>
      </c>
      <c r="K805">
        <v>3</v>
      </c>
      <c r="L805">
        <v>1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1</v>
      </c>
      <c r="Z805">
        <v>0</v>
      </c>
      <c r="AA805">
        <v>0</v>
      </c>
      <c r="AB805">
        <v>0</v>
      </c>
      <c r="AC805">
        <v>0</v>
      </c>
      <c r="AD805">
        <v>0</v>
      </c>
      <c r="AE805">
        <v>0</v>
      </c>
      <c r="AF805">
        <v>0</v>
      </c>
      <c r="AG805">
        <v>0</v>
      </c>
      <c r="AH805">
        <v>0</v>
      </c>
      <c r="AI805">
        <v>0</v>
      </c>
      <c r="AJ805">
        <v>0</v>
      </c>
      <c r="AK805">
        <v>0</v>
      </c>
      <c r="AL805">
        <v>0</v>
      </c>
      <c r="AM805">
        <v>0</v>
      </c>
      <c r="AN805">
        <v>0</v>
      </c>
      <c r="AO805">
        <v>0</v>
      </c>
      <c r="AP805">
        <v>0</v>
      </c>
      <c r="AQ805">
        <v>0</v>
      </c>
      <c r="AR805">
        <v>0</v>
      </c>
      <c r="AS805">
        <v>0</v>
      </c>
      <c r="AT805">
        <f t="shared" si="38"/>
        <v>-4.16</v>
      </c>
      <c r="AU805">
        <f t="shared" si="36"/>
        <v>6.333333333333333</v>
      </c>
      <c r="AV805">
        <f t="shared" si="37"/>
        <v>871.30000000000007</v>
      </c>
      <c r="BB805" t="s">
        <v>318</v>
      </c>
      <c r="BC805" t="s">
        <v>187</v>
      </c>
    </row>
    <row r="806" spans="3:55" x14ac:dyDescent="0.45">
      <c r="C806">
        <v>88</v>
      </c>
      <c r="D806">
        <v>6</v>
      </c>
      <c r="E806">
        <v>0</v>
      </c>
      <c r="F806">
        <v>0</v>
      </c>
      <c r="G806">
        <v>0</v>
      </c>
      <c r="H806">
        <v>0</v>
      </c>
      <c r="I806">
        <v>0</v>
      </c>
      <c r="J806">
        <v>2</v>
      </c>
      <c r="K806">
        <v>3</v>
      </c>
      <c r="L806">
        <v>1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1</v>
      </c>
      <c r="Z806">
        <v>0</v>
      </c>
      <c r="AA806">
        <v>0</v>
      </c>
      <c r="AB806">
        <v>0</v>
      </c>
      <c r="AC806">
        <v>0</v>
      </c>
      <c r="AD806">
        <v>0</v>
      </c>
      <c r="AE806">
        <v>0</v>
      </c>
      <c r="AF806">
        <v>0</v>
      </c>
      <c r="AG806">
        <v>0</v>
      </c>
      <c r="AH806">
        <v>0</v>
      </c>
      <c r="AI806">
        <v>0</v>
      </c>
      <c r="AJ806">
        <v>0</v>
      </c>
      <c r="AK806">
        <v>0</v>
      </c>
      <c r="AL806">
        <v>0</v>
      </c>
      <c r="AM806">
        <v>0</v>
      </c>
      <c r="AN806">
        <v>0</v>
      </c>
      <c r="AO806">
        <v>0</v>
      </c>
      <c r="AP806">
        <v>0</v>
      </c>
      <c r="AQ806">
        <v>0</v>
      </c>
      <c r="AR806">
        <v>0</v>
      </c>
      <c r="AS806">
        <v>0</v>
      </c>
      <c r="AT806">
        <f t="shared" si="38"/>
        <v>-4.16</v>
      </c>
      <c r="AU806">
        <f t="shared" si="36"/>
        <v>6.333333333333333</v>
      </c>
      <c r="AV806">
        <f t="shared" si="37"/>
        <v>871.30000000000007</v>
      </c>
      <c r="BB806" t="s">
        <v>319</v>
      </c>
      <c r="BC806" t="s">
        <v>187</v>
      </c>
    </row>
    <row r="807" spans="3:55" x14ac:dyDescent="0.45">
      <c r="C807">
        <v>88</v>
      </c>
      <c r="D807">
        <v>6</v>
      </c>
      <c r="E807">
        <v>0</v>
      </c>
      <c r="F807">
        <v>0</v>
      </c>
      <c r="G807">
        <v>0</v>
      </c>
      <c r="H807">
        <v>0</v>
      </c>
      <c r="I807">
        <v>0</v>
      </c>
      <c r="J807">
        <v>2</v>
      </c>
      <c r="K807">
        <v>3</v>
      </c>
      <c r="L807">
        <v>1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1</v>
      </c>
      <c r="Z807">
        <v>0</v>
      </c>
      <c r="AA807">
        <v>0</v>
      </c>
      <c r="AB807">
        <v>0</v>
      </c>
      <c r="AC807">
        <v>0</v>
      </c>
      <c r="AD807">
        <v>0</v>
      </c>
      <c r="AE807">
        <v>0</v>
      </c>
      <c r="AF807">
        <v>0</v>
      </c>
      <c r="AG807">
        <v>0</v>
      </c>
      <c r="AH807">
        <v>0</v>
      </c>
      <c r="AI807">
        <v>0</v>
      </c>
      <c r="AJ807">
        <v>0</v>
      </c>
      <c r="AK807">
        <v>0</v>
      </c>
      <c r="AL807">
        <v>0</v>
      </c>
      <c r="AM807">
        <v>0</v>
      </c>
      <c r="AN807">
        <v>0</v>
      </c>
      <c r="AO807">
        <v>0</v>
      </c>
      <c r="AP807">
        <v>0</v>
      </c>
      <c r="AQ807">
        <v>0</v>
      </c>
      <c r="AR807">
        <v>0</v>
      </c>
      <c r="AS807">
        <v>0</v>
      </c>
      <c r="AT807">
        <f t="shared" si="38"/>
        <v>-4.16</v>
      </c>
      <c r="AU807">
        <f t="shared" si="36"/>
        <v>6.333333333333333</v>
      </c>
      <c r="AV807">
        <f t="shared" si="37"/>
        <v>871.30000000000007</v>
      </c>
      <c r="BB807" t="s">
        <v>320</v>
      </c>
      <c r="BC807" t="s">
        <v>187</v>
      </c>
    </row>
    <row r="808" spans="3:55" x14ac:dyDescent="0.45">
      <c r="C808">
        <v>88</v>
      </c>
      <c r="D808">
        <v>6</v>
      </c>
      <c r="E808">
        <v>0</v>
      </c>
      <c r="F808">
        <v>0</v>
      </c>
      <c r="G808">
        <v>0</v>
      </c>
      <c r="H808">
        <v>0</v>
      </c>
      <c r="I808">
        <v>0</v>
      </c>
      <c r="J808">
        <v>2</v>
      </c>
      <c r="K808">
        <v>3</v>
      </c>
      <c r="L808">
        <v>1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1</v>
      </c>
      <c r="Z808">
        <v>0</v>
      </c>
      <c r="AA808">
        <v>0</v>
      </c>
      <c r="AB808">
        <v>0</v>
      </c>
      <c r="AC808">
        <v>0</v>
      </c>
      <c r="AD808">
        <v>0</v>
      </c>
      <c r="AE808">
        <v>0</v>
      </c>
      <c r="AF808">
        <v>0</v>
      </c>
      <c r="AG808">
        <v>0</v>
      </c>
      <c r="AH808">
        <v>0</v>
      </c>
      <c r="AI808">
        <v>0</v>
      </c>
      <c r="AJ808">
        <v>0</v>
      </c>
      <c r="AK808">
        <v>0</v>
      </c>
      <c r="AL808">
        <v>0</v>
      </c>
      <c r="AM808">
        <v>0</v>
      </c>
      <c r="AN808">
        <v>0</v>
      </c>
      <c r="AO808">
        <v>0</v>
      </c>
      <c r="AP808">
        <v>0</v>
      </c>
      <c r="AQ808">
        <v>0</v>
      </c>
      <c r="AR808">
        <v>0</v>
      </c>
      <c r="AS808">
        <v>0</v>
      </c>
      <c r="AT808">
        <f t="shared" si="38"/>
        <v>-4.16</v>
      </c>
      <c r="AU808">
        <f t="shared" si="36"/>
        <v>6.333333333333333</v>
      </c>
      <c r="AV808">
        <f t="shared" si="37"/>
        <v>871.30000000000007</v>
      </c>
      <c r="BB808" t="s">
        <v>321</v>
      </c>
      <c r="BC808" t="s">
        <v>187</v>
      </c>
    </row>
    <row r="809" spans="3:55" x14ac:dyDescent="0.45">
      <c r="C809">
        <v>87.3</v>
      </c>
      <c r="D809">
        <v>6.25</v>
      </c>
      <c r="E809">
        <v>0</v>
      </c>
      <c r="F809">
        <v>0</v>
      </c>
      <c r="G809">
        <v>0</v>
      </c>
      <c r="H809">
        <v>0</v>
      </c>
      <c r="I809">
        <v>0</v>
      </c>
      <c r="J809">
        <v>2.0499999999999998</v>
      </c>
      <c r="K809">
        <v>3.2</v>
      </c>
      <c r="L809">
        <v>1.0900000000000001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1</v>
      </c>
      <c r="Z809">
        <v>0</v>
      </c>
      <c r="AA809">
        <v>0</v>
      </c>
      <c r="AB809">
        <v>0</v>
      </c>
      <c r="AC809">
        <v>970</v>
      </c>
      <c r="AD809">
        <v>2</v>
      </c>
      <c r="AE809">
        <v>0</v>
      </c>
      <c r="AF809">
        <v>1</v>
      </c>
      <c r="AG809">
        <v>0</v>
      </c>
      <c r="AH809">
        <v>750</v>
      </c>
      <c r="AI809">
        <v>2</v>
      </c>
      <c r="AJ809">
        <v>0</v>
      </c>
      <c r="AK809">
        <v>1</v>
      </c>
      <c r="AL809">
        <v>0</v>
      </c>
      <c r="AM809">
        <v>0</v>
      </c>
      <c r="AN809">
        <v>0</v>
      </c>
      <c r="AO809">
        <v>0</v>
      </c>
      <c r="AP809">
        <v>0</v>
      </c>
      <c r="AQ809">
        <v>0</v>
      </c>
      <c r="AR809">
        <v>0</v>
      </c>
      <c r="AS809">
        <v>0</v>
      </c>
      <c r="AT809">
        <f t="shared" si="38"/>
        <v>-4.2639999999999993</v>
      </c>
      <c r="AU809">
        <f t="shared" si="36"/>
        <v>6.5916666666666668</v>
      </c>
      <c r="AV809">
        <f t="shared" si="37"/>
        <v>870.625</v>
      </c>
      <c r="AX809">
        <v>787.51649999999995</v>
      </c>
      <c r="AY809">
        <v>879.67525000000001</v>
      </c>
      <c r="AZ809">
        <v>16.701025000000001</v>
      </c>
      <c r="BC809" t="s">
        <v>108</v>
      </c>
    </row>
    <row r="810" spans="3:55" x14ac:dyDescent="0.45">
      <c r="C810">
        <v>86.629000000000005</v>
      </c>
      <c r="D810">
        <v>6.75</v>
      </c>
      <c r="E810">
        <v>0</v>
      </c>
      <c r="F810">
        <v>0</v>
      </c>
      <c r="G810">
        <v>0</v>
      </c>
      <c r="H810">
        <v>0</v>
      </c>
      <c r="I810">
        <v>0</v>
      </c>
      <c r="J810">
        <v>2.11</v>
      </c>
      <c r="K810">
        <v>3.1</v>
      </c>
      <c r="L810">
        <v>1.04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1</v>
      </c>
      <c r="Z810">
        <v>0</v>
      </c>
      <c r="AA810">
        <v>0</v>
      </c>
      <c r="AB810">
        <v>0</v>
      </c>
      <c r="AC810">
        <v>965</v>
      </c>
      <c r="AD810">
        <v>1</v>
      </c>
      <c r="AE810">
        <v>1</v>
      </c>
      <c r="AF810">
        <v>0</v>
      </c>
      <c r="AG810">
        <v>0</v>
      </c>
      <c r="AH810">
        <v>0</v>
      </c>
      <c r="AI810">
        <v>0</v>
      </c>
      <c r="AJ810">
        <v>0</v>
      </c>
      <c r="AK810">
        <v>0</v>
      </c>
      <c r="AL810">
        <v>0</v>
      </c>
      <c r="AM810">
        <v>0</v>
      </c>
      <c r="AN810">
        <v>0</v>
      </c>
      <c r="AO810">
        <v>0</v>
      </c>
      <c r="AP810">
        <v>0</v>
      </c>
      <c r="AQ810">
        <v>0</v>
      </c>
      <c r="AR810">
        <v>0</v>
      </c>
      <c r="AS810">
        <v>0</v>
      </c>
      <c r="AT810">
        <f t="shared" si="38"/>
        <v>-4.8419999999999996</v>
      </c>
      <c r="AU810">
        <f t="shared" si="36"/>
        <v>7.1016666666666666</v>
      </c>
      <c r="AV810">
        <f t="shared" si="37"/>
        <v>871.73599999999999</v>
      </c>
      <c r="AX810">
        <v>840</v>
      </c>
      <c r="AY810">
        <v>989</v>
      </c>
      <c r="AZ810">
        <v>13.4</v>
      </c>
      <c r="BC810" t="s">
        <v>108</v>
      </c>
    </row>
    <row r="811" spans="3:55" x14ac:dyDescent="0.45">
      <c r="C811">
        <v>86.629000000000005</v>
      </c>
      <c r="D811">
        <v>6.75</v>
      </c>
      <c r="E811">
        <v>0</v>
      </c>
      <c r="F811">
        <v>0</v>
      </c>
      <c r="G811">
        <v>0</v>
      </c>
      <c r="H811">
        <v>0</v>
      </c>
      <c r="I811">
        <v>0</v>
      </c>
      <c r="J811">
        <v>2.11</v>
      </c>
      <c r="K811">
        <v>3.1</v>
      </c>
      <c r="L811">
        <v>1.04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1</v>
      </c>
      <c r="Z811">
        <v>0</v>
      </c>
      <c r="AA811">
        <v>0</v>
      </c>
      <c r="AB811">
        <v>0</v>
      </c>
      <c r="AC811">
        <v>965</v>
      </c>
      <c r="AD811">
        <v>1</v>
      </c>
      <c r="AE811">
        <v>1</v>
      </c>
      <c r="AF811">
        <v>0</v>
      </c>
      <c r="AG811">
        <v>0</v>
      </c>
      <c r="AH811">
        <v>900</v>
      </c>
      <c r="AI811">
        <v>1</v>
      </c>
      <c r="AJ811">
        <v>1</v>
      </c>
      <c r="AK811">
        <v>0</v>
      </c>
      <c r="AL811">
        <v>0</v>
      </c>
      <c r="AM811">
        <v>0</v>
      </c>
      <c r="AN811">
        <v>0</v>
      </c>
      <c r="AO811">
        <v>0</v>
      </c>
      <c r="AP811">
        <v>0</v>
      </c>
      <c r="AQ811">
        <v>0</v>
      </c>
      <c r="AR811">
        <v>0</v>
      </c>
      <c r="AS811">
        <v>0</v>
      </c>
      <c r="AT811">
        <f t="shared" si="38"/>
        <v>-4.8419999999999996</v>
      </c>
      <c r="AU811">
        <f t="shared" si="36"/>
        <v>7.1016666666666666</v>
      </c>
      <c r="AV811">
        <f t="shared" si="37"/>
        <v>871.73599999999999</v>
      </c>
      <c r="AX811">
        <v>779</v>
      </c>
      <c r="AY811">
        <v>903</v>
      </c>
      <c r="AZ811">
        <v>17.100000000000001</v>
      </c>
      <c r="BC811" t="s">
        <v>108</v>
      </c>
    </row>
    <row r="812" spans="3:55" x14ac:dyDescent="0.45">
      <c r="C812">
        <v>86.629000000000005</v>
      </c>
      <c r="D812">
        <v>6.75</v>
      </c>
      <c r="E812">
        <v>0</v>
      </c>
      <c r="F812">
        <v>0</v>
      </c>
      <c r="G812">
        <v>0</v>
      </c>
      <c r="H812">
        <v>0</v>
      </c>
      <c r="I812">
        <v>0</v>
      </c>
      <c r="J812">
        <v>2.11</v>
      </c>
      <c r="K812">
        <v>3.1</v>
      </c>
      <c r="L812">
        <v>1.04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1</v>
      </c>
      <c r="Z812">
        <v>0</v>
      </c>
      <c r="AA812">
        <v>0</v>
      </c>
      <c r="AB812">
        <v>0</v>
      </c>
      <c r="AC812">
        <v>980</v>
      </c>
      <c r="AD812">
        <v>1</v>
      </c>
      <c r="AE812">
        <v>1</v>
      </c>
      <c r="AF812">
        <v>0</v>
      </c>
      <c r="AG812">
        <v>0</v>
      </c>
      <c r="AH812">
        <v>0</v>
      </c>
      <c r="AI812">
        <v>0</v>
      </c>
      <c r="AJ812">
        <v>0</v>
      </c>
      <c r="AK812">
        <v>0</v>
      </c>
      <c r="AL812">
        <v>0</v>
      </c>
      <c r="AM812">
        <v>0</v>
      </c>
      <c r="AN812">
        <v>0</v>
      </c>
      <c r="AO812">
        <v>0</v>
      </c>
      <c r="AP812">
        <v>0</v>
      </c>
      <c r="AQ812">
        <v>0</v>
      </c>
      <c r="AR812">
        <v>0</v>
      </c>
      <c r="AS812">
        <v>0</v>
      </c>
      <c r="AT812">
        <f t="shared" si="38"/>
        <v>-4.8419999999999996</v>
      </c>
      <c r="AU812">
        <f t="shared" si="36"/>
        <v>7.1016666666666666</v>
      </c>
      <c r="AV812">
        <f t="shared" si="37"/>
        <v>871.73599999999999</v>
      </c>
      <c r="AX812">
        <v>854</v>
      </c>
      <c r="AY812">
        <v>990</v>
      </c>
      <c r="AZ812">
        <v>12.6</v>
      </c>
      <c r="BC812" t="s">
        <v>108</v>
      </c>
    </row>
    <row r="813" spans="3:55" x14ac:dyDescent="0.45">
      <c r="C813">
        <v>86.629000000000005</v>
      </c>
      <c r="D813">
        <v>6.75</v>
      </c>
      <c r="E813">
        <v>0</v>
      </c>
      <c r="F813">
        <v>0</v>
      </c>
      <c r="G813">
        <v>0</v>
      </c>
      <c r="H813">
        <v>0</v>
      </c>
      <c r="I813">
        <v>0</v>
      </c>
      <c r="J813">
        <v>2.11</v>
      </c>
      <c r="K813">
        <v>3.1</v>
      </c>
      <c r="L813">
        <v>1.04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1</v>
      </c>
      <c r="Z813">
        <v>0</v>
      </c>
      <c r="AA813">
        <v>0</v>
      </c>
      <c r="AB813">
        <v>0</v>
      </c>
      <c r="AC813">
        <v>980</v>
      </c>
      <c r="AD813">
        <v>1</v>
      </c>
      <c r="AE813">
        <v>1</v>
      </c>
      <c r="AF813">
        <v>0</v>
      </c>
      <c r="AG813">
        <v>0</v>
      </c>
      <c r="AH813">
        <v>900</v>
      </c>
      <c r="AI813">
        <v>1</v>
      </c>
      <c r="AJ813">
        <v>1</v>
      </c>
      <c r="AK813">
        <v>0</v>
      </c>
      <c r="AL813">
        <v>0</v>
      </c>
      <c r="AM813">
        <v>0</v>
      </c>
      <c r="AN813">
        <v>0</v>
      </c>
      <c r="AO813">
        <v>0</v>
      </c>
      <c r="AP813">
        <v>0</v>
      </c>
      <c r="AQ813">
        <v>0</v>
      </c>
      <c r="AR813">
        <v>0</v>
      </c>
      <c r="AS813">
        <v>0</v>
      </c>
      <c r="AT813">
        <f t="shared" si="38"/>
        <v>-4.8419999999999996</v>
      </c>
      <c r="AU813">
        <f t="shared" si="36"/>
        <v>7.1016666666666666</v>
      </c>
      <c r="AV813">
        <f t="shared" si="37"/>
        <v>871.73599999999999</v>
      </c>
      <c r="AX813">
        <v>788</v>
      </c>
      <c r="AY813">
        <v>915</v>
      </c>
      <c r="AZ813">
        <v>13.6</v>
      </c>
      <c r="BC813" t="s">
        <v>108</v>
      </c>
    </row>
    <row r="814" spans="3:55" x14ac:dyDescent="0.45">
      <c r="C814">
        <v>86.629000000000005</v>
      </c>
      <c r="D814">
        <v>6.75</v>
      </c>
      <c r="E814">
        <v>0</v>
      </c>
      <c r="F814">
        <v>0</v>
      </c>
      <c r="G814">
        <v>0</v>
      </c>
      <c r="H814">
        <v>0</v>
      </c>
      <c r="I814">
        <v>0</v>
      </c>
      <c r="J814">
        <v>2.11</v>
      </c>
      <c r="K814">
        <v>3.1</v>
      </c>
      <c r="L814">
        <v>1.04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1</v>
      </c>
      <c r="Z814">
        <v>0</v>
      </c>
      <c r="AA814">
        <v>0</v>
      </c>
      <c r="AB814">
        <v>0</v>
      </c>
      <c r="AC814">
        <v>950</v>
      </c>
      <c r="AD814">
        <v>1</v>
      </c>
      <c r="AE814">
        <v>0</v>
      </c>
      <c r="AF814">
        <v>1</v>
      </c>
      <c r="AG814">
        <v>0</v>
      </c>
      <c r="AH814">
        <v>0</v>
      </c>
      <c r="AI814">
        <v>0</v>
      </c>
      <c r="AJ814">
        <v>0</v>
      </c>
      <c r="AK814">
        <v>0</v>
      </c>
      <c r="AL814">
        <v>0</v>
      </c>
      <c r="AM814">
        <v>0</v>
      </c>
      <c r="AN814">
        <v>0</v>
      </c>
      <c r="AO814">
        <v>0</v>
      </c>
      <c r="AP814">
        <v>0</v>
      </c>
      <c r="AQ814">
        <v>0</v>
      </c>
      <c r="AR814">
        <v>0</v>
      </c>
      <c r="AS814">
        <v>0</v>
      </c>
      <c r="AT814">
        <f t="shared" si="38"/>
        <v>-4.8419999999999996</v>
      </c>
      <c r="AU814">
        <f t="shared" si="36"/>
        <v>7.1016666666666666</v>
      </c>
      <c r="AV814">
        <f t="shared" si="37"/>
        <v>871.73599999999999</v>
      </c>
      <c r="AX814">
        <v>771</v>
      </c>
      <c r="AY814">
        <v>874</v>
      </c>
      <c r="AZ814">
        <v>14.9</v>
      </c>
      <c r="BC814" t="s">
        <v>108</v>
      </c>
    </row>
    <row r="815" spans="3:55" x14ac:dyDescent="0.45">
      <c r="C815">
        <v>86.629000000000005</v>
      </c>
      <c r="D815">
        <v>6.75</v>
      </c>
      <c r="E815">
        <v>0</v>
      </c>
      <c r="F815">
        <v>0</v>
      </c>
      <c r="G815">
        <v>0</v>
      </c>
      <c r="H815">
        <v>0</v>
      </c>
      <c r="I815">
        <v>0</v>
      </c>
      <c r="J815">
        <v>2.11</v>
      </c>
      <c r="K815">
        <v>3.1</v>
      </c>
      <c r="L815">
        <v>1.04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1</v>
      </c>
      <c r="Z815">
        <v>0</v>
      </c>
      <c r="AA815">
        <v>0</v>
      </c>
      <c r="AB815">
        <v>0</v>
      </c>
      <c r="AC815">
        <v>965</v>
      </c>
      <c r="AD815">
        <v>1</v>
      </c>
      <c r="AE815">
        <v>0</v>
      </c>
      <c r="AF815">
        <v>1</v>
      </c>
      <c r="AG815">
        <v>0</v>
      </c>
      <c r="AH815">
        <v>0</v>
      </c>
      <c r="AI815">
        <v>0</v>
      </c>
      <c r="AJ815">
        <v>0</v>
      </c>
      <c r="AK815">
        <v>0</v>
      </c>
      <c r="AL815">
        <v>0</v>
      </c>
      <c r="AM815">
        <v>0</v>
      </c>
      <c r="AN815">
        <v>0</v>
      </c>
      <c r="AO815">
        <v>0</v>
      </c>
      <c r="AP815">
        <v>0</v>
      </c>
      <c r="AQ815">
        <v>0</v>
      </c>
      <c r="AR815">
        <v>0</v>
      </c>
      <c r="AS815">
        <v>0</v>
      </c>
      <c r="AT815">
        <f t="shared" si="38"/>
        <v>-4.8419999999999996</v>
      </c>
      <c r="AU815">
        <f t="shared" si="36"/>
        <v>7.1016666666666666</v>
      </c>
      <c r="AV815">
        <f t="shared" si="37"/>
        <v>871.73599999999999</v>
      </c>
      <c r="AX815">
        <v>770</v>
      </c>
      <c r="AY815">
        <v>881</v>
      </c>
      <c r="AZ815">
        <v>14.5</v>
      </c>
      <c r="BC815" t="s">
        <v>108</v>
      </c>
    </row>
    <row r="816" spans="3:55" x14ac:dyDescent="0.45">
      <c r="C816">
        <v>86.629000000000005</v>
      </c>
      <c r="D816">
        <v>6.75</v>
      </c>
      <c r="E816">
        <v>0</v>
      </c>
      <c r="F816">
        <v>0</v>
      </c>
      <c r="G816">
        <v>0</v>
      </c>
      <c r="H816">
        <v>0</v>
      </c>
      <c r="I816">
        <v>0</v>
      </c>
      <c r="J816">
        <v>2.11</v>
      </c>
      <c r="K816">
        <v>3.1</v>
      </c>
      <c r="L816">
        <v>1.04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1</v>
      </c>
      <c r="Z816">
        <v>0</v>
      </c>
      <c r="AA816">
        <v>0</v>
      </c>
      <c r="AB816">
        <v>0</v>
      </c>
      <c r="AC816">
        <v>980</v>
      </c>
      <c r="AD816">
        <v>1</v>
      </c>
      <c r="AE816">
        <v>0</v>
      </c>
      <c r="AF816">
        <v>1</v>
      </c>
      <c r="AG816">
        <v>0</v>
      </c>
      <c r="AH816">
        <v>0</v>
      </c>
      <c r="AI816">
        <v>0</v>
      </c>
      <c r="AJ816">
        <v>0</v>
      </c>
      <c r="AK816">
        <v>0</v>
      </c>
      <c r="AL816">
        <v>0</v>
      </c>
      <c r="AM816">
        <v>0</v>
      </c>
      <c r="AN816">
        <v>0</v>
      </c>
      <c r="AO816">
        <v>0</v>
      </c>
      <c r="AP816">
        <v>0</v>
      </c>
      <c r="AQ816">
        <v>0</v>
      </c>
      <c r="AR816">
        <v>0</v>
      </c>
      <c r="AS816">
        <v>0</v>
      </c>
      <c r="AT816">
        <f t="shared" si="38"/>
        <v>-4.8419999999999996</v>
      </c>
      <c r="AU816">
        <f t="shared" si="36"/>
        <v>7.1016666666666666</v>
      </c>
      <c r="AV816">
        <f t="shared" si="37"/>
        <v>871.73599999999999</v>
      </c>
      <c r="AX816">
        <v>782</v>
      </c>
      <c r="AY816">
        <v>891</v>
      </c>
      <c r="AZ816">
        <v>13.4</v>
      </c>
      <c r="BC816" t="s">
        <v>108</v>
      </c>
    </row>
    <row r="817" spans="3:55" x14ac:dyDescent="0.45">
      <c r="C817">
        <v>86.629000000000005</v>
      </c>
      <c r="D817">
        <v>6.75</v>
      </c>
      <c r="E817">
        <v>0</v>
      </c>
      <c r="F817">
        <v>0</v>
      </c>
      <c r="G817">
        <v>0</v>
      </c>
      <c r="H817">
        <v>0</v>
      </c>
      <c r="I817">
        <v>0</v>
      </c>
      <c r="J817">
        <v>2.11</v>
      </c>
      <c r="K817">
        <v>3.1</v>
      </c>
      <c r="L817">
        <v>1.04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1</v>
      </c>
      <c r="Z817">
        <v>0</v>
      </c>
      <c r="AA817">
        <v>0</v>
      </c>
      <c r="AB817">
        <v>0</v>
      </c>
      <c r="AC817">
        <v>950</v>
      </c>
      <c r="AD817">
        <v>1</v>
      </c>
      <c r="AE817">
        <v>1</v>
      </c>
      <c r="AF817">
        <v>0</v>
      </c>
      <c r="AG817">
        <v>0</v>
      </c>
      <c r="AH817">
        <v>0</v>
      </c>
      <c r="AI817">
        <v>0</v>
      </c>
      <c r="AJ817">
        <v>0</v>
      </c>
      <c r="AK817">
        <v>0</v>
      </c>
      <c r="AL817">
        <v>0</v>
      </c>
      <c r="AM817">
        <v>0</v>
      </c>
      <c r="AN817">
        <v>0</v>
      </c>
      <c r="AO817">
        <v>0</v>
      </c>
      <c r="AP817">
        <v>0</v>
      </c>
      <c r="AQ817">
        <v>0</v>
      </c>
      <c r="AR817">
        <v>0</v>
      </c>
      <c r="AS817">
        <v>0</v>
      </c>
      <c r="AT817">
        <f t="shared" si="38"/>
        <v>-4.8419999999999996</v>
      </c>
      <c r="AU817">
        <f t="shared" si="36"/>
        <v>7.1016666666666666</v>
      </c>
      <c r="AV817">
        <f t="shared" si="37"/>
        <v>871.73599999999999</v>
      </c>
      <c r="AX817">
        <v>830</v>
      </c>
      <c r="AY817">
        <v>950</v>
      </c>
      <c r="AZ817">
        <v>15.3</v>
      </c>
      <c r="BC817" t="s">
        <v>108</v>
      </c>
    </row>
    <row r="818" spans="3:55" x14ac:dyDescent="0.45">
      <c r="C818">
        <v>86.629000000000005</v>
      </c>
      <c r="D818">
        <v>6.75</v>
      </c>
      <c r="E818">
        <v>0</v>
      </c>
      <c r="F818">
        <v>0</v>
      </c>
      <c r="G818">
        <v>0</v>
      </c>
      <c r="H818">
        <v>0</v>
      </c>
      <c r="I818">
        <v>0</v>
      </c>
      <c r="J818">
        <v>2.11</v>
      </c>
      <c r="K818">
        <v>3.1</v>
      </c>
      <c r="L818">
        <v>1.04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1</v>
      </c>
      <c r="Z818">
        <v>0</v>
      </c>
      <c r="AA818">
        <v>0</v>
      </c>
      <c r="AB818">
        <v>0</v>
      </c>
      <c r="AC818">
        <v>950</v>
      </c>
      <c r="AD818">
        <v>1</v>
      </c>
      <c r="AE818">
        <v>1</v>
      </c>
      <c r="AF818">
        <v>0</v>
      </c>
      <c r="AG818">
        <v>0</v>
      </c>
      <c r="AH818">
        <v>900</v>
      </c>
      <c r="AI818">
        <v>1</v>
      </c>
      <c r="AJ818">
        <v>1</v>
      </c>
      <c r="AK818">
        <v>0</v>
      </c>
      <c r="AL818">
        <v>0</v>
      </c>
      <c r="AM818">
        <v>0</v>
      </c>
      <c r="AN818">
        <v>0</v>
      </c>
      <c r="AO818">
        <v>0</v>
      </c>
      <c r="AP818">
        <v>0</v>
      </c>
      <c r="AQ818">
        <v>0</v>
      </c>
      <c r="AR818">
        <v>0</v>
      </c>
      <c r="AS818">
        <v>0</v>
      </c>
      <c r="AT818">
        <f t="shared" si="38"/>
        <v>-4.8419999999999996</v>
      </c>
      <c r="AU818">
        <f t="shared" si="36"/>
        <v>7.1016666666666666</v>
      </c>
      <c r="AV818">
        <f t="shared" si="37"/>
        <v>871.73599999999999</v>
      </c>
      <c r="AX818">
        <v>776</v>
      </c>
      <c r="AY818">
        <v>872</v>
      </c>
      <c r="AZ818">
        <v>15.5</v>
      </c>
      <c r="BC818" t="s">
        <v>108</v>
      </c>
    </row>
    <row r="819" spans="3:55" x14ac:dyDescent="0.45">
      <c r="C819">
        <v>86.629000000000005</v>
      </c>
      <c r="D819">
        <v>6.75</v>
      </c>
      <c r="E819">
        <v>0</v>
      </c>
      <c r="F819">
        <v>0</v>
      </c>
      <c r="G819">
        <v>0</v>
      </c>
      <c r="H819">
        <v>0</v>
      </c>
      <c r="I819">
        <v>0</v>
      </c>
      <c r="J819">
        <v>2.11</v>
      </c>
      <c r="K819">
        <v>3.1</v>
      </c>
      <c r="L819">
        <v>1.04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1</v>
      </c>
      <c r="Z819">
        <v>0</v>
      </c>
      <c r="AA819">
        <v>0</v>
      </c>
      <c r="AB819">
        <v>0</v>
      </c>
      <c r="AC819">
        <v>0</v>
      </c>
      <c r="AD819">
        <v>0</v>
      </c>
      <c r="AE819">
        <v>0</v>
      </c>
      <c r="AF819">
        <v>0</v>
      </c>
      <c r="AG819">
        <v>0</v>
      </c>
      <c r="AH819">
        <v>930</v>
      </c>
      <c r="AI819">
        <v>1</v>
      </c>
      <c r="AJ819">
        <v>1</v>
      </c>
      <c r="AK819">
        <v>0</v>
      </c>
      <c r="AL819">
        <v>0</v>
      </c>
      <c r="AM819">
        <v>0</v>
      </c>
      <c r="AN819">
        <v>0</v>
      </c>
      <c r="AO819">
        <v>0</v>
      </c>
      <c r="AP819">
        <v>0</v>
      </c>
      <c r="AQ819">
        <v>0</v>
      </c>
      <c r="AR819">
        <v>0</v>
      </c>
      <c r="AS819">
        <v>0</v>
      </c>
      <c r="AT819">
        <f t="shared" si="38"/>
        <v>-4.8419999999999996</v>
      </c>
      <c r="AU819">
        <f t="shared" si="36"/>
        <v>7.1016666666666666</v>
      </c>
      <c r="AV819">
        <f t="shared" si="37"/>
        <v>871.73599999999999</v>
      </c>
      <c r="AX819">
        <v>784</v>
      </c>
      <c r="AY819">
        <v>884</v>
      </c>
      <c r="AZ819">
        <v>14.4</v>
      </c>
      <c r="BC819" t="s">
        <v>108</v>
      </c>
    </row>
    <row r="820" spans="3:55" x14ac:dyDescent="0.45">
      <c r="C820">
        <v>86.629000000000005</v>
      </c>
      <c r="D820">
        <v>6.75</v>
      </c>
      <c r="E820">
        <v>0</v>
      </c>
      <c r="F820">
        <v>0</v>
      </c>
      <c r="G820">
        <v>0</v>
      </c>
      <c r="H820">
        <v>0</v>
      </c>
      <c r="I820">
        <v>0</v>
      </c>
      <c r="J820">
        <v>2.11</v>
      </c>
      <c r="K820">
        <v>3.1</v>
      </c>
      <c r="L820">
        <v>1.04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1</v>
      </c>
      <c r="Z820">
        <v>0</v>
      </c>
      <c r="AA820">
        <v>0</v>
      </c>
      <c r="AB820">
        <v>0</v>
      </c>
      <c r="AC820">
        <v>0</v>
      </c>
      <c r="AD820">
        <v>0</v>
      </c>
      <c r="AE820">
        <v>0</v>
      </c>
      <c r="AF820">
        <v>0</v>
      </c>
      <c r="AG820">
        <v>0</v>
      </c>
      <c r="AH820">
        <v>900</v>
      </c>
      <c r="AI820">
        <v>1</v>
      </c>
      <c r="AJ820">
        <v>0</v>
      </c>
      <c r="AK820">
        <v>1</v>
      </c>
      <c r="AL820">
        <v>0</v>
      </c>
      <c r="AM820">
        <v>0</v>
      </c>
      <c r="AN820">
        <v>0</v>
      </c>
      <c r="AO820">
        <v>0</v>
      </c>
      <c r="AP820">
        <v>0</v>
      </c>
      <c r="AQ820">
        <v>0</v>
      </c>
      <c r="AR820">
        <v>0</v>
      </c>
      <c r="AS820">
        <v>0</v>
      </c>
      <c r="AT820">
        <f t="shared" si="38"/>
        <v>-4.8419999999999996</v>
      </c>
      <c r="AU820">
        <f t="shared" si="36"/>
        <v>7.1016666666666666</v>
      </c>
      <c r="AV820">
        <f t="shared" si="37"/>
        <v>871.73599999999999</v>
      </c>
      <c r="AX820">
        <v>766</v>
      </c>
      <c r="AY820">
        <v>869</v>
      </c>
      <c r="AZ820">
        <v>16.5</v>
      </c>
      <c r="BC820" t="s">
        <v>108</v>
      </c>
    </row>
    <row r="821" spans="3:55" x14ac:dyDescent="0.45">
      <c r="C821">
        <v>86.629000000000005</v>
      </c>
      <c r="D821">
        <v>6.75</v>
      </c>
      <c r="E821">
        <v>0</v>
      </c>
      <c r="F821">
        <v>0</v>
      </c>
      <c r="G821">
        <v>0</v>
      </c>
      <c r="H821">
        <v>0</v>
      </c>
      <c r="I821">
        <v>0</v>
      </c>
      <c r="J821">
        <v>2.11</v>
      </c>
      <c r="K821">
        <v>3.1</v>
      </c>
      <c r="L821">
        <v>1.04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1</v>
      </c>
      <c r="Z821">
        <v>0</v>
      </c>
      <c r="AA821">
        <v>0</v>
      </c>
      <c r="AB821">
        <v>0</v>
      </c>
      <c r="AC821">
        <v>0</v>
      </c>
      <c r="AD821">
        <v>0</v>
      </c>
      <c r="AE821">
        <v>0</v>
      </c>
      <c r="AF821">
        <v>0</v>
      </c>
      <c r="AG821">
        <v>0</v>
      </c>
      <c r="AH821">
        <v>930</v>
      </c>
      <c r="AI821">
        <v>1</v>
      </c>
      <c r="AJ821">
        <v>0</v>
      </c>
      <c r="AK821">
        <v>1</v>
      </c>
      <c r="AL821">
        <v>0</v>
      </c>
      <c r="AM821">
        <v>0</v>
      </c>
      <c r="AN821">
        <v>0</v>
      </c>
      <c r="AO821">
        <v>0</v>
      </c>
      <c r="AP821">
        <v>0</v>
      </c>
      <c r="AQ821">
        <v>0</v>
      </c>
      <c r="AR821">
        <v>0</v>
      </c>
      <c r="AS821">
        <v>0</v>
      </c>
      <c r="AT821">
        <f t="shared" si="38"/>
        <v>-4.8419999999999996</v>
      </c>
      <c r="AU821">
        <f t="shared" si="36"/>
        <v>7.1016666666666666</v>
      </c>
      <c r="AV821">
        <f t="shared" si="37"/>
        <v>871.73599999999999</v>
      </c>
      <c r="AX821">
        <v>776</v>
      </c>
      <c r="AY821">
        <v>876</v>
      </c>
      <c r="AZ821">
        <v>16.399999999999999</v>
      </c>
      <c r="BC821" t="s">
        <v>108</v>
      </c>
    </row>
    <row r="822" spans="3:55" x14ac:dyDescent="0.45">
      <c r="C822">
        <v>86.629000000000005</v>
      </c>
      <c r="D822">
        <v>6.75</v>
      </c>
      <c r="E822">
        <v>0</v>
      </c>
      <c r="F822">
        <v>0</v>
      </c>
      <c r="G822">
        <v>0</v>
      </c>
      <c r="H822">
        <v>0</v>
      </c>
      <c r="I822">
        <v>0</v>
      </c>
      <c r="J822">
        <v>2.11</v>
      </c>
      <c r="K822">
        <v>3.1</v>
      </c>
      <c r="L822">
        <v>1.04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1</v>
      </c>
      <c r="Z822">
        <v>0</v>
      </c>
      <c r="AA822">
        <v>0</v>
      </c>
      <c r="AB822">
        <v>0</v>
      </c>
      <c r="AC822">
        <v>0</v>
      </c>
      <c r="AD822">
        <v>0</v>
      </c>
      <c r="AE822">
        <v>0</v>
      </c>
      <c r="AF822">
        <v>0</v>
      </c>
      <c r="AG822">
        <v>0</v>
      </c>
      <c r="AH822">
        <v>930</v>
      </c>
      <c r="AI822">
        <v>1</v>
      </c>
      <c r="AJ822">
        <v>1</v>
      </c>
      <c r="AK822">
        <v>0</v>
      </c>
      <c r="AL822">
        <v>0</v>
      </c>
      <c r="AM822">
        <v>0</v>
      </c>
      <c r="AN822">
        <v>0</v>
      </c>
      <c r="AO822">
        <v>0</v>
      </c>
      <c r="AP822">
        <v>0</v>
      </c>
      <c r="AQ822">
        <v>0</v>
      </c>
      <c r="AR822">
        <v>0</v>
      </c>
      <c r="AS822">
        <v>0</v>
      </c>
      <c r="AT822">
        <f t="shared" si="38"/>
        <v>-4.8419999999999996</v>
      </c>
      <c r="AU822">
        <f t="shared" si="36"/>
        <v>7.1016666666666666</v>
      </c>
      <c r="AV822">
        <f t="shared" si="37"/>
        <v>871.73599999999999</v>
      </c>
      <c r="AX822">
        <v>785</v>
      </c>
      <c r="AY822">
        <v>919</v>
      </c>
      <c r="AZ822">
        <v>16.899999999999999</v>
      </c>
      <c r="BC822" t="s">
        <v>108</v>
      </c>
    </row>
    <row r="823" spans="3:55" x14ac:dyDescent="0.45">
      <c r="C823">
        <v>86.629000000000005</v>
      </c>
      <c r="D823">
        <v>6.75</v>
      </c>
      <c r="E823">
        <v>0</v>
      </c>
      <c r="F823">
        <v>0</v>
      </c>
      <c r="G823">
        <v>0</v>
      </c>
      <c r="H823">
        <v>0</v>
      </c>
      <c r="I823">
        <v>0</v>
      </c>
      <c r="J823">
        <v>2.11</v>
      </c>
      <c r="K823">
        <v>3.1</v>
      </c>
      <c r="L823">
        <v>1.04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1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>
        <v>0</v>
      </c>
      <c r="AH823">
        <v>950</v>
      </c>
      <c r="AI823">
        <v>1</v>
      </c>
      <c r="AJ823">
        <v>1</v>
      </c>
      <c r="AK823">
        <v>0</v>
      </c>
      <c r="AL823">
        <v>0</v>
      </c>
      <c r="AM823">
        <v>0</v>
      </c>
      <c r="AN823">
        <v>0</v>
      </c>
      <c r="AO823">
        <v>0</v>
      </c>
      <c r="AP823">
        <v>0</v>
      </c>
      <c r="AQ823">
        <v>0</v>
      </c>
      <c r="AR823">
        <v>0</v>
      </c>
      <c r="AS823">
        <v>0</v>
      </c>
      <c r="AT823">
        <f t="shared" si="38"/>
        <v>-4.8419999999999996</v>
      </c>
      <c r="AU823">
        <f t="shared" si="36"/>
        <v>7.1016666666666666</v>
      </c>
      <c r="AV823">
        <f t="shared" si="37"/>
        <v>871.73599999999999</v>
      </c>
      <c r="AX823">
        <v>878</v>
      </c>
      <c r="AY823">
        <v>1017</v>
      </c>
      <c r="AZ823">
        <v>16.2</v>
      </c>
      <c r="BC823" t="s">
        <v>108</v>
      </c>
    </row>
    <row r="824" spans="3:55" x14ac:dyDescent="0.45">
      <c r="C824">
        <v>86.629000000000005</v>
      </c>
      <c r="D824">
        <v>6.75</v>
      </c>
      <c r="E824">
        <v>0</v>
      </c>
      <c r="F824">
        <v>0</v>
      </c>
      <c r="G824">
        <v>0</v>
      </c>
      <c r="H824">
        <v>0</v>
      </c>
      <c r="I824">
        <v>0</v>
      </c>
      <c r="J824">
        <v>2.11</v>
      </c>
      <c r="K824">
        <v>3.1</v>
      </c>
      <c r="L824">
        <v>1.04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1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>
        <v>0</v>
      </c>
      <c r="AH824">
        <v>900</v>
      </c>
      <c r="AI824">
        <v>1</v>
      </c>
      <c r="AJ824">
        <v>0</v>
      </c>
      <c r="AK824">
        <v>1</v>
      </c>
      <c r="AL824">
        <v>0</v>
      </c>
      <c r="AM824">
        <v>0</v>
      </c>
      <c r="AN824">
        <v>0</v>
      </c>
      <c r="AO824">
        <v>0</v>
      </c>
      <c r="AP824">
        <v>0</v>
      </c>
      <c r="AQ824">
        <v>0</v>
      </c>
      <c r="AR824">
        <v>0</v>
      </c>
      <c r="AS824">
        <v>0</v>
      </c>
      <c r="AT824">
        <f t="shared" si="38"/>
        <v>-4.8419999999999996</v>
      </c>
      <c r="AU824">
        <f t="shared" si="36"/>
        <v>7.1016666666666666</v>
      </c>
      <c r="AV824">
        <f t="shared" si="37"/>
        <v>871.73599999999999</v>
      </c>
      <c r="AX824">
        <v>765</v>
      </c>
      <c r="AY824">
        <v>873</v>
      </c>
      <c r="AZ824">
        <v>17.100000000000001</v>
      </c>
      <c r="BC824" t="s">
        <v>108</v>
      </c>
    </row>
    <row r="825" spans="3:55" x14ac:dyDescent="0.45">
      <c r="C825">
        <v>86.629000000000005</v>
      </c>
      <c r="D825">
        <v>6.75</v>
      </c>
      <c r="E825">
        <v>0</v>
      </c>
      <c r="F825">
        <v>0</v>
      </c>
      <c r="G825">
        <v>0</v>
      </c>
      <c r="H825">
        <v>0</v>
      </c>
      <c r="I825">
        <v>0</v>
      </c>
      <c r="J825">
        <v>2.11</v>
      </c>
      <c r="K825">
        <v>3.1</v>
      </c>
      <c r="L825">
        <v>1.04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1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>
        <v>930</v>
      </c>
      <c r="AI825">
        <v>1</v>
      </c>
      <c r="AJ825">
        <v>0</v>
      </c>
      <c r="AK825">
        <v>1</v>
      </c>
      <c r="AL825">
        <v>0</v>
      </c>
      <c r="AM825">
        <v>0</v>
      </c>
      <c r="AN825">
        <v>0</v>
      </c>
      <c r="AO825">
        <v>0</v>
      </c>
      <c r="AP825">
        <v>0</v>
      </c>
      <c r="AQ825">
        <v>0</v>
      </c>
      <c r="AR825">
        <v>0</v>
      </c>
      <c r="AS825">
        <v>0</v>
      </c>
      <c r="AT825">
        <f t="shared" si="38"/>
        <v>-4.8419999999999996</v>
      </c>
      <c r="AU825">
        <f t="shared" si="36"/>
        <v>7.1016666666666666</v>
      </c>
      <c r="AV825">
        <f t="shared" si="37"/>
        <v>871.73599999999999</v>
      </c>
      <c r="AX825">
        <v>770</v>
      </c>
      <c r="AY825">
        <v>875</v>
      </c>
      <c r="AZ825">
        <v>14.5</v>
      </c>
      <c r="BC825" t="s">
        <v>108</v>
      </c>
    </row>
    <row r="826" spans="3:55" x14ac:dyDescent="0.45">
      <c r="C826">
        <v>86.629000000000005</v>
      </c>
      <c r="D826">
        <v>6.75</v>
      </c>
      <c r="E826">
        <v>0</v>
      </c>
      <c r="F826">
        <v>0</v>
      </c>
      <c r="G826">
        <v>0</v>
      </c>
      <c r="H826">
        <v>0</v>
      </c>
      <c r="I826">
        <v>0</v>
      </c>
      <c r="J826">
        <v>2.11</v>
      </c>
      <c r="K826">
        <v>3.1</v>
      </c>
      <c r="L826">
        <v>1.04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1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>
        <v>950</v>
      </c>
      <c r="AI826">
        <v>1</v>
      </c>
      <c r="AJ826">
        <v>0</v>
      </c>
      <c r="AK826">
        <v>1</v>
      </c>
      <c r="AL826">
        <v>0</v>
      </c>
      <c r="AM826">
        <v>0</v>
      </c>
      <c r="AN826">
        <v>0</v>
      </c>
      <c r="AO826">
        <v>0</v>
      </c>
      <c r="AP826">
        <v>0</v>
      </c>
      <c r="AQ826">
        <v>0</v>
      </c>
      <c r="AR826">
        <v>0</v>
      </c>
      <c r="AS826">
        <v>0</v>
      </c>
      <c r="AT826">
        <f t="shared" si="38"/>
        <v>-4.8419999999999996</v>
      </c>
      <c r="AU826">
        <f t="shared" si="36"/>
        <v>7.1016666666666666</v>
      </c>
      <c r="AV826">
        <f t="shared" si="37"/>
        <v>871.73599999999999</v>
      </c>
      <c r="AX826">
        <v>774</v>
      </c>
      <c r="AY826">
        <v>874</v>
      </c>
      <c r="AZ826">
        <v>15.8</v>
      </c>
      <c r="BC826" t="s">
        <v>108</v>
      </c>
    </row>
    <row r="827" spans="3:55" x14ac:dyDescent="0.45">
      <c r="C827">
        <v>86.629000000000005</v>
      </c>
      <c r="D827">
        <v>6.75</v>
      </c>
      <c r="E827">
        <v>0</v>
      </c>
      <c r="F827">
        <v>0</v>
      </c>
      <c r="G827">
        <v>0</v>
      </c>
      <c r="H827">
        <v>0</v>
      </c>
      <c r="I827">
        <v>0</v>
      </c>
      <c r="J827">
        <v>2.11</v>
      </c>
      <c r="K827">
        <v>3.1</v>
      </c>
      <c r="L827">
        <v>1.04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1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>
        <v>930</v>
      </c>
      <c r="AI827">
        <v>1</v>
      </c>
      <c r="AJ827">
        <v>1</v>
      </c>
      <c r="AK827">
        <v>0</v>
      </c>
      <c r="AL827">
        <v>0</v>
      </c>
      <c r="AM827">
        <v>0</v>
      </c>
      <c r="AN827">
        <v>0</v>
      </c>
      <c r="AO827">
        <v>0</v>
      </c>
      <c r="AP827">
        <v>0</v>
      </c>
      <c r="AQ827">
        <v>0</v>
      </c>
      <c r="AR827">
        <v>0</v>
      </c>
      <c r="AS827">
        <v>0</v>
      </c>
      <c r="AT827">
        <f t="shared" si="38"/>
        <v>-4.8419999999999996</v>
      </c>
      <c r="AU827">
        <f t="shared" si="36"/>
        <v>7.1016666666666666</v>
      </c>
      <c r="AV827">
        <f t="shared" si="37"/>
        <v>871.73599999999999</v>
      </c>
      <c r="AX827">
        <v>850</v>
      </c>
      <c r="AY827">
        <v>990</v>
      </c>
      <c r="AZ827">
        <v>13.4</v>
      </c>
      <c r="BC827" t="s">
        <v>108</v>
      </c>
    </row>
    <row r="828" spans="3:55" x14ac:dyDescent="0.45">
      <c r="C828">
        <v>86.629000000000005</v>
      </c>
      <c r="D828">
        <v>6.75</v>
      </c>
      <c r="E828">
        <v>0</v>
      </c>
      <c r="F828">
        <v>0</v>
      </c>
      <c r="G828">
        <v>0</v>
      </c>
      <c r="H828">
        <v>0</v>
      </c>
      <c r="I828">
        <v>0</v>
      </c>
      <c r="J828">
        <v>2.11</v>
      </c>
      <c r="K828">
        <v>3.1</v>
      </c>
      <c r="L828">
        <v>1.04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1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>
        <v>950</v>
      </c>
      <c r="AI828">
        <v>1</v>
      </c>
      <c r="AJ828">
        <v>1</v>
      </c>
      <c r="AK828">
        <v>0</v>
      </c>
      <c r="AL828">
        <v>0</v>
      </c>
      <c r="AM828">
        <v>0</v>
      </c>
      <c r="AN828">
        <v>0</v>
      </c>
      <c r="AO828">
        <v>0</v>
      </c>
      <c r="AP828">
        <v>0</v>
      </c>
      <c r="AQ828">
        <v>0</v>
      </c>
      <c r="AR828">
        <v>0</v>
      </c>
      <c r="AS828">
        <v>0</v>
      </c>
      <c r="AT828">
        <f t="shared" si="38"/>
        <v>-4.8419999999999996</v>
      </c>
      <c r="AU828">
        <f t="shared" si="36"/>
        <v>7.1016666666666666</v>
      </c>
      <c r="AV828">
        <f t="shared" si="37"/>
        <v>871.73599999999999</v>
      </c>
      <c r="AX828">
        <v>883</v>
      </c>
      <c r="AY828">
        <v>1031</v>
      </c>
      <c r="AZ828">
        <v>12.6</v>
      </c>
      <c r="BC828" t="s">
        <v>108</v>
      </c>
    </row>
    <row r="829" spans="3:55" x14ac:dyDescent="0.45">
      <c r="C829">
        <v>86.629000000000005</v>
      </c>
      <c r="D829">
        <v>6.75</v>
      </c>
      <c r="E829">
        <v>0</v>
      </c>
      <c r="F829">
        <v>0</v>
      </c>
      <c r="G829">
        <v>0</v>
      </c>
      <c r="H829">
        <v>0</v>
      </c>
      <c r="I829">
        <v>0</v>
      </c>
      <c r="J829">
        <v>2.11</v>
      </c>
      <c r="K829">
        <v>3.1</v>
      </c>
      <c r="L829">
        <v>1.04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1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>
        <v>965</v>
      </c>
      <c r="AI829">
        <v>1</v>
      </c>
      <c r="AJ829">
        <v>1</v>
      </c>
      <c r="AK829">
        <v>0</v>
      </c>
      <c r="AL829">
        <v>0</v>
      </c>
      <c r="AM829">
        <v>0</v>
      </c>
      <c r="AN829">
        <v>0</v>
      </c>
      <c r="AO829">
        <v>0</v>
      </c>
      <c r="AP829">
        <v>0</v>
      </c>
      <c r="AQ829">
        <v>0</v>
      </c>
      <c r="AR829">
        <v>0</v>
      </c>
      <c r="AS829">
        <v>0</v>
      </c>
      <c r="AT829">
        <f t="shared" si="38"/>
        <v>-4.8419999999999996</v>
      </c>
      <c r="AU829">
        <f t="shared" si="36"/>
        <v>7.1016666666666666</v>
      </c>
      <c r="AV829">
        <f t="shared" si="37"/>
        <v>871.73599999999999</v>
      </c>
      <c r="AX829">
        <v>891</v>
      </c>
      <c r="AY829">
        <v>1037</v>
      </c>
      <c r="AZ829">
        <v>12.7</v>
      </c>
      <c r="BC829" t="s">
        <v>108</v>
      </c>
    </row>
    <row r="830" spans="3:55" x14ac:dyDescent="0.45">
      <c r="C830">
        <v>86.629000000000005</v>
      </c>
      <c r="D830">
        <v>6.75</v>
      </c>
      <c r="E830">
        <v>0</v>
      </c>
      <c r="F830">
        <v>0</v>
      </c>
      <c r="G830">
        <v>0</v>
      </c>
      <c r="H830">
        <v>0</v>
      </c>
      <c r="I830">
        <v>0</v>
      </c>
      <c r="J830">
        <v>2.11</v>
      </c>
      <c r="K830">
        <v>3.1</v>
      </c>
      <c r="L830">
        <v>1.04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1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>
        <v>900</v>
      </c>
      <c r="AI830">
        <v>1</v>
      </c>
      <c r="AJ830">
        <v>0</v>
      </c>
      <c r="AK830">
        <v>1</v>
      </c>
      <c r="AL830">
        <v>0</v>
      </c>
      <c r="AM830">
        <v>0</v>
      </c>
      <c r="AN830">
        <v>0</v>
      </c>
      <c r="AO830">
        <v>0</v>
      </c>
      <c r="AP830">
        <v>0</v>
      </c>
      <c r="AQ830">
        <v>0</v>
      </c>
      <c r="AR830">
        <v>0</v>
      </c>
      <c r="AS830">
        <v>0</v>
      </c>
      <c r="AT830">
        <f t="shared" si="38"/>
        <v>-4.8419999999999996</v>
      </c>
      <c r="AU830">
        <f t="shared" si="36"/>
        <v>7.1016666666666666</v>
      </c>
      <c r="AV830">
        <f t="shared" si="37"/>
        <v>871.73599999999999</v>
      </c>
      <c r="AX830">
        <v>783</v>
      </c>
      <c r="AY830">
        <v>894</v>
      </c>
      <c r="AZ830">
        <v>17.5</v>
      </c>
      <c r="BC830" t="s">
        <v>108</v>
      </c>
    </row>
    <row r="831" spans="3:55" x14ac:dyDescent="0.45">
      <c r="C831">
        <v>86.629000000000005</v>
      </c>
      <c r="D831">
        <v>6.75</v>
      </c>
      <c r="E831">
        <v>0</v>
      </c>
      <c r="F831">
        <v>0</v>
      </c>
      <c r="G831">
        <v>0</v>
      </c>
      <c r="H831">
        <v>0</v>
      </c>
      <c r="I831">
        <v>0</v>
      </c>
      <c r="J831">
        <v>2.11</v>
      </c>
      <c r="K831">
        <v>3.1</v>
      </c>
      <c r="L831">
        <v>1.04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1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>
        <v>930</v>
      </c>
      <c r="AI831">
        <v>1</v>
      </c>
      <c r="AJ831">
        <v>0</v>
      </c>
      <c r="AK831">
        <v>1</v>
      </c>
      <c r="AL831">
        <v>0</v>
      </c>
      <c r="AM831">
        <v>0</v>
      </c>
      <c r="AN831">
        <v>0</v>
      </c>
      <c r="AO831">
        <v>0</v>
      </c>
      <c r="AP831">
        <v>0</v>
      </c>
      <c r="AQ831">
        <v>0</v>
      </c>
      <c r="AR831">
        <v>0</v>
      </c>
      <c r="AS831">
        <v>0</v>
      </c>
      <c r="AT831">
        <f t="shared" si="38"/>
        <v>-4.8419999999999996</v>
      </c>
      <c r="AU831">
        <f t="shared" si="36"/>
        <v>7.1016666666666666</v>
      </c>
      <c r="AV831">
        <f t="shared" si="37"/>
        <v>871.73599999999999</v>
      </c>
      <c r="AX831">
        <v>743</v>
      </c>
      <c r="AY831">
        <v>864</v>
      </c>
      <c r="AZ831">
        <v>14.8</v>
      </c>
      <c r="BC831" t="s">
        <v>108</v>
      </c>
    </row>
    <row r="832" spans="3:55" x14ac:dyDescent="0.45">
      <c r="C832">
        <v>86.629000000000005</v>
      </c>
      <c r="D832">
        <v>6.75</v>
      </c>
      <c r="E832">
        <v>0</v>
      </c>
      <c r="F832">
        <v>0</v>
      </c>
      <c r="G832">
        <v>0</v>
      </c>
      <c r="H832">
        <v>0</v>
      </c>
      <c r="I832">
        <v>0</v>
      </c>
      <c r="J832">
        <v>2.11</v>
      </c>
      <c r="K832">
        <v>3.1</v>
      </c>
      <c r="L832">
        <v>1.04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1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>
        <v>950</v>
      </c>
      <c r="AI832">
        <v>1</v>
      </c>
      <c r="AJ832">
        <v>0</v>
      </c>
      <c r="AK832">
        <v>1</v>
      </c>
      <c r="AL832">
        <v>0</v>
      </c>
      <c r="AM832">
        <v>0</v>
      </c>
      <c r="AN832">
        <v>0</v>
      </c>
      <c r="AO832">
        <v>0</v>
      </c>
      <c r="AP832">
        <v>0</v>
      </c>
      <c r="AQ832">
        <v>0</v>
      </c>
      <c r="AR832">
        <v>0</v>
      </c>
      <c r="AS832">
        <v>0</v>
      </c>
      <c r="AT832">
        <f t="shared" si="38"/>
        <v>-4.8419999999999996</v>
      </c>
      <c r="AU832">
        <f t="shared" si="36"/>
        <v>7.1016666666666666</v>
      </c>
      <c r="AV832">
        <f t="shared" si="37"/>
        <v>871.73599999999999</v>
      </c>
      <c r="AX832">
        <v>755</v>
      </c>
      <c r="AY832">
        <v>857</v>
      </c>
      <c r="AZ832">
        <v>15.6</v>
      </c>
      <c r="BC832" t="s">
        <v>108</v>
      </c>
    </row>
    <row r="833" spans="3:55" x14ac:dyDescent="0.45">
      <c r="C833">
        <v>86.629000000000005</v>
      </c>
      <c r="D833">
        <v>6.75</v>
      </c>
      <c r="E833">
        <v>0</v>
      </c>
      <c r="F833">
        <v>0</v>
      </c>
      <c r="G833">
        <v>0</v>
      </c>
      <c r="H833">
        <v>0</v>
      </c>
      <c r="I833">
        <v>0</v>
      </c>
      <c r="J833">
        <v>2.11</v>
      </c>
      <c r="K833">
        <v>3.1</v>
      </c>
      <c r="L833">
        <v>1.04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1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>
        <v>965</v>
      </c>
      <c r="AI833">
        <v>1</v>
      </c>
      <c r="AJ833">
        <v>0</v>
      </c>
      <c r="AK833">
        <v>1</v>
      </c>
      <c r="AL833">
        <v>0</v>
      </c>
      <c r="AM833">
        <v>0</v>
      </c>
      <c r="AN833">
        <v>0</v>
      </c>
      <c r="AO833">
        <v>0</v>
      </c>
      <c r="AP833">
        <v>0</v>
      </c>
      <c r="AQ833">
        <v>0</v>
      </c>
      <c r="AR833">
        <v>0</v>
      </c>
      <c r="AS833">
        <v>0</v>
      </c>
      <c r="AT833">
        <f t="shared" si="38"/>
        <v>-4.8419999999999996</v>
      </c>
      <c r="AU833">
        <f t="shared" si="36"/>
        <v>7.1016666666666666</v>
      </c>
      <c r="AV833">
        <f t="shared" si="37"/>
        <v>871.73599999999999</v>
      </c>
      <c r="AX833">
        <v>796</v>
      </c>
      <c r="AY833">
        <v>896</v>
      </c>
      <c r="AZ833">
        <v>15</v>
      </c>
      <c r="BC833" t="s">
        <v>108</v>
      </c>
    </row>
    <row r="834" spans="3:55" x14ac:dyDescent="0.45">
      <c r="C834">
        <v>88</v>
      </c>
      <c r="D834">
        <v>5.7</v>
      </c>
      <c r="E834">
        <v>0</v>
      </c>
      <c r="F834">
        <v>0</v>
      </c>
      <c r="G834">
        <v>0</v>
      </c>
      <c r="H834">
        <v>0</v>
      </c>
      <c r="I834">
        <v>0</v>
      </c>
      <c r="J834">
        <v>1.2</v>
      </c>
      <c r="K834">
        <v>0</v>
      </c>
      <c r="L834">
        <v>3.8</v>
      </c>
      <c r="M834">
        <v>1.3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1</v>
      </c>
      <c r="W834">
        <v>0</v>
      </c>
      <c r="X834">
        <v>0</v>
      </c>
      <c r="Y834">
        <v>0</v>
      </c>
      <c r="Z834">
        <v>1</v>
      </c>
      <c r="AA834">
        <v>0</v>
      </c>
      <c r="AB834">
        <v>0</v>
      </c>
      <c r="AC834">
        <v>940</v>
      </c>
      <c r="AD834">
        <v>1</v>
      </c>
      <c r="AE834">
        <v>1</v>
      </c>
      <c r="AF834">
        <v>0</v>
      </c>
      <c r="AG834">
        <v>0</v>
      </c>
      <c r="AH834">
        <v>700</v>
      </c>
      <c r="AI834">
        <v>1</v>
      </c>
      <c r="AJ834">
        <v>0</v>
      </c>
      <c r="AK834">
        <v>1</v>
      </c>
      <c r="AL834">
        <v>0</v>
      </c>
      <c r="AM834">
        <v>0</v>
      </c>
      <c r="AN834">
        <v>0</v>
      </c>
      <c r="AO834">
        <v>0</v>
      </c>
      <c r="AP834">
        <v>0</v>
      </c>
      <c r="AQ834">
        <v>0</v>
      </c>
      <c r="AR834">
        <v>0</v>
      </c>
      <c r="AS834">
        <v>0</v>
      </c>
      <c r="AT834">
        <f t="shared" si="38"/>
        <v>-1.9000000000000004</v>
      </c>
      <c r="AU834">
        <f t="shared" ref="AU834:AU897" si="39">D834+J834/6+M834/3+(T834+S834)/10</f>
        <v>6.3333333333333339</v>
      </c>
      <c r="AV834">
        <f t="shared" ref="AV834:AV897" si="40">882+2.1*D834-9.5*L834+4.2*M834-6.9*J834-11.8*E834-12.1*F834-15.4*H834+23.3*Q834+123*T834</f>
        <v>855.05000000000007</v>
      </c>
      <c r="AX834">
        <v>970</v>
      </c>
      <c r="AY834">
        <v>1040</v>
      </c>
      <c r="AZ834">
        <v>15</v>
      </c>
      <c r="BC834" t="s">
        <v>191</v>
      </c>
    </row>
    <row r="835" spans="3:55" x14ac:dyDescent="0.45">
      <c r="C835">
        <v>88</v>
      </c>
      <c r="D835">
        <v>5.7</v>
      </c>
      <c r="E835">
        <v>0</v>
      </c>
      <c r="F835">
        <v>0</v>
      </c>
      <c r="G835">
        <v>0</v>
      </c>
      <c r="H835">
        <v>0</v>
      </c>
      <c r="I835">
        <v>0</v>
      </c>
      <c r="J835">
        <v>1.2</v>
      </c>
      <c r="K835">
        <v>0</v>
      </c>
      <c r="L835">
        <v>3.8</v>
      </c>
      <c r="M835">
        <v>1.3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1</v>
      </c>
      <c r="Z835">
        <v>0</v>
      </c>
      <c r="AA835">
        <v>0</v>
      </c>
      <c r="AB835">
        <v>0</v>
      </c>
      <c r="AC835">
        <v>940</v>
      </c>
      <c r="AD835">
        <v>0</v>
      </c>
      <c r="AE835">
        <v>1</v>
      </c>
      <c r="AF835">
        <v>0</v>
      </c>
      <c r="AG835">
        <v>0</v>
      </c>
      <c r="AH835">
        <v>0</v>
      </c>
      <c r="AI835">
        <v>0</v>
      </c>
      <c r="AJ835">
        <v>0</v>
      </c>
      <c r="AK835">
        <v>0</v>
      </c>
      <c r="AL835">
        <v>0</v>
      </c>
      <c r="AM835">
        <v>0</v>
      </c>
      <c r="AN835">
        <v>0</v>
      </c>
      <c r="AO835">
        <v>0</v>
      </c>
      <c r="AP835">
        <v>0</v>
      </c>
      <c r="AQ835">
        <v>0</v>
      </c>
      <c r="AR835">
        <v>0</v>
      </c>
      <c r="AS835">
        <v>0</v>
      </c>
      <c r="AT835">
        <f t="shared" ref="AT835:AT898" si="41">L835+0.67*E835+0.44*P835+0.28*K835+0.22*O835+2.9*H835+1.6*F835+1.7*G835-D835</f>
        <v>-1.9000000000000004</v>
      </c>
      <c r="AU835">
        <f t="shared" si="39"/>
        <v>6.3333333333333339</v>
      </c>
      <c r="AV835">
        <f t="shared" si="40"/>
        <v>855.05000000000007</v>
      </c>
      <c r="AX835">
        <v>1080</v>
      </c>
      <c r="AY835">
        <v>1150</v>
      </c>
      <c r="AZ835">
        <v>10</v>
      </c>
      <c r="BC835" t="s">
        <v>191</v>
      </c>
    </row>
    <row r="836" spans="3:55" x14ac:dyDescent="0.45">
      <c r="C836">
        <v>88</v>
      </c>
      <c r="D836">
        <v>5.7</v>
      </c>
      <c r="E836">
        <v>0</v>
      </c>
      <c r="F836">
        <v>0</v>
      </c>
      <c r="G836">
        <v>0</v>
      </c>
      <c r="H836">
        <v>0</v>
      </c>
      <c r="I836">
        <v>0</v>
      </c>
      <c r="J836">
        <v>1.2</v>
      </c>
      <c r="K836">
        <v>0</v>
      </c>
      <c r="L836">
        <v>3.8</v>
      </c>
      <c r="M836">
        <v>1.3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1</v>
      </c>
      <c r="Z836">
        <v>0</v>
      </c>
      <c r="AA836">
        <v>0</v>
      </c>
      <c r="AB836">
        <v>0</v>
      </c>
      <c r="AC836">
        <v>940</v>
      </c>
      <c r="AD836">
        <v>0</v>
      </c>
      <c r="AE836">
        <v>1</v>
      </c>
      <c r="AF836">
        <v>0</v>
      </c>
      <c r="AG836">
        <v>0</v>
      </c>
      <c r="AH836">
        <v>0</v>
      </c>
      <c r="AI836">
        <v>0</v>
      </c>
      <c r="AJ836">
        <v>0</v>
      </c>
      <c r="AK836">
        <v>0</v>
      </c>
      <c r="AL836">
        <v>0</v>
      </c>
      <c r="AM836">
        <v>0</v>
      </c>
      <c r="AN836">
        <v>0</v>
      </c>
      <c r="AO836">
        <v>0</v>
      </c>
      <c r="AP836">
        <v>0</v>
      </c>
      <c r="AQ836">
        <v>0</v>
      </c>
      <c r="AR836">
        <v>0</v>
      </c>
      <c r="AS836">
        <v>0</v>
      </c>
      <c r="AT836">
        <f t="shared" si="41"/>
        <v>-1.9000000000000004</v>
      </c>
      <c r="AU836">
        <f t="shared" si="39"/>
        <v>6.3333333333333339</v>
      </c>
      <c r="AV836">
        <f t="shared" si="40"/>
        <v>855.05000000000007</v>
      </c>
      <c r="AX836">
        <v>1150</v>
      </c>
      <c r="AY836">
        <v>1230</v>
      </c>
      <c r="AZ836">
        <v>11</v>
      </c>
      <c r="BC836" t="s">
        <v>191</v>
      </c>
    </row>
    <row r="837" spans="3:55" x14ac:dyDescent="0.45">
      <c r="C837">
        <v>81.3</v>
      </c>
      <c r="D837">
        <v>6.5</v>
      </c>
      <c r="E837">
        <v>0</v>
      </c>
      <c r="F837">
        <v>0</v>
      </c>
      <c r="G837">
        <v>0</v>
      </c>
      <c r="H837">
        <v>0</v>
      </c>
      <c r="I837">
        <v>0</v>
      </c>
      <c r="J837">
        <v>4</v>
      </c>
      <c r="K837">
        <v>0</v>
      </c>
      <c r="L837">
        <v>5</v>
      </c>
      <c r="M837">
        <v>2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1</v>
      </c>
      <c r="Z837">
        <v>0</v>
      </c>
      <c r="AA837">
        <v>0</v>
      </c>
      <c r="AB837">
        <v>0</v>
      </c>
      <c r="AC837">
        <v>958</v>
      </c>
      <c r="AD837">
        <v>2</v>
      </c>
      <c r="AE837">
        <v>0</v>
      </c>
      <c r="AF837">
        <v>1</v>
      </c>
      <c r="AG837">
        <v>0</v>
      </c>
      <c r="AH837">
        <v>550</v>
      </c>
      <c r="AI837">
        <v>6</v>
      </c>
      <c r="AJ837">
        <v>0</v>
      </c>
      <c r="AK837">
        <v>1</v>
      </c>
      <c r="AL837">
        <v>0</v>
      </c>
      <c r="AM837">
        <v>0</v>
      </c>
      <c r="AN837">
        <v>0</v>
      </c>
      <c r="AO837">
        <v>0</v>
      </c>
      <c r="AP837">
        <v>0</v>
      </c>
      <c r="AQ837">
        <v>0</v>
      </c>
      <c r="AR837">
        <v>0</v>
      </c>
      <c r="AS837">
        <v>0</v>
      </c>
      <c r="AT837">
        <f t="shared" si="41"/>
        <v>-1.5</v>
      </c>
      <c r="AU837">
        <f t="shared" si="39"/>
        <v>7.8333333333333339</v>
      </c>
      <c r="AV837">
        <f t="shared" si="40"/>
        <v>828.94999999999993</v>
      </c>
      <c r="AX837">
        <v>1135.5</v>
      </c>
      <c r="AY837">
        <v>1292</v>
      </c>
      <c r="AZ837">
        <v>11</v>
      </c>
      <c r="BC837" t="s">
        <v>108</v>
      </c>
    </row>
    <row r="838" spans="3:55" x14ac:dyDescent="0.45">
      <c r="C838">
        <v>81.3</v>
      </c>
      <c r="D838">
        <v>6.5</v>
      </c>
      <c r="E838">
        <v>0</v>
      </c>
      <c r="F838">
        <v>0</v>
      </c>
      <c r="G838">
        <v>0</v>
      </c>
      <c r="H838">
        <v>0</v>
      </c>
      <c r="I838">
        <v>0</v>
      </c>
      <c r="J838">
        <v>4</v>
      </c>
      <c r="K838">
        <v>0</v>
      </c>
      <c r="L838">
        <v>5</v>
      </c>
      <c r="M838">
        <v>2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1</v>
      </c>
      <c r="Z838">
        <v>0</v>
      </c>
      <c r="AA838">
        <v>0</v>
      </c>
      <c r="AB838">
        <v>0</v>
      </c>
      <c r="AC838">
        <v>958</v>
      </c>
      <c r="AD838">
        <v>2</v>
      </c>
      <c r="AE838">
        <v>0</v>
      </c>
      <c r="AF838">
        <v>1</v>
      </c>
      <c r="AG838">
        <v>0</v>
      </c>
      <c r="AH838">
        <v>520</v>
      </c>
      <c r="AI838">
        <v>6</v>
      </c>
      <c r="AJ838">
        <v>0</v>
      </c>
      <c r="AK838">
        <v>1</v>
      </c>
      <c r="AL838">
        <v>0</v>
      </c>
      <c r="AM838">
        <v>0</v>
      </c>
      <c r="AN838">
        <v>0</v>
      </c>
      <c r="AO838">
        <v>0</v>
      </c>
      <c r="AP838">
        <v>0</v>
      </c>
      <c r="AQ838">
        <v>0</v>
      </c>
      <c r="AR838">
        <v>0</v>
      </c>
      <c r="AS838">
        <v>0</v>
      </c>
      <c r="AT838">
        <f t="shared" si="41"/>
        <v>-1.5</v>
      </c>
      <c r="AU838">
        <f t="shared" si="39"/>
        <v>7.8333333333333339</v>
      </c>
      <c r="AV838">
        <f t="shared" si="40"/>
        <v>828.94999999999993</v>
      </c>
      <c r="AX838">
        <v>1099</v>
      </c>
      <c r="AY838">
        <v>1261.5</v>
      </c>
      <c r="AZ838">
        <v>14</v>
      </c>
      <c r="BC838" t="s">
        <v>108</v>
      </c>
    </row>
    <row r="839" spans="3:55" x14ac:dyDescent="0.45">
      <c r="C839">
        <v>81.3</v>
      </c>
      <c r="D839">
        <v>6.5</v>
      </c>
      <c r="E839">
        <v>0</v>
      </c>
      <c r="F839">
        <v>0</v>
      </c>
      <c r="G839">
        <v>0</v>
      </c>
      <c r="H839">
        <v>0</v>
      </c>
      <c r="I839">
        <v>0</v>
      </c>
      <c r="J839">
        <v>4</v>
      </c>
      <c r="K839">
        <v>0</v>
      </c>
      <c r="L839">
        <v>5</v>
      </c>
      <c r="M839">
        <v>2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1</v>
      </c>
      <c r="Z839">
        <v>0</v>
      </c>
      <c r="AA839">
        <v>0</v>
      </c>
      <c r="AB839">
        <v>0</v>
      </c>
      <c r="AC839">
        <v>958</v>
      </c>
      <c r="AD839">
        <v>2</v>
      </c>
      <c r="AE839">
        <v>0</v>
      </c>
      <c r="AF839">
        <v>1</v>
      </c>
      <c r="AG839">
        <v>0</v>
      </c>
      <c r="AH839">
        <v>540</v>
      </c>
      <c r="AI839">
        <v>6</v>
      </c>
      <c r="AJ839">
        <v>0</v>
      </c>
      <c r="AK839">
        <v>1</v>
      </c>
      <c r="AL839">
        <v>0</v>
      </c>
      <c r="AM839">
        <v>0</v>
      </c>
      <c r="AN839">
        <v>0</v>
      </c>
      <c r="AO839">
        <v>0</v>
      </c>
      <c r="AP839">
        <v>0</v>
      </c>
      <c r="AQ839">
        <v>0</v>
      </c>
      <c r="AR839">
        <v>0</v>
      </c>
      <c r="AS839">
        <v>0</v>
      </c>
      <c r="AT839">
        <f t="shared" si="41"/>
        <v>-1.5</v>
      </c>
      <c r="AU839">
        <f t="shared" si="39"/>
        <v>7.8333333333333339</v>
      </c>
      <c r="AV839">
        <f t="shared" si="40"/>
        <v>828.94999999999993</v>
      </c>
      <c r="AX839">
        <v>1171.5</v>
      </c>
      <c r="AY839">
        <v>1279</v>
      </c>
      <c r="AZ839">
        <v>13</v>
      </c>
      <c r="BC839" t="s">
        <v>108</v>
      </c>
    </row>
    <row r="840" spans="3:55" x14ac:dyDescent="0.45">
      <c r="C840">
        <v>81.3</v>
      </c>
      <c r="D840">
        <v>6.5</v>
      </c>
      <c r="E840">
        <v>0</v>
      </c>
      <c r="F840">
        <v>0</v>
      </c>
      <c r="G840">
        <v>0</v>
      </c>
      <c r="H840">
        <v>0</v>
      </c>
      <c r="I840">
        <v>0</v>
      </c>
      <c r="J840">
        <v>4</v>
      </c>
      <c r="K840">
        <v>0</v>
      </c>
      <c r="L840">
        <v>5</v>
      </c>
      <c r="M840">
        <v>2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1</v>
      </c>
      <c r="Z840">
        <v>0</v>
      </c>
      <c r="AA840">
        <v>0</v>
      </c>
      <c r="AB840">
        <v>0</v>
      </c>
      <c r="AC840">
        <v>958</v>
      </c>
      <c r="AD840">
        <v>2</v>
      </c>
      <c r="AE840">
        <v>0</v>
      </c>
      <c r="AF840">
        <v>1</v>
      </c>
      <c r="AG840">
        <v>0</v>
      </c>
      <c r="AH840">
        <v>560</v>
      </c>
      <c r="AI840">
        <v>6</v>
      </c>
      <c r="AJ840">
        <v>0</v>
      </c>
      <c r="AK840">
        <v>1</v>
      </c>
      <c r="AL840">
        <v>0</v>
      </c>
      <c r="AM840">
        <v>0</v>
      </c>
      <c r="AN840">
        <v>0</v>
      </c>
      <c r="AO840">
        <v>0</v>
      </c>
      <c r="AP840">
        <v>0</v>
      </c>
      <c r="AQ840">
        <v>0</v>
      </c>
      <c r="AR840">
        <v>0</v>
      </c>
      <c r="AS840">
        <v>0</v>
      </c>
      <c r="AT840">
        <f t="shared" si="41"/>
        <v>-1.5</v>
      </c>
      <c r="AU840">
        <f t="shared" si="39"/>
        <v>7.8333333333333339</v>
      </c>
      <c r="AV840">
        <f t="shared" si="40"/>
        <v>828.94999999999993</v>
      </c>
      <c r="AX840">
        <v>1130</v>
      </c>
      <c r="AY840">
        <v>1276.5</v>
      </c>
      <c r="AZ840">
        <v>15.3</v>
      </c>
      <c r="BC840" t="s">
        <v>108</v>
      </c>
    </row>
    <row r="841" spans="3:55" x14ac:dyDescent="0.45">
      <c r="C841">
        <v>81.3</v>
      </c>
      <c r="D841">
        <v>6.5</v>
      </c>
      <c r="E841">
        <v>0</v>
      </c>
      <c r="F841">
        <v>0</v>
      </c>
      <c r="G841">
        <v>0</v>
      </c>
      <c r="H841">
        <v>0</v>
      </c>
      <c r="I841">
        <v>0</v>
      </c>
      <c r="J841">
        <v>4</v>
      </c>
      <c r="K841">
        <v>0</v>
      </c>
      <c r="L841">
        <v>5</v>
      </c>
      <c r="M841">
        <v>2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1</v>
      </c>
      <c r="Z841">
        <v>0</v>
      </c>
      <c r="AA841">
        <v>0</v>
      </c>
      <c r="AB841">
        <v>0</v>
      </c>
      <c r="AC841">
        <v>958</v>
      </c>
      <c r="AD841">
        <v>2</v>
      </c>
      <c r="AE841">
        <v>0</v>
      </c>
      <c r="AF841">
        <v>1</v>
      </c>
      <c r="AG841">
        <v>0</v>
      </c>
      <c r="AH841">
        <v>580</v>
      </c>
      <c r="AI841">
        <v>6</v>
      </c>
      <c r="AJ841">
        <v>0</v>
      </c>
      <c r="AK841">
        <v>1</v>
      </c>
      <c r="AL841">
        <v>0</v>
      </c>
      <c r="AM841">
        <v>0</v>
      </c>
      <c r="AN841">
        <v>0</v>
      </c>
      <c r="AO841">
        <v>0</v>
      </c>
      <c r="AP841">
        <v>0</v>
      </c>
      <c r="AQ841">
        <v>0</v>
      </c>
      <c r="AR841">
        <v>0</v>
      </c>
      <c r="AS841">
        <v>0</v>
      </c>
      <c r="AT841">
        <f t="shared" si="41"/>
        <v>-1.5</v>
      </c>
      <c r="AU841">
        <f t="shared" si="39"/>
        <v>7.8333333333333339</v>
      </c>
      <c r="AV841">
        <f t="shared" si="40"/>
        <v>828.94999999999993</v>
      </c>
      <c r="AX841">
        <v>1124</v>
      </c>
      <c r="AY841">
        <v>1268</v>
      </c>
      <c r="AZ841">
        <v>14</v>
      </c>
      <c r="BC841" t="s">
        <v>108</v>
      </c>
    </row>
    <row r="842" spans="3:55" x14ac:dyDescent="0.45">
      <c r="C842">
        <v>81.3</v>
      </c>
      <c r="D842">
        <v>6.5</v>
      </c>
      <c r="E842">
        <v>0</v>
      </c>
      <c r="F842">
        <v>0</v>
      </c>
      <c r="G842">
        <v>0</v>
      </c>
      <c r="H842">
        <v>0</v>
      </c>
      <c r="I842">
        <v>0</v>
      </c>
      <c r="J842">
        <v>4</v>
      </c>
      <c r="K842">
        <v>0</v>
      </c>
      <c r="L842">
        <v>5</v>
      </c>
      <c r="M842">
        <v>2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1</v>
      </c>
      <c r="Z842">
        <v>0</v>
      </c>
      <c r="AA842">
        <v>0</v>
      </c>
      <c r="AB842">
        <v>0</v>
      </c>
      <c r="AC842">
        <v>958</v>
      </c>
      <c r="AD842">
        <v>2</v>
      </c>
      <c r="AE842">
        <v>0</v>
      </c>
      <c r="AF842">
        <v>1</v>
      </c>
      <c r="AG842">
        <v>0</v>
      </c>
      <c r="AH842">
        <v>600</v>
      </c>
      <c r="AI842">
        <v>6</v>
      </c>
      <c r="AJ842">
        <v>0</v>
      </c>
      <c r="AK842">
        <v>1</v>
      </c>
      <c r="AL842">
        <v>0</v>
      </c>
      <c r="AM842">
        <v>0</v>
      </c>
      <c r="AN842">
        <v>0</v>
      </c>
      <c r="AO842">
        <v>0</v>
      </c>
      <c r="AP842">
        <v>0</v>
      </c>
      <c r="AQ842">
        <v>0</v>
      </c>
      <c r="AR842">
        <v>0</v>
      </c>
      <c r="AS842">
        <v>0</v>
      </c>
      <c r="AT842">
        <f t="shared" si="41"/>
        <v>-1.5</v>
      </c>
      <c r="AU842">
        <f t="shared" si="39"/>
        <v>7.8333333333333339</v>
      </c>
      <c r="AV842">
        <f t="shared" si="40"/>
        <v>828.94999999999993</v>
      </c>
      <c r="AX842">
        <v>1129.5</v>
      </c>
      <c r="AY842">
        <v>1293</v>
      </c>
      <c r="AZ842">
        <v>13.5</v>
      </c>
      <c r="BC842" t="s">
        <v>108</v>
      </c>
    </row>
    <row r="843" spans="3:55" x14ac:dyDescent="0.45">
      <c r="C843">
        <v>83.52</v>
      </c>
      <c r="D843">
        <v>6.44</v>
      </c>
      <c r="E843">
        <v>0</v>
      </c>
      <c r="F843">
        <v>0</v>
      </c>
      <c r="G843">
        <v>0</v>
      </c>
      <c r="H843">
        <v>0</v>
      </c>
      <c r="I843">
        <v>0</v>
      </c>
      <c r="J843">
        <v>3.62</v>
      </c>
      <c r="K843">
        <v>0</v>
      </c>
      <c r="L843">
        <v>3.94</v>
      </c>
      <c r="M843">
        <v>1.68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1</v>
      </c>
      <c r="W843">
        <v>880</v>
      </c>
      <c r="X843">
        <v>60</v>
      </c>
      <c r="Y843">
        <v>0</v>
      </c>
      <c r="Z843">
        <v>1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0</v>
      </c>
      <c r="AH843">
        <v>0</v>
      </c>
      <c r="AI843">
        <v>0</v>
      </c>
      <c r="AJ843">
        <v>0</v>
      </c>
      <c r="AK843">
        <v>0</v>
      </c>
      <c r="AL843">
        <v>0</v>
      </c>
      <c r="AM843">
        <v>0</v>
      </c>
      <c r="AN843">
        <v>0</v>
      </c>
      <c r="AO843">
        <v>0</v>
      </c>
      <c r="AP843">
        <v>0</v>
      </c>
      <c r="AQ843">
        <v>0</v>
      </c>
      <c r="AR843">
        <v>0</v>
      </c>
      <c r="AS843">
        <v>0</v>
      </c>
      <c r="AT843">
        <f t="shared" si="41"/>
        <v>-2.5000000000000004</v>
      </c>
      <c r="AU843">
        <f t="shared" si="39"/>
        <v>7.6033333333333335</v>
      </c>
      <c r="AV843">
        <f t="shared" si="40"/>
        <v>840.17200000000014</v>
      </c>
      <c r="AX843">
        <v>1131.8599999999999</v>
      </c>
      <c r="AY843">
        <v>1217.71</v>
      </c>
      <c r="AZ843">
        <v>10.6775</v>
      </c>
      <c r="BC843" t="s">
        <v>108</v>
      </c>
    </row>
    <row r="844" spans="3:55" x14ac:dyDescent="0.45">
      <c r="C844">
        <v>83.52</v>
      </c>
      <c r="D844">
        <v>6.44</v>
      </c>
      <c r="E844">
        <v>0</v>
      </c>
      <c r="F844">
        <v>0</v>
      </c>
      <c r="G844">
        <v>0</v>
      </c>
      <c r="H844">
        <v>0</v>
      </c>
      <c r="I844">
        <v>0</v>
      </c>
      <c r="J844">
        <v>3.62</v>
      </c>
      <c r="K844">
        <v>0</v>
      </c>
      <c r="L844">
        <v>3.94</v>
      </c>
      <c r="M844">
        <v>1.68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1</v>
      </c>
      <c r="W844">
        <v>910</v>
      </c>
      <c r="X844">
        <v>60</v>
      </c>
      <c r="Y844">
        <v>0</v>
      </c>
      <c r="Z844">
        <v>1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0</v>
      </c>
      <c r="AH844">
        <v>0</v>
      </c>
      <c r="AI844">
        <v>0</v>
      </c>
      <c r="AJ844">
        <v>0</v>
      </c>
      <c r="AK844">
        <v>0</v>
      </c>
      <c r="AL844">
        <v>0</v>
      </c>
      <c r="AM844">
        <v>0</v>
      </c>
      <c r="AN844">
        <v>0</v>
      </c>
      <c r="AO844">
        <v>0</v>
      </c>
      <c r="AP844">
        <v>0</v>
      </c>
      <c r="AQ844">
        <v>0</v>
      </c>
      <c r="AR844">
        <v>0</v>
      </c>
      <c r="AS844">
        <v>0</v>
      </c>
      <c r="AT844">
        <f t="shared" si="41"/>
        <v>-2.5000000000000004</v>
      </c>
      <c r="AU844">
        <f t="shared" si="39"/>
        <v>7.6033333333333335</v>
      </c>
      <c r="AV844">
        <f t="shared" si="40"/>
        <v>840.17200000000014</v>
      </c>
      <c r="AX844">
        <v>1030.3599999999999</v>
      </c>
      <c r="AY844">
        <v>1086.32</v>
      </c>
      <c r="AZ844">
        <v>14.1265</v>
      </c>
      <c r="BC844" t="s">
        <v>108</v>
      </c>
    </row>
    <row r="845" spans="3:55" x14ac:dyDescent="0.45">
      <c r="C845">
        <v>83.52</v>
      </c>
      <c r="D845">
        <v>6.44</v>
      </c>
      <c r="E845">
        <v>0</v>
      </c>
      <c r="F845">
        <v>0</v>
      </c>
      <c r="G845">
        <v>0</v>
      </c>
      <c r="H845">
        <v>0</v>
      </c>
      <c r="I845">
        <v>0</v>
      </c>
      <c r="J845">
        <v>3.62</v>
      </c>
      <c r="K845">
        <v>0</v>
      </c>
      <c r="L845">
        <v>3.94</v>
      </c>
      <c r="M845">
        <v>1.68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1</v>
      </c>
      <c r="W845">
        <v>940</v>
      </c>
      <c r="X845">
        <v>60</v>
      </c>
      <c r="Y845">
        <v>0</v>
      </c>
      <c r="Z845">
        <v>1</v>
      </c>
      <c r="AA845">
        <v>0</v>
      </c>
      <c r="AB845">
        <v>0</v>
      </c>
      <c r="AC845">
        <v>900</v>
      </c>
      <c r="AD845">
        <v>1</v>
      </c>
      <c r="AE845">
        <v>0</v>
      </c>
      <c r="AF845">
        <v>1</v>
      </c>
      <c r="AG845">
        <v>0</v>
      </c>
      <c r="AH845">
        <v>0</v>
      </c>
      <c r="AI845">
        <v>0</v>
      </c>
      <c r="AJ845">
        <v>0</v>
      </c>
      <c r="AK845">
        <v>0</v>
      </c>
      <c r="AL845">
        <v>0</v>
      </c>
      <c r="AM845">
        <v>0</v>
      </c>
      <c r="AN845">
        <v>0</v>
      </c>
      <c r="AO845">
        <v>0</v>
      </c>
      <c r="AP845">
        <v>0</v>
      </c>
      <c r="AQ845">
        <v>0</v>
      </c>
      <c r="AR845">
        <v>0</v>
      </c>
      <c r="AS845">
        <v>0</v>
      </c>
      <c r="AT845">
        <f t="shared" si="41"/>
        <v>-2.5000000000000004</v>
      </c>
      <c r="AU845">
        <f t="shared" si="39"/>
        <v>7.6033333333333335</v>
      </c>
      <c r="AV845">
        <f t="shared" si="40"/>
        <v>840.17200000000014</v>
      </c>
      <c r="AX845">
        <v>1123.5</v>
      </c>
      <c r="AY845">
        <v>1192</v>
      </c>
      <c r="AZ845">
        <v>12</v>
      </c>
      <c r="BC845" t="s">
        <v>108</v>
      </c>
    </row>
    <row r="846" spans="3:55" x14ac:dyDescent="0.45">
      <c r="C846">
        <v>83.52</v>
      </c>
      <c r="D846">
        <v>6.44</v>
      </c>
      <c r="E846">
        <v>0</v>
      </c>
      <c r="F846">
        <v>0</v>
      </c>
      <c r="G846">
        <v>0</v>
      </c>
      <c r="H846">
        <v>0</v>
      </c>
      <c r="I846">
        <v>0</v>
      </c>
      <c r="J846">
        <v>3.62</v>
      </c>
      <c r="K846">
        <v>0</v>
      </c>
      <c r="L846">
        <v>3.94</v>
      </c>
      <c r="M846">
        <v>1.68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1</v>
      </c>
      <c r="W846">
        <v>940</v>
      </c>
      <c r="X846">
        <v>60</v>
      </c>
      <c r="Y846">
        <v>0</v>
      </c>
      <c r="Z846">
        <v>1</v>
      </c>
      <c r="AA846">
        <v>0</v>
      </c>
      <c r="AB846">
        <v>0</v>
      </c>
      <c r="AC846">
        <v>930</v>
      </c>
      <c r="AD846">
        <v>1</v>
      </c>
      <c r="AE846">
        <v>1</v>
      </c>
      <c r="AF846">
        <v>0</v>
      </c>
      <c r="AG846">
        <v>0</v>
      </c>
      <c r="AH846">
        <v>0</v>
      </c>
      <c r="AI846">
        <v>0</v>
      </c>
      <c r="AJ846">
        <v>0</v>
      </c>
      <c r="AK846">
        <v>0</v>
      </c>
      <c r="AL846">
        <v>0</v>
      </c>
      <c r="AM846">
        <v>0</v>
      </c>
      <c r="AN846">
        <v>0</v>
      </c>
      <c r="AO846">
        <v>0</v>
      </c>
      <c r="AP846">
        <v>0</v>
      </c>
      <c r="AQ846">
        <v>0</v>
      </c>
      <c r="AR846">
        <v>0</v>
      </c>
      <c r="AS846">
        <v>0</v>
      </c>
      <c r="AT846">
        <f t="shared" si="41"/>
        <v>-2.5000000000000004</v>
      </c>
      <c r="AU846">
        <f t="shared" si="39"/>
        <v>7.6033333333333335</v>
      </c>
      <c r="AV846">
        <f t="shared" si="40"/>
        <v>840.17200000000014</v>
      </c>
      <c r="AX846">
        <v>1472.5</v>
      </c>
      <c r="AY846">
        <v>1580.5</v>
      </c>
      <c r="AZ846">
        <v>4.75</v>
      </c>
      <c r="BC846" t="s">
        <v>108</v>
      </c>
    </row>
    <row r="847" spans="3:55" x14ac:dyDescent="0.45">
      <c r="C847">
        <v>83.52</v>
      </c>
      <c r="D847">
        <v>6.44</v>
      </c>
      <c r="E847">
        <v>0</v>
      </c>
      <c r="F847">
        <v>0</v>
      </c>
      <c r="G847">
        <v>0</v>
      </c>
      <c r="H847">
        <v>0</v>
      </c>
      <c r="I847">
        <v>0</v>
      </c>
      <c r="J847">
        <v>3.62</v>
      </c>
      <c r="K847">
        <v>0</v>
      </c>
      <c r="L847">
        <v>3.94</v>
      </c>
      <c r="M847">
        <v>1.68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1</v>
      </c>
      <c r="W847">
        <v>940</v>
      </c>
      <c r="X847">
        <v>60</v>
      </c>
      <c r="Y847">
        <v>0</v>
      </c>
      <c r="Z847">
        <v>1</v>
      </c>
      <c r="AA847">
        <v>0</v>
      </c>
      <c r="AB847">
        <v>0</v>
      </c>
      <c r="AC847">
        <v>950</v>
      </c>
      <c r="AD847">
        <v>1</v>
      </c>
      <c r="AE847">
        <v>0</v>
      </c>
      <c r="AF847">
        <v>1</v>
      </c>
      <c r="AG847">
        <v>0</v>
      </c>
      <c r="AH847">
        <v>0</v>
      </c>
      <c r="AI847">
        <v>0</v>
      </c>
      <c r="AJ847">
        <v>0</v>
      </c>
      <c r="AK847">
        <v>0</v>
      </c>
      <c r="AL847">
        <v>0</v>
      </c>
      <c r="AM847">
        <v>0</v>
      </c>
      <c r="AN847">
        <v>0</v>
      </c>
      <c r="AO847">
        <v>0</v>
      </c>
      <c r="AP847">
        <v>0</v>
      </c>
      <c r="AQ847">
        <v>0</v>
      </c>
      <c r="AR847">
        <v>0</v>
      </c>
      <c r="AS847">
        <v>0</v>
      </c>
      <c r="AT847">
        <f t="shared" si="41"/>
        <v>-2.5000000000000004</v>
      </c>
      <c r="AU847">
        <f t="shared" si="39"/>
        <v>7.6033333333333335</v>
      </c>
      <c r="AV847">
        <f t="shared" si="40"/>
        <v>840.17200000000014</v>
      </c>
      <c r="AX847">
        <v>1029</v>
      </c>
      <c r="AY847">
        <v>1193.5</v>
      </c>
      <c r="AZ847">
        <v>7</v>
      </c>
      <c r="BC847" t="s">
        <v>108</v>
      </c>
    </row>
    <row r="848" spans="3:55" x14ac:dyDescent="0.45">
      <c r="C848">
        <v>83.52</v>
      </c>
      <c r="D848">
        <v>6.44</v>
      </c>
      <c r="E848">
        <v>0</v>
      </c>
      <c r="F848">
        <v>0</v>
      </c>
      <c r="G848">
        <v>0</v>
      </c>
      <c r="H848">
        <v>0</v>
      </c>
      <c r="I848">
        <v>0</v>
      </c>
      <c r="J848">
        <v>3.62</v>
      </c>
      <c r="K848">
        <v>0</v>
      </c>
      <c r="L848">
        <v>3.94</v>
      </c>
      <c r="M848">
        <v>1.68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1</v>
      </c>
      <c r="W848">
        <v>960</v>
      </c>
      <c r="X848">
        <v>60</v>
      </c>
      <c r="Y848">
        <v>0</v>
      </c>
      <c r="Z848">
        <v>1</v>
      </c>
      <c r="AA848">
        <v>0</v>
      </c>
      <c r="AB848">
        <v>0</v>
      </c>
      <c r="AC848">
        <v>900</v>
      </c>
      <c r="AD848">
        <v>1</v>
      </c>
      <c r="AE848">
        <v>0</v>
      </c>
      <c r="AF848">
        <v>1</v>
      </c>
      <c r="AG848">
        <v>0</v>
      </c>
      <c r="AH848">
        <v>600</v>
      </c>
      <c r="AI848">
        <v>6</v>
      </c>
      <c r="AJ848">
        <v>0</v>
      </c>
      <c r="AK848">
        <v>1</v>
      </c>
      <c r="AL848">
        <v>0</v>
      </c>
      <c r="AM848">
        <v>0</v>
      </c>
      <c r="AN848">
        <v>0</v>
      </c>
      <c r="AO848">
        <v>0</v>
      </c>
      <c r="AP848">
        <v>0</v>
      </c>
      <c r="AQ848">
        <v>0</v>
      </c>
      <c r="AR848">
        <v>0</v>
      </c>
      <c r="AS848">
        <v>0</v>
      </c>
      <c r="AT848">
        <f t="shared" si="41"/>
        <v>-2.5000000000000004</v>
      </c>
      <c r="AU848">
        <f t="shared" si="39"/>
        <v>7.6033333333333335</v>
      </c>
      <c r="AV848">
        <f t="shared" si="40"/>
        <v>840.17200000000014</v>
      </c>
      <c r="AX848">
        <v>1069.25</v>
      </c>
      <c r="AY848">
        <v>1163.1600000000001</v>
      </c>
      <c r="AZ848">
        <v>14.0883</v>
      </c>
      <c r="BC848" t="s">
        <v>108</v>
      </c>
    </row>
    <row r="849" spans="3:55" x14ac:dyDescent="0.45">
      <c r="C849">
        <v>83.52</v>
      </c>
      <c r="D849">
        <v>6.44</v>
      </c>
      <c r="E849">
        <v>0</v>
      </c>
      <c r="F849">
        <v>0</v>
      </c>
      <c r="G849">
        <v>0</v>
      </c>
      <c r="H849">
        <v>0</v>
      </c>
      <c r="I849">
        <v>0</v>
      </c>
      <c r="J849">
        <v>3.62</v>
      </c>
      <c r="K849">
        <v>0</v>
      </c>
      <c r="L849">
        <v>3.94</v>
      </c>
      <c r="M849">
        <v>1.68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1</v>
      </c>
      <c r="W849">
        <v>990</v>
      </c>
      <c r="X849">
        <v>60</v>
      </c>
      <c r="Y849">
        <v>0</v>
      </c>
      <c r="Z849">
        <v>1</v>
      </c>
      <c r="AA849">
        <v>0</v>
      </c>
      <c r="AB849">
        <v>0</v>
      </c>
      <c r="AC849">
        <v>900</v>
      </c>
      <c r="AD849">
        <v>1</v>
      </c>
      <c r="AE849">
        <v>0</v>
      </c>
      <c r="AF849">
        <v>1</v>
      </c>
      <c r="AG849">
        <v>0</v>
      </c>
      <c r="AH849">
        <v>600</v>
      </c>
      <c r="AI849">
        <v>6</v>
      </c>
      <c r="AJ849">
        <v>0</v>
      </c>
      <c r="AK849">
        <v>1</v>
      </c>
      <c r="AL849">
        <v>0</v>
      </c>
      <c r="AM849">
        <v>0</v>
      </c>
      <c r="AN849">
        <v>0</v>
      </c>
      <c r="AO849">
        <v>0</v>
      </c>
      <c r="AP849">
        <v>0</v>
      </c>
      <c r="AQ849">
        <v>0</v>
      </c>
      <c r="AR849">
        <v>0</v>
      </c>
      <c r="AS849">
        <v>0</v>
      </c>
      <c r="AT849">
        <f t="shared" si="41"/>
        <v>-2.5000000000000004</v>
      </c>
      <c r="AU849">
        <f t="shared" si="39"/>
        <v>7.6033333333333335</v>
      </c>
      <c r="AV849">
        <f t="shared" si="40"/>
        <v>840.17200000000014</v>
      </c>
      <c r="AX849">
        <v>1076.3599999999999</v>
      </c>
      <c r="AY849">
        <v>1180.24</v>
      </c>
      <c r="AZ849">
        <v>9.9297699999999995</v>
      </c>
      <c r="BC849" t="s">
        <v>108</v>
      </c>
    </row>
    <row r="850" spans="3:55" x14ac:dyDescent="0.45">
      <c r="C850">
        <v>83.52</v>
      </c>
      <c r="D850">
        <v>6.44</v>
      </c>
      <c r="E850">
        <v>0</v>
      </c>
      <c r="F850">
        <v>0</v>
      </c>
      <c r="G850">
        <v>0</v>
      </c>
      <c r="H850">
        <v>0</v>
      </c>
      <c r="I850">
        <v>0</v>
      </c>
      <c r="J850">
        <v>3.62</v>
      </c>
      <c r="K850">
        <v>0</v>
      </c>
      <c r="L850">
        <v>3.94</v>
      </c>
      <c r="M850">
        <v>1.68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1</v>
      </c>
      <c r="W850">
        <v>1005</v>
      </c>
      <c r="X850">
        <v>60</v>
      </c>
      <c r="Y850">
        <v>0</v>
      </c>
      <c r="Z850">
        <v>1</v>
      </c>
      <c r="AA850">
        <v>0</v>
      </c>
      <c r="AB850">
        <v>0</v>
      </c>
      <c r="AC850">
        <v>900</v>
      </c>
      <c r="AD850">
        <v>1</v>
      </c>
      <c r="AE850">
        <v>0</v>
      </c>
      <c r="AF850">
        <v>1</v>
      </c>
      <c r="AG850">
        <v>0</v>
      </c>
      <c r="AH850">
        <v>600</v>
      </c>
      <c r="AI850">
        <v>6</v>
      </c>
      <c r="AJ850">
        <v>0</v>
      </c>
      <c r="AK850">
        <v>1</v>
      </c>
      <c r="AL850">
        <v>0</v>
      </c>
      <c r="AM850">
        <v>0</v>
      </c>
      <c r="AN850">
        <v>0</v>
      </c>
      <c r="AO850">
        <v>0</v>
      </c>
      <c r="AP850">
        <v>0</v>
      </c>
      <c r="AQ850">
        <v>0</v>
      </c>
      <c r="AR850">
        <v>0</v>
      </c>
      <c r="AS850">
        <v>0</v>
      </c>
      <c r="AT850">
        <f t="shared" si="41"/>
        <v>-2.5000000000000004</v>
      </c>
      <c r="AU850">
        <f t="shared" si="39"/>
        <v>7.6033333333333335</v>
      </c>
      <c r="AV850">
        <f t="shared" si="40"/>
        <v>840.17200000000014</v>
      </c>
      <c r="AX850">
        <v>1086.32</v>
      </c>
      <c r="AY850">
        <v>1170.28</v>
      </c>
      <c r="AZ850">
        <v>12.206</v>
      </c>
      <c r="BC850" t="s">
        <v>108</v>
      </c>
    </row>
    <row r="851" spans="3:55" x14ac:dyDescent="0.45">
      <c r="C851">
        <v>83.52</v>
      </c>
      <c r="D851">
        <v>6.44</v>
      </c>
      <c r="E851">
        <v>0</v>
      </c>
      <c r="F851">
        <v>0</v>
      </c>
      <c r="G851">
        <v>0</v>
      </c>
      <c r="H851">
        <v>0</v>
      </c>
      <c r="I851">
        <v>0</v>
      </c>
      <c r="J851">
        <v>3.62</v>
      </c>
      <c r="K851">
        <v>0</v>
      </c>
      <c r="L851">
        <v>3.94</v>
      </c>
      <c r="M851">
        <v>1.68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1</v>
      </c>
      <c r="W851">
        <v>940</v>
      </c>
      <c r="X851">
        <v>20</v>
      </c>
      <c r="Y851">
        <v>0</v>
      </c>
      <c r="Z851">
        <v>1</v>
      </c>
      <c r="AA851">
        <v>0</v>
      </c>
      <c r="AB851">
        <v>0</v>
      </c>
      <c r="AC851">
        <v>900</v>
      </c>
      <c r="AD851">
        <v>1</v>
      </c>
      <c r="AE851">
        <v>0</v>
      </c>
      <c r="AF851">
        <v>1</v>
      </c>
      <c r="AG851">
        <v>0</v>
      </c>
      <c r="AH851">
        <v>600</v>
      </c>
      <c r="AI851">
        <v>6</v>
      </c>
      <c r="AJ851">
        <v>0</v>
      </c>
      <c r="AK851">
        <v>1</v>
      </c>
      <c r="AL851">
        <v>0</v>
      </c>
      <c r="AM851">
        <v>0</v>
      </c>
      <c r="AN851">
        <v>0</v>
      </c>
      <c r="AO851">
        <v>0</v>
      </c>
      <c r="AP851">
        <v>0</v>
      </c>
      <c r="AQ851">
        <v>0</v>
      </c>
      <c r="AR851">
        <v>0</v>
      </c>
      <c r="AS851">
        <v>0</v>
      </c>
      <c r="AT851">
        <f t="shared" si="41"/>
        <v>-2.5000000000000004</v>
      </c>
      <c r="AU851">
        <f t="shared" si="39"/>
        <v>7.6033333333333335</v>
      </c>
      <c r="AV851">
        <f t="shared" si="40"/>
        <v>840.17200000000014</v>
      </c>
      <c r="AX851">
        <v>1078</v>
      </c>
      <c r="AY851">
        <v>1158</v>
      </c>
      <c r="AZ851">
        <v>11.75</v>
      </c>
      <c r="BC851" t="s">
        <v>108</v>
      </c>
    </row>
    <row r="852" spans="3:55" x14ac:dyDescent="0.45">
      <c r="C852">
        <v>83.52</v>
      </c>
      <c r="D852">
        <v>6.44</v>
      </c>
      <c r="E852">
        <v>0</v>
      </c>
      <c r="F852">
        <v>0</v>
      </c>
      <c r="G852">
        <v>0</v>
      </c>
      <c r="H852">
        <v>0</v>
      </c>
      <c r="I852">
        <v>0</v>
      </c>
      <c r="J852">
        <v>3.62</v>
      </c>
      <c r="K852">
        <v>0</v>
      </c>
      <c r="L852">
        <v>3.94</v>
      </c>
      <c r="M852">
        <v>1.68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1</v>
      </c>
      <c r="W852">
        <v>940</v>
      </c>
      <c r="X852">
        <v>40</v>
      </c>
      <c r="Y852">
        <v>0</v>
      </c>
      <c r="Z852">
        <v>1</v>
      </c>
      <c r="AA852">
        <v>0</v>
      </c>
      <c r="AB852">
        <v>0</v>
      </c>
      <c r="AC852">
        <v>900</v>
      </c>
      <c r="AD852">
        <v>1</v>
      </c>
      <c r="AE852">
        <v>0</v>
      </c>
      <c r="AF852">
        <v>1</v>
      </c>
      <c r="AG852">
        <v>0</v>
      </c>
      <c r="AH852">
        <v>600</v>
      </c>
      <c r="AI852">
        <v>6</v>
      </c>
      <c r="AJ852">
        <v>0</v>
      </c>
      <c r="AK852">
        <v>1</v>
      </c>
      <c r="AL852">
        <v>0</v>
      </c>
      <c r="AM852">
        <v>0</v>
      </c>
      <c r="AN852">
        <v>0</v>
      </c>
      <c r="AO852">
        <v>0</v>
      </c>
      <c r="AP852">
        <v>0</v>
      </c>
      <c r="AQ852">
        <v>0</v>
      </c>
      <c r="AR852">
        <v>0</v>
      </c>
      <c r="AS852">
        <v>0</v>
      </c>
      <c r="AT852">
        <f t="shared" si="41"/>
        <v>-2.5000000000000004</v>
      </c>
      <c r="AU852">
        <f t="shared" si="39"/>
        <v>7.6033333333333335</v>
      </c>
      <c r="AV852">
        <f t="shared" si="40"/>
        <v>840.17200000000014</v>
      </c>
      <c r="AX852">
        <v>1068</v>
      </c>
      <c r="AY852">
        <v>1158.5</v>
      </c>
      <c r="AZ852">
        <v>12.75</v>
      </c>
      <c r="BC852" t="s">
        <v>108</v>
      </c>
    </row>
    <row r="853" spans="3:55" x14ac:dyDescent="0.45">
      <c r="C853">
        <v>85.7</v>
      </c>
      <c r="D853">
        <v>6.81</v>
      </c>
      <c r="E853">
        <v>0</v>
      </c>
      <c r="F853">
        <v>0</v>
      </c>
      <c r="G853">
        <v>0</v>
      </c>
      <c r="H853">
        <v>0</v>
      </c>
      <c r="I853">
        <v>0</v>
      </c>
      <c r="J853">
        <v>2.25</v>
      </c>
      <c r="K853">
        <v>0</v>
      </c>
      <c r="L853">
        <v>2.1</v>
      </c>
      <c r="M853">
        <v>2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1</v>
      </c>
      <c r="W853">
        <v>1050</v>
      </c>
      <c r="X853">
        <v>0</v>
      </c>
      <c r="Y853">
        <v>0</v>
      </c>
      <c r="Z853">
        <v>1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>
        <v>0</v>
      </c>
      <c r="AI853">
        <v>0</v>
      </c>
      <c r="AJ853">
        <v>0</v>
      </c>
      <c r="AK853">
        <v>0</v>
      </c>
      <c r="AL853">
        <v>0</v>
      </c>
      <c r="AM853">
        <v>0</v>
      </c>
      <c r="AN853">
        <v>0</v>
      </c>
      <c r="AO853">
        <v>0</v>
      </c>
      <c r="AP853">
        <v>0</v>
      </c>
      <c r="AQ853">
        <v>0</v>
      </c>
      <c r="AR853">
        <v>0</v>
      </c>
      <c r="AS853">
        <v>0</v>
      </c>
      <c r="AT853">
        <f t="shared" si="41"/>
        <v>-4.7099999999999991</v>
      </c>
      <c r="AU853">
        <f t="shared" si="39"/>
        <v>7.8516666666666666</v>
      </c>
      <c r="AV853">
        <f t="shared" si="40"/>
        <v>869.226</v>
      </c>
      <c r="AX853">
        <v>1059.57</v>
      </c>
      <c r="AY853">
        <v>1187.3900000000001</v>
      </c>
      <c r="AZ853">
        <v>9.2331500000000002</v>
      </c>
      <c r="BC853" t="s">
        <v>108</v>
      </c>
    </row>
    <row r="854" spans="3:55" x14ac:dyDescent="0.45">
      <c r="C854">
        <v>85.7</v>
      </c>
      <c r="D854">
        <v>6.81</v>
      </c>
      <c r="E854">
        <v>0</v>
      </c>
      <c r="F854">
        <v>0</v>
      </c>
      <c r="G854">
        <v>0</v>
      </c>
      <c r="H854">
        <v>0</v>
      </c>
      <c r="I854">
        <v>0</v>
      </c>
      <c r="J854">
        <v>2.25</v>
      </c>
      <c r="K854">
        <v>0</v>
      </c>
      <c r="L854">
        <v>2.1</v>
      </c>
      <c r="M854">
        <v>2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1</v>
      </c>
      <c r="W854">
        <v>1050</v>
      </c>
      <c r="X854">
        <v>25</v>
      </c>
      <c r="Y854">
        <v>0</v>
      </c>
      <c r="Z854">
        <v>1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>
        <v>0</v>
      </c>
      <c r="AH854">
        <v>0</v>
      </c>
      <c r="AI854">
        <v>0</v>
      </c>
      <c r="AJ854">
        <v>0</v>
      </c>
      <c r="AK854">
        <v>0</v>
      </c>
      <c r="AL854">
        <v>0</v>
      </c>
      <c r="AM854">
        <v>0</v>
      </c>
      <c r="AN854">
        <v>0</v>
      </c>
      <c r="AO854">
        <v>0</v>
      </c>
      <c r="AP854">
        <v>0</v>
      </c>
      <c r="AQ854">
        <v>0</v>
      </c>
      <c r="AR854">
        <v>0</v>
      </c>
      <c r="AS854">
        <v>0</v>
      </c>
      <c r="AT854">
        <f t="shared" si="41"/>
        <v>-4.7099999999999991</v>
      </c>
      <c r="AU854">
        <f t="shared" si="39"/>
        <v>7.8516666666666666</v>
      </c>
      <c r="AV854">
        <f t="shared" si="40"/>
        <v>869.226</v>
      </c>
      <c r="AX854">
        <v>1073.05</v>
      </c>
      <c r="AY854">
        <v>1191.29</v>
      </c>
      <c r="AZ854">
        <v>13.033300000000001</v>
      </c>
      <c r="BC854" t="s">
        <v>108</v>
      </c>
    </row>
    <row r="855" spans="3:55" x14ac:dyDescent="0.45">
      <c r="C855">
        <v>85.7</v>
      </c>
      <c r="D855">
        <v>6.81</v>
      </c>
      <c r="E855">
        <v>0</v>
      </c>
      <c r="F855">
        <v>0</v>
      </c>
      <c r="G855">
        <v>0</v>
      </c>
      <c r="H855">
        <v>0</v>
      </c>
      <c r="I855">
        <v>0</v>
      </c>
      <c r="J855">
        <v>2.25</v>
      </c>
      <c r="K855">
        <v>0</v>
      </c>
      <c r="L855">
        <v>2.1</v>
      </c>
      <c r="M855">
        <v>2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1</v>
      </c>
      <c r="W855">
        <v>1050</v>
      </c>
      <c r="X855">
        <v>45</v>
      </c>
      <c r="Y855">
        <v>0</v>
      </c>
      <c r="Z855">
        <v>1</v>
      </c>
      <c r="AA855">
        <v>0</v>
      </c>
      <c r="AB855">
        <v>0</v>
      </c>
      <c r="AC855">
        <v>0</v>
      </c>
      <c r="AD855">
        <v>0</v>
      </c>
      <c r="AE855">
        <v>0</v>
      </c>
      <c r="AF855">
        <v>0</v>
      </c>
      <c r="AG855">
        <v>0</v>
      </c>
      <c r="AH855">
        <v>0</v>
      </c>
      <c r="AI855">
        <v>0</v>
      </c>
      <c r="AJ855">
        <v>0</v>
      </c>
      <c r="AK855">
        <v>0</v>
      </c>
      <c r="AL855">
        <v>0</v>
      </c>
      <c r="AM855">
        <v>0</v>
      </c>
      <c r="AN855">
        <v>0</v>
      </c>
      <c r="AO855">
        <v>0</v>
      </c>
      <c r="AP855">
        <v>0</v>
      </c>
      <c r="AQ855">
        <v>0</v>
      </c>
      <c r="AR855">
        <v>0</v>
      </c>
      <c r="AS855">
        <v>0</v>
      </c>
      <c r="AT855">
        <f t="shared" si="41"/>
        <v>-4.7099999999999991</v>
      </c>
      <c r="AU855">
        <f t="shared" si="39"/>
        <v>7.8516666666666666</v>
      </c>
      <c r="AV855">
        <f t="shared" si="40"/>
        <v>869.226</v>
      </c>
      <c r="AX855">
        <v>1083.47</v>
      </c>
      <c r="AY855">
        <v>1200</v>
      </c>
      <c r="AZ855">
        <v>13.36</v>
      </c>
      <c r="BC855" t="s">
        <v>108</v>
      </c>
    </row>
    <row r="856" spans="3:55" x14ac:dyDescent="0.45">
      <c r="C856">
        <v>85.7</v>
      </c>
      <c r="D856">
        <v>6.81</v>
      </c>
      <c r="E856">
        <v>0</v>
      </c>
      <c r="F856">
        <v>0</v>
      </c>
      <c r="G856">
        <v>0</v>
      </c>
      <c r="H856">
        <v>0</v>
      </c>
      <c r="I856">
        <v>0</v>
      </c>
      <c r="J856">
        <v>2.25</v>
      </c>
      <c r="K856">
        <v>0</v>
      </c>
      <c r="L856">
        <v>2.1</v>
      </c>
      <c r="M856">
        <v>2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1</v>
      </c>
      <c r="W856">
        <v>1050</v>
      </c>
      <c r="X856">
        <v>80</v>
      </c>
      <c r="Y856">
        <v>0</v>
      </c>
      <c r="Z856">
        <v>1</v>
      </c>
      <c r="AA856">
        <v>0</v>
      </c>
      <c r="AB856">
        <v>0</v>
      </c>
      <c r="AC856">
        <v>0</v>
      </c>
      <c r="AD856">
        <v>0</v>
      </c>
      <c r="AE856">
        <v>0</v>
      </c>
      <c r="AF856">
        <v>0</v>
      </c>
      <c r="AG856">
        <v>0</v>
      </c>
      <c r="AH856">
        <v>0</v>
      </c>
      <c r="AI856">
        <v>0</v>
      </c>
      <c r="AJ856">
        <v>0</v>
      </c>
      <c r="AK856">
        <v>0</v>
      </c>
      <c r="AL856">
        <v>0</v>
      </c>
      <c r="AM856">
        <v>0</v>
      </c>
      <c r="AN856">
        <v>0</v>
      </c>
      <c r="AO856">
        <v>0</v>
      </c>
      <c r="AP856">
        <v>0</v>
      </c>
      <c r="AQ856">
        <v>0</v>
      </c>
      <c r="AR856">
        <v>0</v>
      </c>
      <c r="AS856">
        <v>0</v>
      </c>
      <c r="AT856">
        <f t="shared" si="41"/>
        <v>-4.7099999999999991</v>
      </c>
      <c r="AU856">
        <f t="shared" si="39"/>
        <v>7.8516666666666666</v>
      </c>
      <c r="AV856">
        <f t="shared" si="40"/>
        <v>869.226</v>
      </c>
      <c r="AX856">
        <v>1151.76</v>
      </c>
      <c r="AY856">
        <v>1258.7</v>
      </c>
      <c r="AZ856">
        <v>15.1442</v>
      </c>
      <c r="BC856" t="s">
        <v>108</v>
      </c>
    </row>
    <row r="857" spans="3:55" x14ac:dyDescent="0.45">
      <c r="C857">
        <v>86.4</v>
      </c>
      <c r="D857">
        <v>6</v>
      </c>
      <c r="E857">
        <v>0</v>
      </c>
      <c r="F857">
        <v>0</v>
      </c>
      <c r="G857">
        <v>0</v>
      </c>
      <c r="H857">
        <v>0</v>
      </c>
      <c r="I857">
        <v>0</v>
      </c>
      <c r="J857">
        <v>4</v>
      </c>
      <c r="K857">
        <v>0</v>
      </c>
      <c r="L857">
        <v>0.4</v>
      </c>
      <c r="M857">
        <v>2.75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1</v>
      </c>
      <c r="Z857">
        <v>0</v>
      </c>
      <c r="AA857">
        <v>0</v>
      </c>
      <c r="AB857">
        <v>0</v>
      </c>
      <c r="AC857">
        <v>950</v>
      </c>
      <c r="AD857">
        <v>1</v>
      </c>
      <c r="AE857">
        <v>1</v>
      </c>
      <c r="AF857">
        <v>0</v>
      </c>
      <c r="AG857">
        <v>0</v>
      </c>
      <c r="AH857">
        <v>650</v>
      </c>
      <c r="AI857">
        <v>6</v>
      </c>
      <c r="AJ857">
        <v>0</v>
      </c>
      <c r="AK857">
        <v>1</v>
      </c>
      <c r="AL857">
        <v>0</v>
      </c>
      <c r="AM857">
        <v>0</v>
      </c>
      <c r="AN857">
        <v>0</v>
      </c>
      <c r="AO857">
        <v>0</v>
      </c>
      <c r="AP857">
        <v>0</v>
      </c>
      <c r="AQ857">
        <v>0</v>
      </c>
      <c r="AR857">
        <v>0</v>
      </c>
      <c r="AS857">
        <v>0</v>
      </c>
      <c r="AT857">
        <f t="shared" si="41"/>
        <v>-5.6</v>
      </c>
      <c r="AU857">
        <f t="shared" si="39"/>
        <v>7.5833333333333339</v>
      </c>
      <c r="AV857">
        <f t="shared" si="40"/>
        <v>874.75</v>
      </c>
      <c r="AX857">
        <v>922</v>
      </c>
      <c r="AY857">
        <v>1026</v>
      </c>
      <c r="AZ857">
        <v>3.7</v>
      </c>
      <c r="BC857" t="s">
        <v>108</v>
      </c>
    </row>
    <row r="858" spans="3:55" x14ac:dyDescent="0.45">
      <c r="C858">
        <v>85.9</v>
      </c>
      <c r="D858">
        <v>6</v>
      </c>
      <c r="E858">
        <v>0</v>
      </c>
      <c r="F858">
        <v>0</v>
      </c>
      <c r="G858">
        <v>0</v>
      </c>
      <c r="H858">
        <v>0</v>
      </c>
      <c r="I858">
        <v>0</v>
      </c>
      <c r="J858">
        <v>4</v>
      </c>
      <c r="K858">
        <v>0</v>
      </c>
      <c r="L858">
        <v>2</v>
      </c>
      <c r="M858">
        <v>2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1</v>
      </c>
      <c r="Z858">
        <v>0</v>
      </c>
      <c r="AA858">
        <v>0</v>
      </c>
      <c r="AB858">
        <v>0</v>
      </c>
      <c r="AC858">
        <v>900</v>
      </c>
      <c r="AD858">
        <v>1</v>
      </c>
      <c r="AE858">
        <v>0</v>
      </c>
      <c r="AF858">
        <v>1</v>
      </c>
      <c r="AG858">
        <v>0</v>
      </c>
      <c r="AH858">
        <v>550</v>
      </c>
      <c r="AI858">
        <v>8</v>
      </c>
      <c r="AJ858">
        <v>0</v>
      </c>
      <c r="AK858">
        <v>1</v>
      </c>
      <c r="AL858">
        <v>0</v>
      </c>
      <c r="AM858">
        <v>0</v>
      </c>
      <c r="AN858">
        <v>0</v>
      </c>
      <c r="AO858">
        <v>0</v>
      </c>
      <c r="AP858">
        <v>0</v>
      </c>
      <c r="AQ858">
        <v>0</v>
      </c>
      <c r="AR858">
        <v>0</v>
      </c>
      <c r="AS858">
        <v>0</v>
      </c>
      <c r="AT858">
        <f t="shared" si="41"/>
        <v>-4</v>
      </c>
      <c r="AU858">
        <f t="shared" si="39"/>
        <v>7.3333333333333339</v>
      </c>
      <c r="AV858">
        <f t="shared" si="40"/>
        <v>856.4</v>
      </c>
      <c r="AY858">
        <v>1045.31</v>
      </c>
      <c r="AZ858">
        <v>17.287199999999999</v>
      </c>
      <c r="BC858" t="s">
        <v>108</v>
      </c>
    </row>
    <row r="859" spans="3:55" x14ac:dyDescent="0.45">
      <c r="C859">
        <v>85.9</v>
      </c>
      <c r="D859">
        <v>6</v>
      </c>
      <c r="E859">
        <v>0</v>
      </c>
      <c r="F859">
        <v>0</v>
      </c>
      <c r="G859">
        <v>0</v>
      </c>
      <c r="H859">
        <v>0</v>
      </c>
      <c r="I859">
        <v>0</v>
      </c>
      <c r="J859">
        <v>4</v>
      </c>
      <c r="K859">
        <v>0</v>
      </c>
      <c r="L859">
        <v>2</v>
      </c>
      <c r="M859">
        <v>2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1</v>
      </c>
      <c r="Z859">
        <v>0</v>
      </c>
      <c r="AA859">
        <v>0</v>
      </c>
      <c r="AB859">
        <v>0</v>
      </c>
      <c r="AC859">
        <v>900</v>
      </c>
      <c r="AD859">
        <v>1</v>
      </c>
      <c r="AE859">
        <v>0</v>
      </c>
      <c r="AF859">
        <v>1</v>
      </c>
      <c r="AG859">
        <v>0</v>
      </c>
      <c r="AH859">
        <v>600</v>
      </c>
      <c r="AI859">
        <v>8</v>
      </c>
      <c r="AJ859">
        <v>0</v>
      </c>
      <c r="AK859">
        <v>1</v>
      </c>
      <c r="AL859">
        <v>0</v>
      </c>
      <c r="AM859">
        <v>0</v>
      </c>
      <c r="AN859">
        <v>0</v>
      </c>
      <c r="AO859">
        <v>0</v>
      </c>
      <c r="AP859">
        <v>0</v>
      </c>
      <c r="AQ859">
        <v>0</v>
      </c>
      <c r="AR859">
        <v>0</v>
      </c>
      <c r="AS859">
        <v>0</v>
      </c>
      <c r="AT859">
        <f t="shared" si="41"/>
        <v>-4</v>
      </c>
      <c r="AU859">
        <f t="shared" si="39"/>
        <v>7.3333333333333339</v>
      </c>
      <c r="AV859">
        <f t="shared" si="40"/>
        <v>856.4</v>
      </c>
      <c r="AY859">
        <v>1060.1300000000001</v>
      </c>
      <c r="AZ859">
        <v>16.668900000000001</v>
      </c>
      <c r="BC859" t="s">
        <v>108</v>
      </c>
    </row>
    <row r="860" spans="3:55" x14ac:dyDescent="0.45">
      <c r="C860">
        <v>85.9</v>
      </c>
      <c r="D860">
        <v>6</v>
      </c>
      <c r="E860">
        <v>0</v>
      </c>
      <c r="F860">
        <v>0</v>
      </c>
      <c r="G860">
        <v>0</v>
      </c>
      <c r="H860">
        <v>0</v>
      </c>
      <c r="I860">
        <v>0</v>
      </c>
      <c r="J860">
        <v>4</v>
      </c>
      <c r="K860">
        <v>0</v>
      </c>
      <c r="L860">
        <v>2</v>
      </c>
      <c r="M860">
        <v>2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>
        <v>0</v>
      </c>
      <c r="AB860">
        <v>0</v>
      </c>
      <c r="AC860">
        <v>900</v>
      </c>
      <c r="AD860">
        <v>1</v>
      </c>
      <c r="AE860">
        <v>0</v>
      </c>
      <c r="AF860">
        <v>1</v>
      </c>
      <c r="AG860">
        <v>0</v>
      </c>
      <c r="AH860">
        <v>650</v>
      </c>
      <c r="AI860">
        <v>8</v>
      </c>
      <c r="AJ860">
        <v>0</v>
      </c>
      <c r="AK860">
        <v>1</v>
      </c>
      <c r="AL860">
        <v>0</v>
      </c>
      <c r="AM860">
        <v>0</v>
      </c>
      <c r="AN860">
        <v>0</v>
      </c>
      <c r="AO860">
        <v>0</v>
      </c>
      <c r="AP860">
        <v>0</v>
      </c>
      <c r="AQ860">
        <v>0</v>
      </c>
      <c r="AR860">
        <v>0</v>
      </c>
      <c r="AS860">
        <v>0</v>
      </c>
      <c r="AT860">
        <f t="shared" si="41"/>
        <v>-4</v>
      </c>
      <c r="AU860">
        <f t="shared" si="39"/>
        <v>7.3333333333333339</v>
      </c>
      <c r="AV860">
        <f t="shared" si="40"/>
        <v>856.4</v>
      </c>
      <c r="AY860">
        <v>1044.27</v>
      </c>
      <c r="AZ860">
        <v>13.732100000000001</v>
      </c>
      <c r="BC860" t="s">
        <v>108</v>
      </c>
    </row>
    <row r="861" spans="3:55" x14ac:dyDescent="0.45">
      <c r="C861">
        <v>85.9</v>
      </c>
      <c r="D861">
        <v>6</v>
      </c>
      <c r="E861">
        <v>0</v>
      </c>
      <c r="F861">
        <v>0</v>
      </c>
      <c r="G861">
        <v>0</v>
      </c>
      <c r="H861">
        <v>0</v>
      </c>
      <c r="I861">
        <v>0</v>
      </c>
      <c r="J861">
        <v>4</v>
      </c>
      <c r="K861">
        <v>0</v>
      </c>
      <c r="L861">
        <v>2</v>
      </c>
      <c r="M861">
        <v>2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>
        <v>0</v>
      </c>
      <c r="AB861">
        <v>0</v>
      </c>
      <c r="AC861">
        <v>950</v>
      </c>
      <c r="AD861">
        <v>1</v>
      </c>
      <c r="AE861">
        <v>0</v>
      </c>
      <c r="AF861">
        <v>1</v>
      </c>
      <c r="AG861">
        <v>0</v>
      </c>
      <c r="AH861">
        <v>550</v>
      </c>
      <c r="AI861">
        <v>8</v>
      </c>
      <c r="AJ861">
        <v>0</v>
      </c>
      <c r="AK861">
        <v>1</v>
      </c>
      <c r="AL861">
        <v>0</v>
      </c>
      <c r="AM861">
        <v>0</v>
      </c>
      <c r="AN861">
        <v>0</v>
      </c>
      <c r="AO861">
        <v>0</v>
      </c>
      <c r="AP861">
        <v>0</v>
      </c>
      <c r="AQ861">
        <v>0</v>
      </c>
      <c r="AR861">
        <v>0</v>
      </c>
      <c r="AS861">
        <v>0</v>
      </c>
      <c r="AT861">
        <f t="shared" si="41"/>
        <v>-4</v>
      </c>
      <c r="AU861">
        <f t="shared" si="39"/>
        <v>7.3333333333333339</v>
      </c>
      <c r="AV861">
        <f t="shared" si="40"/>
        <v>856.4</v>
      </c>
      <c r="AY861">
        <v>1049</v>
      </c>
      <c r="AZ861">
        <v>17.088799999999999</v>
      </c>
      <c r="BC861" t="s">
        <v>108</v>
      </c>
    </row>
    <row r="862" spans="3:55" x14ac:dyDescent="0.45">
      <c r="C862">
        <v>85.9</v>
      </c>
      <c r="D862">
        <v>6</v>
      </c>
      <c r="E862">
        <v>0</v>
      </c>
      <c r="F862">
        <v>0</v>
      </c>
      <c r="G862">
        <v>0</v>
      </c>
      <c r="H862">
        <v>0</v>
      </c>
      <c r="I862">
        <v>0</v>
      </c>
      <c r="J862">
        <v>4</v>
      </c>
      <c r="K862">
        <v>0</v>
      </c>
      <c r="L862">
        <v>2</v>
      </c>
      <c r="M862">
        <v>2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>
        <v>0</v>
      </c>
      <c r="AB862">
        <v>0</v>
      </c>
      <c r="AC862">
        <v>950</v>
      </c>
      <c r="AD862">
        <v>1</v>
      </c>
      <c r="AE862">
        <v>0</v>
      </c>
      <c r="AF862">
        <v>1</v>
      </c>
      <c r="AG862">
        <v>0</v>
      </c>
      <c r="AH862">
        <v>600</v>
      </c>
      <c r="AI862">
        <v>8</v>
      </c>
      <c r="AJ862">
        <v>0</v>
      </c>
      <c r="AK862">
        <v>1</v>
      </c>
      <c r="AL862">
        <v>0</v>
      </c>
      <c r="AM862">
        <v>0</v>
      </c>
      <c r="AN862">
        <v>0</v>
      </c>
      <c r="AO862">
        <v>0</v>
      </c>
      <c r="AP862">
        <v>0</v>
      </c>
      <c r="AQ862">
        <v>0</v>
      </c>
      <c r="AR862">
        <v>0</v>
      </c>
      <c r="AS862">
        <v>0</v>
      </c>
      <c r="AT862">
        <f t="shared" si="41"/>
        <v>-4</v>
      </c>
      <c r="AU862">
        <f t="shared" si="39"/>
        <v>7.3333333333333339</v>
      </c>
      <c r="AV862">
        <f t="shared" si="40"/>
        <v>856.4</v>
      </c>
      <c r="AY862">
        <v>1050.3399999999999</v>
      </c>
      <c r="AZ862">
        <v>16.192499999999999</v>
      </c>
      <c r="BC862" t="s">
        <v>108</v>
      </c>
    </row>
    <row r="863" spans="3:55" x14ac:dyDescent="0.45">
      <c r="C863">
        <v>85.9</v>
      </c>
      <c r="D863">
        <v>6</v>
      </c>
      <c r="E863">
        <v>0</v>
      </c>
      <c r="F863">
        <v>0</v>
      </c>
      <c r="G863">
        <v>0</v>
      </c>
      <c r="H863">
        <v>0</v>
      </c>
      <c r="I863">
        <v>0</v>
      </c>
      <c r="J863">
        <v>4</v>
      </c>
      <c r="K863">
        <v>0</v>
      </c>
      <c r="L863">
        <v>2</v>
      </c>
      <c r="M863">
        <v>2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>
        <v>0</v>
      </c>
      <c r="AB863">
        <v>0</v>
      </c>
      <c r="AC863">
        <v>950</v>
      </c>
      <c r="AD863">
        <v>1</v>
      </c>
      <c r="AE863">
        <v>0</v>
      </c>
      <c r="AF863">
        <v>1</v>
      </c>
      <c r="AG863">
        <v>0</v>
      </c>
      <c r="AH863">
        <v>650</v>
      </c>
      <c r="AI863">
        <v>8</v>
      </c>
      <c r="AJ863">
        <v>0</v>
      </c>
      <c r="AK863">
        <v>1</v>
      </c>
      <c r="AL863">
        <v>0</v>
      </c>
      <c r="AM863">
        <v>0</v>
      </c>
      <c r="AN863">
        <v>0</v>
      </c>
      <c r="AO863">
        <v>0</v>
      </c>
      <c r="AP863">
        <v>0</v>
      </c>
      <c r="AQ863">
        <v>0</v>
      </c>
      <c r="AR863">
        <v>0</v>
      </c>
      <c r="AS863">
        <v>0</v>
      </c>
      <c r="AT863">
        <f t="shared" si="41"/>
        <v>-4</v>
      </c>
      <c r="AU863">
        <f t="shared" si="39"/>
        <v>7.3333333333333339</v>
      </c>
      <c r="AV863">
        <f t="shared" si="40"/>
        <v>856.4</v>
      </c>
      <c r="AY863">
        <v>1044.6500000000001</v>
      </c>
      <c r="AZ863">
        <v>13.008599999999999</v>
      </c>
      <c r="BC863" t="s">
        <v>108</v>
      </c>
    </row>
    <row r="864" spans="3:55" x14ac:dyDescent="0.45">
      <c r="C864">
        <v>85.9</v>
      </c>
      <c r="D864">
        <v>6</v>
      </c>
      <c r="E864">
        <v>0</v>
      </c>
      <c r="F864">
        <v>0</v>
      </c>
      <c r="G864">
        <v>0</v>
      </c>
      <c r="H864">
        <v>0</v>
      </c>
      <c r="I864">
        <v>0</v>
      </c>
      <c r="J864">
        <v>4</v>
      </c>
      <c r="K864">
        <v>0</v>
      </c>
      <c r="L864">
        <v>2</v>
      </c>
      <c r="M864">
        <v>2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>
        <v>0</v>
      </c>
      <c r="AB864">
        <v>0</v>
      </c>
      <c r="AC864">
        <v>980</v>
      </c>
      <c r="AD864">
        <v>1</v>
      </c>
      <c r="AE864">
        <v>0</v>
      </c>
      <c r="AF864">
        <v>1</v>
      </c>
      <c r="AG864">
        <v>0</v>
      </c>
      <c r="AH864">
        <v>550</v>
      </c>
      <c r="AI864">
        <v>8</v>
      </c>
      <c r="AJ864">
        <v>0</v>
      </c>
      <c r="AK864">
        <v>1</v>
      </c>
      <c r="AL864">
        <v>0</v>
      </c>
      <c r="AM864">
        <v>0</v>
      </c>
      <c r="AN864">
        <v>0</v>
      </c>
      <c r="AO864">
        <v>0</v>
      </c>
      <c r="AP864">
        <v>0</v>
      </c>
      <c r="AQ864">
        <v>0</v>
      </c>
      <c r="AR864">
        <v>0</v>
      </c>
      <c r="AS864">
        <v>0</v>
      </c>
      <c r="AT864">
        <f t="shared" si="41"/>
        <v>-4</v>
      </c>
      <c r="AU864">
        <f t="shared" si="39"/>
        <v>7.3333333333333339</v>
      </c>
      <c r="AV864">
        <f t="shared" si="40"/>
        <v>856.4</v>
      </c>
      <c r="AY864">
        <v>1077.53</v>
      </c>
      <c r="AZ864">
        <v>13.6069</v>
      </c>
      <c r="BC864" t="s">
        <v>108</v>
      </c>
    </row>
    <row r="865" spans="3:55" x14ac:dyDescent="0.45">
      <c r="C865">
        <v>85.9</v>
      </c>
      <c r="D865">
        <v>6</v>
      </c>
      <c r="E865">
        <v>0</v>
      </c>
      <c r="F865">
        <v>0</v>
      </c>
      <c r="G865">
        <v>0</v>
      </c>
      <c r="H865">
        <v>0</v>
      </c>
      <c r="I865">
        <v>0</v>
      </c>
      <c r="J865">
        <v>4</v>
      </c>
      <c r="K865">
        <v>0</v>
      </c>
      <c r="L865">
        <v>2</v>
      </c>
      <c r="M865">
        <v>2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>
        <v>0</v>
      </c>
      <c r="AB865">
        <v>0</v>
      </c>
      <c r="AC865">
        <v>980</v>
      </c>
      <c r="AD865">
        <v>1</v>
      </c>
      <c r="AE865">
        <v>0</v>
      </c>
      <c r="AF865">
        <v>1</v>
      </c>
      <c r="AG865">
        <v>0</v>
      </c>
      <c r="AH865">
        <v>600</v>
      </c>
      <c r="AI865">
        <v>8</v>
      </c>
      <c r="AJ865">
        <v>0</v>
      </c>
      <c r="AK865">
        <v>1</v>
      </c>
      <c r="AL865">
        <v>0</v>
      </c>
      <c r="AM865">
        <v>0</v>
      </c>
      <c r="AN865">
        <v>0</v>
      </c>
      <c r="AO865">
        <v>0</v>
      </c>
      <c r="AP865">
        <v>0</v>
      </c>
      <c r="AQ865">
        <v>0</v>
      </c>
      <c r="AR865">
        <v>0</v>
      </c>
      <c r="AS865">
        <v>0</v>
      </c>
      <c r="AT865">
        <f t="shared" si="41"/>
        <v>-4</v>
      </c>
      <c r="AU865">
        <f t="shared" si="39"/>
        <v>7.3333333333333339</v>
      </c>
      <c r="AV865">
        <f t="shared" si="40"/>
        <v>856.4</v>
      </c>
      <c r="AY865">
        <v>1052.8699999999999</v>
      </c>
      <c r="AZ865">
        <v>15.1525</v>
      </c>
      <c r="BC865" t="s">
        <v>108</v>
      </c>
    </row>
    <row r="866" spans="3:55" x14ac:dyDescent="0.45">
      <c r="C866">
        <v>85.9</v>
      </c>
      <c r="D866">
        <v>6</v>
      </c>
      <c r="E866">
        <v>0</v>
      </c>
      <c r="F866">
        <v>0</v>
      </c>
      <c r="G866">
        <v>0</v>
      </c>
      <c r="H866">
        <v>0</v>
      </c>
      <c r="I866">
        <v>0</v>
      </c>
      <c r="J866">
        <v>4</v>
      </c>
      <c r="K866">
        <v>0</v>
      </c>
      <c r="L866">
        <v>2</v>
      </c>
      <c r="M866">
        <v>2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1</v>
      </c>
      <c r="Z866">
        <v>0</v>
      </c>
      <c r="AA866">
        <v>0</v>
      </c>
      <c r="AB866">
        <v>0</v>
      </c>
      <c r="AC866">
        <v>980</v>
      </c>
      <c r="AD866">
        <v>1</v>
      </c>
      <c r="AE866">
        <v>0</v>
      </c>
      <c r="AF866">
        <v>1</v>
      </c>
      <c r="AG866">
        <v>0</v>
      </c>
      <c r="AH866">
        <v>650</v>
      </c>
      <c r="AI866">
        <v>8</v>
      </c>
      <c r="AJ866">
        <v>0</v>
      </c>
      <c r="AK866">
        <v>1</v>
      </c>
      <c r="AL866">
        <v>0</v>
      </c>
      <c r="AM866">
        <v>0</v>
      </c>
      <c r="AN866">
        <v>0</v>
      </c>
      <c r="AO866">
        <v>0</v>
      </c>
      <c r="AP866">
        <v>0</v>
      </c>
      <c r="AQ866">
        <v>0</v>
      </c>
      <c r="AR866">
        <v>0</v>
      </c>
      <c r="AS866">
        <v>0</v>
      </c>
      <c r="AT866">
        <f t="shared" si="41"/>
        <v>-4</v>
      </c>
      <c r="AU866">
        <f t="shared" si="39"/>
        <v>7.3333333333333339</v>
      </c>
      <c r="AV866">
        <f t="shared" si="40"/>
        <v>856.4</v>
      </c>
      <c r="AY866">
        <v>1075.77</v>
      </c>
      <c r="AZ866">
        <v>11.288600000000001</v>
      </c>
      <c r="BC866" t="s">
        <v>108</v>
      </c>
    </row>
    <row r="867" spans="3:55" x14ac:dyDescent="0.45">
      <c r="C867">
        <v>85.9</v>
      </c>
      <c r="D867">
        <v>6</v>
      </c>
      <c r="E867">
        <v>0</v>
      </c>
      <c r="F867">
        <v>0</v>
      </c>
      <c r="G867">
        <v>0</v>
      </c>
      <c r="H867">
        <v>0</v>
      </c>
      <c r="I867">
        <v>0</v>
      </c>
      <c r="J867">
        <v>4</v>
      </c>
      <c r="K867">
        <v>0</v>
      </c>
      <c r="L867">
        <v>2</v>
      </c>
      <c r="M867">
        <v>2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1</v>
      </c>
      <c r="Z867">
        <v>0</v>
      </c>
      <c r="AA867">
        <v>0</v>
      </c>
      <c r="AB867">
        <v>0</v>
      </c>
      <c r="AC867">
        <v>1000</v>
      </c>
      <c r="AD867">
        <v>1</v>
      </c>
      <c r="AE867">
        <v>0</v>
      </c>
      <c r="AF867">
        <v>1</v>
      </c>
      <c r="AG867">
        <v>0</v>
      </c>
      <c r="AH867">
        <v>550</v>
      </c>
      <c r="AI867">
        <v>8</v>
      </c>
      <c r="AJ867">
        <v>0</v>
      </c>
      <c r="AK867">
        <v>1</v>
      </c>
      <c r="AL867">
        <v>0</v>
      </c>
      <c r="AM867">
        <v>0</v>
      </c>
      <c r="AN867">
        <v>0</v>
      </c>
      <c r="AO867">
        <v>0</v>
      </c>
      <c r="AP867">
        <v>0</v>
      </c>
      <c r="AQ867">
        <v>0</v>
      </c>
      <c r="AR867">
        <v>0</v>
      </c>
      <c r="AS867">
        <v>0</v>
      </c>
      <c r="AT867">
        <f t="shared" si="41"/>
        <v>-4</v>
      </c>
      <c r="AU867">
        <f t="shared" si="39"/>
        <v>7.3333333333333339</v>
      </c>
      <c r="AV867">
        <f t="shared" si="40"/>
        <v>856.4</v>
      </c>
      <c r="AY867">
        <v>1026.78</v>
      </c>
      <c r="AZ867">
        <v>11.357799999999999</v>
      </c>
      <c r="BC867" t="s">
        <v>108</v>
      </c>
    </row>
    <row r="868" spans="3:55" x14ac:dyDescent="0.45">
      <c r="C868">
        <v>85.9</v>
      </c>
      <c r="D868">
        <v>6</v>
      </c>
      <c r="E868">
        <v>0</v>
      </c>
      <c r="F868">
        <v>0</v>
      </c>
      <c r="G868">
        <v>0</v>
      </c>
      <c r="H868">
        <v>0</v>
      </c>
      <c r="I868">
        <v>0</v>
      </c>
      <c r="J868">
        <v>4</v>
      </c>
      <c r="K868">
        <v>0</v>
      </c>
      <c r="L868">
        <v>2</v>
      </c>
      <c r="M868">
        <v>2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1</v>
      </c>
      <c r="Z868">
        <v>0</v>
      </c>
      <c r="AA868">
        <v>0</v>
      </c>
      <c r="AB868">
        <v>0</v>
      </c>
      <c r="AC868">
        <v>1000</v>
      </c>
      <c r="AD868">
        <v>1</v>
      </c>
      <c r="AE868">
        <v>0</v>
      </c>
      <c r="AF868">
        <v>1</v>
      </c>
      <c r="AG868">
        <v>0</v>
      </c>
      <c r="AH868">
        <v>600</v>
      </c>
      <c r="AI868">
        <v>8</v>
      </c>
      <c r="AJ868">
        <v>0</v>
      </c>
      <c r="AK868">
        <v>1</v>
      </c>
      <c r="AL868">
        <v>0</v>
      </c>
      <c r="AM868">
        <v>0</v>
      </c>
      <c r="AN868">
        <v>0</v>
      </c>
      <c r="AO868">
        <v>0</v>
      </c>
      <c r="AP868">
        <v>0</v>
      </c>
      <c r="AQ868">
        <v>0</v>
      </c>
      <c r="AR868">
        <v>0</v>
      </c>
      <c r="AS868">
        <v>0</v>
      </c>
      <c r="AT868">
        <f t="shared" si="41"/>
        <v>-4</v>
      </c>
      <c r="AU868">
        <f t="shared" si="39"/>
        <v>7.3333333333333339</v>
      </c>
      <c r="AV868">
        <f t="shared" si="40"/>
        <v>856.4</v>
      </c>
      <c r="AY868">
        <v>1047.5</v>
      </c>
      <c r="AZ868">
        <v>8.6065799999999992</v>
      </c>
      <c r="BC868" t="s">
        <v>108</v>
      </c>
    </row>
    <row r="869" spans="3:55" x14ac:dyDescent="0.45">
      <c r="C869">
        <v>85.9</v>
      </c>
      <c r="D869">
        <v>6</v>
      </c>
      <c r="E869">
        <v>0</v>
      </c>
      <c r="F869">
        <v>0</v>
      </c>
      <c r="G869">
        <v>0</v>
      </c>
      <c r="H869">
        <v>0</v>
      </c>
      <c r="I869">
        <v>0</v>
      </c>
      <c r="J869">
        <v>4</v>
      </c>
      <c r="K869">
        <v>0</v>
      </c>
      <c r="L869">
        <v>2</v>
      </c>
      <c r="M869">
        <v>2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1</v>
      </c>
      <c r="Z869">
        <v>0</v>
      </c>
      <c r="AA869">
        <v>0</v>
      </c>
      <c r="AB869">
        <v>0</v>
      </c>
      <c r="AC869">
        <v>1000</v>
      </c>
      <c r="AD869">
        <v>1</v>
      </c>
      <c r="AE869">
        <v>0</v>
      </c>
      <c r="AF869">
        <v>1</v>
      </c>
      <c r="AG869">
        <v>0</v>
      </c>
      <c r="AH869">
        <v>650</v>
      </c>
      <c r="AI869">
        <v>8</v>
      </c>
      <c r="AJ869">
        <v>0</v>
      </c>
      <c r="AK869">
        <v>1</v>
      </c>
      <c r="AL869">
        <v>0</v>
      </c>
      <c r="AM869">
        <v>0</v>
      </c>
      <c r="AN869">
        <v>0</v>
      </c>
      <c r="AO869">
        <v>0</v>
      </c>
      <c r="AP869">
        <v>0</v>
      </c>
      <c r="AQ869">
        <v>0</v>
      </c>
      <c r="AR869">
        <v>0</v>
      </c>
      <c r="AS869">
        <v>0</v>
      </c>
      <c r="AT869">
        <f t="shared" si="41"/>
        <v>-4</v>
      </c>
      <c r="AU869">
        <f t="shared" si="39"/>
        <v>7.3333333333333339</v>
      </c>
      <c r="AV869">
        <f t="shared" si="40"/>
        <v>856.4</v>
      </c>
      <c r="AY869">
        <v>1036.1099999999999</v>
      </c>
      <c r="AZ869">
        <v>6.81332</v>
      </c>
      <c r="BC869" t="s">
        <v>108</v>
      </c>
    </row>
    <row r="870" spans="3:55" x14ac:dyDescent="0.45">
      <c r="C870">
        <v>85.9</v>
      </c>
      <c r="D870">
        <v>6</v>
      </c>
      <c r="E870">
        <v>0</v>
      </c>
      <c r="F870">
        <v>0</v>
      </c>
      <c r="G870">
        <v>0</v>
      </c>
      <c r="H870">
        <v>0</v>
      </c>
      <c r="I870">
        <v>0</v>
      </c>
      <c r="J870">
        <v>4</v>
      </c>
      <c r="K870">
        <v>0</v>
      </c>
      <c r="L870">
        <v>2</v>
      </c>
      <c r="M870">
        <v>2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1</v>
      </c>
      <c r="Z870">
        <v>0</v>
      </c>
      <c r="AA870">
        <v>0</v>
      </c>
      <c r="AB870">
        <v>0</v>
      </c>
      <c r="AC870">
        <v>1030</v>
      </c>
      <c r="AD870">
        <v>1</v>
      </c>
      <c r="AE870">
        <v>0</v>
      </c>
      <c r="AF870">
        <v>1</v>
      </c>
      <c r="AG870">
        <v>0</v>
      </c>
      <c r="AH870">
        <v>550</v>
      </c>
      <c r="AI870">
        <v>8</v>
      </c>
      <c r="AJ870">
        <v>0</v>
      </c>
      <c r="AK870">
        <v>1</v>
      </c>
      <c r="AL870">
        <v>0</v>
      </c>
      <c r="AM870">
        <v>0</v>
      </c>
      <c r="AN870">
        <v>0</v>
      </c>
      <c r="AO870">
        <v>0</v>
      </c>
      <c r="AP870">
        <v>0</v>
      </c>
      <c r="AQ870">
        <v>0</v>
      </c>
      <c r="AR870">
        <v>0</v>
      </c>
      <c r="AS870">
        <v>0</v>
      </c>
      <c r="AT870">
        <f t="shared" si="41"/>
        <v>-4</v>
      </c>
      <c r="AU870">
        <f t="shared" si="39"/>
        <v>7.3333333333333339</v>
      </c>
      <c r="AV870">
        <f t="shared" si="40"/>
        <v>856.4</v>
      </c>
      <c r="AY870">
        <v>1030.44</v>
      </c>
      <c r="AZ870">
        <v>8.5865899999999993</v>
      </c>
      <c r="BC870" t="s">
        <v>108</v>
      </c>
    </row>
    <row r="871" spans="3:55" x14ac:dyDescent="0.45">
      <c r="C871">
        <v>85.9</v>
      </c>
      <c r="D871">
        <v>6</v>
      </c>
      <c r="E871">
        <v>0</v>
      </c>
      <c r="F871">
        <v>0</v>
      </c>
      <c r="G871">
        <v>0</v>
      </c>
      <c r="H871">
        <v>0</v>
      </c>
      <c r="I871">
        <v>0</v>
      </c>
      <c r="J871">
        <v>4</v>
      </c>
      <c r="K871">
        <v>0</v>
      </c>
      <c r="L871">
        <v>2</v>
      </c>
      <c r="M871">
        <v>2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1</v>
      </c>
      <c r="Z871">
        <v>0</v>
      </c>
      <c r="AA871">
        <v>0</v>
      </c>
      <c r="AB871">
        <v>0</v>
      </c>
      <c r="AC871">
        <v>1030</v>
      </c>
      <c r="AD871">
        <v>1</v>
      </c>
      <c r="AE871">
        <v>0</v>
      </c>
      <c r="AF871">
        <v>1</v>
      </c>
      <c r="AG871">
        <v>0</v>
      </c>
      <c r="AH871">
        <v>600</v>
      </c>
      <c r="AI871">
        <v>8</v>
      </c>
      <c r="AJ871">
        <v>0</v>
      </c>
      <c r="AK871">
        <v>1</v>
      </c>
      <c r="AL871">
        <v>0</v>
      </c>
      <c r="AM871">
        <v>0</v>
      </c>
      <c r="AN871">
        <v>0</v>
      </c>
      <c r="AO871">
        <v>0</v>
      </c>
      <c r="AP871">
        <v>0</v>
      </c>
      <c r="AQ871">
        <v>0</v>
      </c>
      <c r="AR871">
        <v>0</v>
      </c>
      <c r="AS871">
        <v>0</v>
      </c>
      <c r="AT871">
        <f t="shared" si="41"/>
        <v>-4</v>
      </c>
      <c r="AU871">
        <f t="shared" si="39"/>
        <v>7.3333333333333339</v>
      </c>
      <c r="AV871">
        <f t="shared" si="40"/>
        <v>856.4</v>
      </c>
      <c r="AY871">
        <v>1043.4000000000001</v>
      </c>
      <c r="AZ871">
        <v>7.7517899999999997</v>
      </c>
      <c r="BC871" t="s">
        <v>108</v>
      </c>
    </row>
    <row r="872" spans="3:55" x14ac:dyDescent="0.45">
      <c r="C872">
        <v>85.9</v>
      </c>
      <c r="D872">
        <v>6</v>
      </c>
      <c r="E872">
        <v>0</v>
      </c>
      <c r="F872">
        <v>0</v>
      </c>
      <c r="G872">
        <v>0</v>
      </c>
      <c r="H872">
        <v>0</v>
      </c>
      <c r="I872">
        <v>0</v>
      </c>
      <c r="J872">
        <v>4</v>
      </c>
      <c r="K872">
        <v>0</v>
      </c>
      <c r="L872">
        <v>2</v>
      </c>
      <c r="M872">
        <v>2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1</v>
      </c>
      <c r="Z872">
        <v>0</v>
      </c>
      <c r="AA872">
        <v>0</v>
      </c>
      <c r="AB872">
        <v>0</v>
      </c>
      <c r="AC872">
        <v>1030</v>
      </c>
      <c r="AD872">
        <v>1</v>
      </c>
      <c r="AE872">
        <v>0</v>
      </c>
      <c r="AF872">
        <v>1</v>
      </c>
      <c r="AG872">
        <v>0</v>
      </c>
      <c r="AH872">
        <v>650</v>
      </c>
      <c r="AI872">
        <v>8</v>
      </c>
      <c r="AJ872">
        <v>0</v>
      </c>
      <c r="AK872">
        <v>1</v>
      </c>
      <c r="AL872">
        <v>0</v>
      </c>
      <c r="AM872">
        <v>0</v>
      </c>
      <c r="AN872">
        <v>0</v>
      </c>
      <c r="AO872">
        <v>0</v>
      </c>
      <c r="AP872">
        <v>0</v>
      </c>
      <c r="AQ872">
        <v>0</v>
      </c>
      <c r="AR872">
        <v>0</v>
      </c>
      <c r="AS872">
        <v>0</v>
      </c>
      <c r="AT872">
        <f t="shared" si="41"/>
        <v>-4</v>
      </c>
      <c r="AU872">
        <f t="shared" si="39"/>
        <v>7.3333333333333339</v>
      </c>
      <c r="AV872">
        <f t="shared" si="40"/>
        <v>856.4</v>
      </c>
      <c r="AY872">
        <v>1029.2</v>
      </c>
      <c r="AZ872">
        <v>7.2576099999999997</v>
      </c>
      <c r="BC872" t="s">
        <v>108</v>
      </c>
    </row>
    <row r="873" spans="3:55" x14ac:dyDescent="0.45">
      <c r="C873">
        <v>88.39</v>
      </c>
      <c r="D873">
        <v>6.9</v>
      </c>
      <c r="E873">
        <v>0</v>
      </c>
      <c r="F873">
        <v>0</v>
      </c>
      <c r="G873">
        <v>0</v>
      </c>
      <c r="H873">
        <v>0.03</v>
      </c>
      <c r="I873">
        <v>0</v>
      </c>
      <c r="J873">
        <v>1.6</v>
      </c>
      <c r="K873">
        <v>0</v>
      </c>
      <c r="L873">
        <v>3.08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1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>
        <v>0</v>
      </c>
      <c r="AI873">
        <v>0</v>
      </c>
      <c r="AJ873">
        <v>0</v>
      </c>
      <c r="AK873">
        <v>0</v>
      </c>
      <c r="AL873">
        <v>0</v>
      </c>
      <c r="AM873">
        <v>0</v>
      </c>
      <c r="AN873">
        <v>0</v>
      </c>
      <c r="AO873">
        <v>0</v>
      </c>
      <c r="AP873">
        <v>0</v>
      </c>
      <c r="AQ873">
        <v>0</v>
      </c>
      <c r="AR873">
        <v>0</v>
      </c>
      <c r="AS873">
        <v>0</v>
      </c>
      <c r="AT873">
        <f t="shared" si="41"/>
        <v>-3.7330000000000001</v>
      </c>
      <c r="AU873">
        <f t="shared" si="39"/>
        <v>7.166666666666667</v>
      </c>
      <c r="AV873">
        <f t="shared" si="40"/>
        <v>855.72800000000007</v>
      </c>
      <c r="BC873" t="s">
        <v>192</v>
      </c>
    </row>
    <row r="874" spans="3:55" x14ac:dyDescent="0.45">
      <c r="C874">
        <v>88.39</v>
      </c>
      <c r="D874">
        <v>6.9</v>
      </c>
      <c r="E874">
        <v>0</v>
      </c>
      <c r="F874">
        <v>0</v>
      </c>
      <c r="G874">
        <v>0</v>
      </c>
      <c r="H874">
        <v>0.03</v>
      </c>
      <c r="I874">
        <v>0</v>
      </c>
      <c r="J874">
        <v>1.6</v>
      </c>
      <c r="K874">
        <v>0</v>
      </c>
      <c r="L874">
        <v>3.08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1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>
        <v>0</v>
      </c>
      <c r="AI874">
        <v>0</v>
      </c>
      <c r="AJ874">
        <v>0</v>
      </c>
      <c r="AK874">
        <v>0</v>
      </c>
      <c r="AL874">
        <v>0</v>
      </c>
      <c r="AM874">
        <v>0</v>
      </c>
      <c r="AN874">
        <v>0</v>
      </c>
      <c r="AO874">
        <v>0</v>
      </c>
      <c r="AP874">
        <v>0</v>
      </c>
      <c r="AQ874">
        <v>0</v>
      </c>
      <c r="AR874">
        <v>0</v>
      </c>
      <c r="AS874">
        <v>0</v>
      </c>
      <c r="AT874">
        <f t="shared" si="41"/>
        <v>-3.7330000000000001</v>
      </c>
      <c r="AU874">
        <f t="shared" si="39"/>
        <v>7.166666666666667</v>
      </c>
      <c r="AV874">
        <f t="shared" si="40"/>
        <v>855.72800000000007</v>
      </c>
      <c r="BC874" t="s">
        <v>192</v>
      </c>
    </row>
    <row r="875" spans="3:55" x14ac:dyDescent="0.45">
      <c r="C875">
        <v>88.39</v>
      </c>
      <c r="D875">
        <v>6.9</v>
      </c>
      <c r="E875">
        <v>0</v>
      </c>
      <c r="F875">
        <v>0</v>
      </c>
      <c r="G875">
        <v>0</v>
      </c>
      <c r="H875">
        <v>0.03</v>
      </c>
      <c r="I875">
        <v>0</v>
      </c>
      <c r="J875">
        <v>1.6</v>
      </c>
      <c r="K875">
        <v>0</v>
      </c>
      <c r="L875">
        <v>3.08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1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>
        <v>0</v>
      </c>
      <c r="AI875">
        <v>0</v>
      </c>
      <c r="AJ875">
        <v>0</v>
      </c>
      <c r="AK875">
        <v>0</v>
      </c>
      <c r="AL875">
        <v>0</v>
      </c>
      <c r="AM875">
        <v>0</v>
      </c>
      <c r="AN875">
        <v>0</v>
      </c>
      <c r="AO875">
        <v>0</v>
      </c>
      <c r="AP875">
        <v>0</v>
      </c>
      <c r="AQ875">
        <v>0</v>
      </c>
      <c r="AR875">
        <v>0</v>
      </c>
      <c r="AS875">
        <v>0</v>
      </c>
      <c r="AT875">
        <f t="shared" si="41"/>
        <v>-3.7330000000000001</v>
      </c>
      <c r="AU875">
        <f t="shared" si="39"/>
        <v>7.166666666666667</v>
      </c>
      <c r="AV875">
        <f t="shared" si="40"/>
        <v>855.72800000000007</v>
      </c>
      <c r="BC875" t="s">
        <v>192</v>
      </c>
    </row>
    <row r="876" spans="3:55" x14ac:dyDescent="0.45">
      <c r="C876">
        <v>89.034999999999997</v>
      </c>
      <c r="D876">
        <v>6.2</v>
      </c>
      <c r="E876">
        <v>4.3</v>
      </c>
      <c r="F876">
        <v>0</v>
      </c>
      <c r="G876">
        <v>0</v>
      </c>
      <c r="H876">
        <v>0.16</v>
      </c>
      <c r="I876">
        <v>0</v>
      </c>
      <c r="J876">
        <v>0.02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1</v>
      </c>
      <c r="W876">
        <v>0</v>
      </c>
      <c r="X876">
        <v>0</v>
      </c>
      <c r="Y876">
        <v>0</v>
      </c>
      <c r="Z876">
        <v>1</v>
      </c>
      <c r="AA876">
        <v>0</v>
      </c>
      <c r="AB876">
        <v>0</v>
      </c>
      <c r="AC876">
        <v>870</v>
      </c>
      <c r="AD876">
        <v>1</v>
      </c>
      <c r="AE876">
        <v>1</v>
      </c>
      <c r="AF876">
        <v>0</v>
      </c>
      <c r="AG876">
        <v>0</v>
      </c>
      <c r="AH876">
        <v>675</v>
      </c>
      <c r="AI876">
        <v>4</v>
      </c>
      <c r="AJ876">
        <v>0</v>
      </c>
      <c r="AK876">
        <v>1</v>
      </c>
      <c r="AL876">
        <v>0</v>
      </c>
      <c r="AM876">
        <v>0</v>
      </c>
      <c r="AN876">
        <v>0</v>
      </c>
      <c r="AO876">
        <v>0</v>
      </c>
      <c r="AP876">
        <v>0</v>
      </c>
      <c r="AQ876">
        <v>0</v>
      </c>
      <c r="AR876">
        <v>0</v>
      </c>
      <c r="AS876">
        <v>0</v>
      </c>
      <c r="AT876">
        <f t="shared" si="41"/>
        <v>-2.855</v>
      </c>
      <c r="AU876">
        <f t="shared" si="39"/>
        <v>6.2033333333333331</v>
      </c>
      <c r="AV876">
        <f t="shared" si="40"/>
        <v>841.67799999999988</v>
      </c>
      <c r="AX876">
        <v>900</v>
      </c>
      <c r="AY876">
        <v>965</v>
      </c>
      <c r="AZ876">
        <v>17</v>
      </c>
      <c r="BC876" t="s">
        <v>193</v>
      </c>
    </row>
    <row r="877" spans="3:55" x14ac:dyDescent="0.45">
      <c r="C877">
        <v>89.034999999999997</v>
      </c>
      <c r="D877">
        <v>6.2</v>
      </c>
      <c r="E877">
        <v>4.3</v>
      </c>
      <c r="F877">
        <v>0</v>
      </c>
      <c r="G877">
        <v>0</v>
      </c>
      <c r="H877">
        <v>0.16</v>
      </c>
      <c r="I877">
        <v>0</v>
      </c>
      <c r="J877">
        <v>0.02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1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1</v>
      </c>
      <c r="AC877">
        <v>0</v>
      </c>
      <c r="AD877">
        <v>0</v>
      </c>
      <c r="AE877">
        <v>0</v>
      </c>
      <c r="AF877">
        <v>0</v>
      </c>
      <c r="AG877">
        <v>0</v>
      </c>
      <c r="AH877">
        <v>500</v>
      </c>
      <c r="AI877">
        <v>1</v>
      </c>
      <c r="AJ877">
        <v>0</v>
      </c>
      <c r="AK877">
        <v>1</v>
      </c>
      <c r="AL877">
        <v>0</v>
      </c>
      <c r="AM877">
        <v>0</v>
      </c>
      <c r="AN877">
        <v>0</v>
      </c>
      <c r="AO877">
        <v>0</v>
      </c>
      <c r="AP877">
        <v>0</v>
      </c>
      <c r="AQ877">
        <v>0</v>
      </c>
      <c r="AR877">
        <v>0</v>
      </c>
      <c r="AS877">
        <v>0</v>
      </c>
      <c r="AT877">
        <f t="shared" si="41"/>
        <v>-2.855</v>
      </c>
      <c r="AU877">
        <f t="shared" si="39"/>
        <v>6.2033333333333331</v>
      </c>
      <c r="AV877">
        <f t="shared" si="40"/>
        <v>841.67799999999988</v>
      </c>
      <c r="AX877">
        <v>1360</v>
      </c>
      <c r="AY877">
        <v>1435</v>
      </c>
      <c r="AZ877">
        <v>9</v>
      </c>
      <c r="BC877" t="s">
        <v>193</v>
      </c>
    </row>
    <row r="878" spans="3:55" x14ac:dyDescent="0.45">
      <c r="C878">
        <v>68.820000000000007</v>
      </c>
      <c r="D878">
        <v>9.93</v>
      </c>
      <c r="E878">
        <v>3.15</v>
      </c>
      <c r="F878">
        <v>0</v>
      </c>
      <c r="G878">
        <v>0</v>
      </c>
      <c r="H878">
        <v>0.48</v>
      </c>
      <c r="I878">
        <v>0</v>
      </c>
      <c r="J878">
        <v>17.62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1</v>
      </c>
      <c r="W878">
        <v>0</v>
      </c>
      <c r="X878">
        <v>0</v>
      </c>
      <c r="Y878">
        <v>0</v>
      </c>
      <c r="Z878">
        <v>1</v>
      </c>
      <c r="AA878">
        <v>0</v>
      </c>
      <c r="AB878">
        <v>0</v>
      </c>
      <c r="AC878">
        <v>0</v>
      </c>
      <c r="AD878">
        <v>0</v>
      </c>
      <c r="AE878">
        <v>0</v>
      </c>
      <c r="AF878">
        <v>1</v>
      </c>
      <c r="AG878">
        <v>0</v>
      </c>
      <c r="AH878">
        <v>0</v>
      </c>
      <c r="AI878">
        <v>0</v>
      </c>
      <c r="AJ878">
        <v>0</v>
      </c>
      <c r="AK878">
        <v>0</v>
      </c>
      <c r="AL878">
        <v>0</v>
      </c>
      <c r="AM878">
        <v>0</v>
      </c>
      <c r="AN878">
        <v>0</v>
      </c>
      <c r="AO878">
        <v>0</v>
      </c>
      <c r="AP878">
        <v>0</v>
      </c>
      <c r="AQ878">
        <v>0</v>
      </c>
      <c r="AR878">
        <v>0</v>
      </c>
      <c r="AS878">
        <v>0</v>
      </c>
      <c r="AT878">
        <f t="shared" si="41"/>
        <v>-6.4275000000000002</v>
      </c>
      <c r="AU878">
        <f t="shared" si="39"/>
        <v>12.866666666666667</v>
      </c>
      <c r="AV878">
        <f t="shared" si="40"/>
        <v>736.71299999999997</v>
      </c>
      <c r="AW878">
        <v>92</v>
      </c>
      <c r="AX878">
        <v>1299</v>
      </c>
      <c r="BC878" t="s">
        <v>60</v>
      </c>
    </row>
    <row r="879" spans="3:55" x14ac:dyDescent="0.45">
      <c r="C879">
        <v>68.320000000000007</v>
      </c>
      <c r="D879">
        <v>9.93</v>
      </c>
      <c r="E879">
        <v>3.16</v>
      </c>
      <c r="F879">
        <v>0</v>
      </c>
      <c r="G879">
        <v>0</v>
      </c>
      <c r="H879">
        <v>0.96</v>
      </c>
      <c r="I879">
        <v>0</v>
      </c>
      <c r="J879">
        <v>17.630000000000003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1</v>
      </c>
      <c r="W879">
        <v>0</v>
      </c>
      <c r="X879">
        <v>0</v>
      </c>
      <c r="Y879">
        <v>0</v>
      </c>
      <c r="Z879">
        <v>1</v>
      </c>
      <c r="AA879">
        <v>0</v>
      </c>
      <c r="AB879">
        <v>0</v>
      </c>
      <c r="AC879">
        <v>0</v>
      </c>
      <c r="AD879">
        <v>0</v>
      </c>
      <c r="AE879">
        <v>0</v>
      </c>
      <c r="AF879">
        <v>1</v>
      </c>
      <c r="AG879">
        <v>0</v>
      </c>
      <c r="AH879">
        <v>0</v>
      </c>
      <c r="AI879">
        <v>0</v>
      </c>
      <c r="AJ879">
        <v>0</v>
      </c>
      <c r="AK879">
        <v>0</v>
      </c>
      <c r="AL879">
        <v>0</v>
      </c>
      <c r="AM879">
        <v>0</v>
      </c>
      <c r="AN879">
        <v>0</v>
      </c>
      <c r="AO879">
        <v>0</v>
      </c>
      <c r="AP879">
        <v>0</v>
      </c>
      <c r="AQ879">
        <v>0</v>
      </c>
      <c r="AR879">
        <v>0</v>
      </c>
      <c r="AS879">
        <v>0</v>
      </c>
      <c r="AT879">
        <f t="shared" si="41"/>
        <v>-5.0287999999999995</v>
      </c>
      <c r="AU879">
        <f t="shared" si="39"/>
        <v>12.868333333333334</v>
      </c>
      <c r="AV879">
        <f t="shared" si="40"/>
        <v>729.1339999999999</v>
      </c>
      <c r="AW879">
        <v>100</v>
      </c>
      <c r="AX879">
        <v>1421</v>
      </c>
      <c r="BC879" t="s">
        <v>60</v>
      </c>
    </row>
    <row r="880" spans="3:55" x14ac:dyDescent="0.45">
      <c r="C880">
        <v>67.81</v>
      </c>
      <c r="D880">
        <v>9.94</v>
      </c>
      <c r="E880">
        <v>3.16</v>
      </c>
      <c r="F880">
        <v>0</v>
      </c>
      <c r="G880">
        <v>0</v>
      </c>
      <c r="H880">
        <v>1.44</v>
      </c>
      <c r="I880">
        <v>0</v>
      </c>
      <c r="J880">
        <v>17.64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1</v>
      </c>
      <c r="W880">
        <v>0</v>
      </c>
      <c r="X880">
        <v>0</v>
      </c>
      <c r="Y880">
        <v>0</v>
      </c>
      <c r="Z880">
        <v>1</v>
      </c>
      <c r="AA880">
        <v>0</v>
      </c>
      <c r="AB880">
        <v>0</v>
      </c>
      <c r="AC880">
        <v>0</v>
      </c>
      <c r="AD880">
        <v>0</v>
      </c>
      <c r="AE880">
        <v>0</v>
      </c>
      <c r="AF880">
        <v>1</v>
      </c>
      <c r="AG880">
        <v>0</v>
      </c>
      <c r="AH880">
        <v>0</v>
      </c>
      <c r="AI880">
        <v>0</v>
      </c>
      <c r="AJ880">
        <v>0</v>
      </c>
      <c r="AK880">
        <v>0</v>
      </c>
      <c r="AL880">
        <v>0</v>
      </c>
      <c r="AM880">
        <v>0</v>
      </c>
      <c r="AN880">
        <v>0</v>
      </c>
      <c r="AO880">
        <v>0</v>
      </c>
      <c r="AP880">
        <v>0</v>
      </c>
      <c r="AQ880">
        <v>0</v>
      </c>
      <c r="AR880">
        <v>0</v>
      </c>
      <c r="AS880">
        <v>0</v>
      </c>
      <c r="AT880">
        <f t="shared" si="41"/>
        <v>-3.6467999999999989</v>
      </c>
      <c r="AU880">
        <f t="shared" si="39"/>
        <v>12.879999999999999</v>
      </c>
      <c r="AV880">
        <f t="shared" si="40"/>
        <v>721.69399999999996</v>
      </c>
      <c r="AW880">
        <v>96</v>
      </c>
      <c r="AX880">
        <v>1553</v>
      </c>
      <c r="BC880" t="s">
        <v>60</v>
      </c>
    </row>
    <row r="881" spans="3:55" x14ac:dyDescent="0.45">
      <c r="C881">
        <v>67.31</v>
      </c>
      <c r="D881">
        <v>9.9500000000000011</v>
      </c>
      <c r="E881">
        <v>3.16</v>
      </c>
      <c r="F881">
        <v>0</v>
      </c>
      <c r="G881">
        <v>0</v>
      </c>
      <c r="H881">
        <v>1.92</v>
      </c>
      <c r="I881">
        <v>0</v>
      </c>
      <c r="J881">
        <v>17.66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1</v>
      </c>
      <c r="W881">
        <v>0</v>
      </c>
      <c r="X881">
        <v>0</v>
      </c>
      <c r="Y881">
        <v>0</v>
      </c>
      <c r="Z881">
        <v>1</v>
      </c>
      <c r="AA881">
        <v>0</v>
      </c>
      <c r="AB881">
        <v>0</v>
      </c>
      <c r="AC881">
        <v>0</v>
      </c>
      <c r="AD881">
        <v>0</v>
      </c>
      <c r="AE881">
        <v>0</v>
      </c>
      <c r="AF881">
        <v>1</v>
      </c>
      <c r="AG881">
        <v>0</v>
      </c>
      <c r="AH881">
        <v>0</v>
      </c>
      <c r="AI881">
        <v>0</v>
      </c>
      <c r="AJ881">
        <v>0</v>
      </c>
      <c r="AK881">
        <v>0</v>
      </c>
      <c r="AL881">
        <v>0</v>
      </c>
      <c r="AM881">
        <v>0</v>
      </c>
      <c r="AN881">
        <v>0</v>
      </c>
      <c r="AO881">
        <v>0</v>
      </c>
      <c r="AP881">
        <v>0</v>
      </c>
      <c r="AQ881">
        <v>0</v>
      </c>
      <c r="AR881">
        <v>0</v>
      </c>
      <c r="AS881">
        <v>0</v>
      </c>
      <c r="AT881">
        <f t="shared" si="41"/>
        <v>-2.264800000000001</v>
      </c>
      <c r="AU881">
        <f t="shared" si="39"/>
        <v>12.893333333333334</v>
      </c>
      <c r="AV881">
        <f t="shared" si="40"/>
        <v>714.18499999999995</v>
      </c>
      <c r="AW881">
        <v>103</v>
      </c>
      <c r="AX881">
        <v>1399</v>
      </c>
      <c r="BC881" t="s">
        <v>60</v>
      </c>
    </row>
    <row r="882" spans="3:55" x14ac:dyDescent="0.45">
      <c r="C882">
        <v>66.8</v>
      </c>
      <c r="D882">
        <v>9.9599999999999991</v>
      </c>
      <c r="E882">
        <v>3.16</v>
      </c>
      <c r="F882">
        <v>0</v>
      </c>
      <c r="G882">
        <v>0</v>
      </c>
      <c r="H882">
        <v>2.41</v>
      </c>
      <c r="I882">
        <v>0</v>
      </c>
      <c r="J882">
        <v>17.669999999999998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1</v>
      </c>
      <c r="W882">
        <v>0</v>
      </c>
      <c r="X882">
        <v>0</v>
      </c>
      <c r="Y882">
        <v>0</v>
      </c>
      <c r="Z882">
        <v>1</v>
      </c>
      <c r="AA882">
        <v>0</v>
      </c>
      <c r="AB882">
        <v>0</v>
      </c>
      <c r="AC882">
        <v>0</v>
      </c>
      <c r="AD882">
        <v>0</v>
      </c>
      <c r="AE882">
        <v>0</v>
      </c>
      <c r="AF882">
        <v>1</v>
      </c>
      <c r="AG882">
        <v>0</v>
      </c>
      <c r="AH882">
        <v>0</v>
      </c>
      <c r="AI882">
        <v>0</v>
      </c>
      <c r="AJ882">
        <v>0</v>
      </c>
      <c r="AK882">
        <v>0</v>
      </c>
      <c r="AL882">
        <v>0</v>
      </c>
      <c r="AM882">
        <v>0</v>
      </c>
      <c r="AN882">
        <v>0</v>
      </c>
      <c r="AO882">
        <v>0</v>
      </c>
      <c r="AP882">
        <v>0</v>
      </c>
      <c r="AQ882">
        <v>0</v>
      </c>
      <c r="AR882">
        <v>0</v>
      </c>
      <c r="AS882">
        <v>0</v>
      </c>
      <c r="AT882">
        <f t="shared" si="41"/>
        <v>-0.85379999999999789</v>
      </c>
      <c r="AU882">
        <f t="shared" si="39"/>
        <v>12.904999999999999</v>
      </c>
      <c r="AV882">
        <f t="shared" si="40"/>
        <v>706.59100000000001</v>
      </c>
      <c r="AW882">
        <v>79</v>
      </c>
      <c r="AX882">
        <v>1068</v>
      </c>
      <c r="BC882" t="s">
        <v>60</v>
      </c>
    </row>
    <row r="883" spans="3:55" x14ac:dyDescent="0.45">
      <c r="C883">
        <v>84.68</v>
      </c>
      <c r="D883">
        <v>3.01</v>
      </c>
      <c r="E883">
        <v>0</v>
      </c>
      <c r="F883">
        <v>2.65</v>
      </c>
      <c r="G883">
        <v>0</v>
      </c>
      <c r="H883">
        <v>0</v>
      </c>
      <c r="I883">
        <v>0</v>
      </c>
      <c r="J883">
        <v>0</v>
      </c>
      <c r="K883">
        <v>2.8</v>
      </c>
      <c r="L883">
        <v>6.63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1</v>
      </c>
      <c r="Z883">
        <v>0</v>
      </c>
      <c r="AA883">
        <v>0</v>
      </c>
      <c r="AB883">
        <v>0</v>
      </c>
      <c r="AC883">
        <v>880</v>
      </c>
      <c r="AD883">
        <v>0.5</v>
      </c>
      <c r="AE883">
        <v>1</v>
      </c>
      <c r="AF883">
        <v>0</v>
      </c>
      <c r="AG883">
        <v>0</v>
      </c>
      <c r="AH883">
        <v>0</v>
      </c>
      <c r="AI883">
        <v>0</v>
      </c>
      <c r="AJ883">
        <v>0</v>
      </c>
      <c r="AK883">
        <v>0</v>
      </c>
      <c r="AL883">
        <v>0</v>
      </c>
      <c r="AM883">
        <v>0</v>
      </c>
      <c r="AN883">
        <v>0</v>
      </c>
      <c r="AO883">
        <v>0</v>
      </c>
      <c r="AP883">
        <v>0</v>
      </c>
      <c r="AQ883">
        <v>0</v>
      </c>
      <c r="AR883">
        <v>0</v>
      </c>
      <c r="AS883">
        <v>0</v>
      </c>
      <c r="AT883">
        <f t="shared" si="41"/>
        <v>8.6440000000000001</v>
      </c>
      <c r="AU883">
        <f t="shared" si="39"/>
        <v>3.01</v>
      </c>
      <c r="AV883">
        <f t="shared" si="40"/>
        <v>793.27099999999996</v>
      </c>
      <c r="AX883">
        <v>687</v>
      </c>
      <c r="AY883">
        <v>903</v>
      </c>
      <c r="AZ883">
        <v>24</v>
      </c>
      <c r="BC883" t="s">
        <v>108</v>
      </c>
    </row>
    <row r="884" spans="3:55" x14ac:dyDescent="0.45">
      <c r="C884">
        <v>84.68</v>
      </c>
      <c r="D884">
        <v>3.01</v>
      </c>
      <c r="E884">
        <v>0</v>
      </c>
      <c r="F884">
        <v>2.65</v>
      </c>
      <c r="G884">
        <v>0</v>
      </c>
      <c r="H884">
        <v>0</v>
      </c>
      <c r="I884">
        <v>0</v>
      </c>
      <c r="J884">
        <v>0</v>
      </c>
      <c r="K884">
        <v>2.8</v>
      </c>
      <c r="L884">
        <v>6.63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1</v>
      </c>
      <c r="Z884">
        <v>0</v>
      </c>
      <c r="AA884">
        <v>0</v>
      </c>
      <c r="AB884">
        <v>0</v>
      </c>
      <c r="AC884">
        <v>820</v>
      </c>
      <c r="AD884">
        <v>0.5</v>
      </c>
      <c r="AE884">
        <v>1</v>
      </c>
      <c r="AF884">
        <v>0</v>
      </c>
      <c r="AG884">
        <v>0</v>
      </c>
      <c r="AH884">
        <v>0</v>
      </c>
      <c r="AI884">
        <v>0</v>
      </c>
      <c r="AJ884">
        <v>0</v>
      </c>
      <c r="AK884">
        <v>0</v>
      </c>
      <c r="AL884">
        <v>0</v>
      </c>
      <c r="AM884">
        <v>0</v>
      </c>
      <c r="AN884">
        <v>0</v>
      </c>
      <c r="AO884">
        <v>0</v>
      </c>
      <c r="AP884">
        <v>0</v>
      </c>
      <c r="AQ884">
        <v>0</v>
      </c>
      <c r="AR884">
        <v>0</v>
      </c>
      <c r="AS884">
        <v>0</v>
      </c>
      <c r="AT884">
        <f t="shared" si="41"/>
        <v>8.6440000000000001</v>
      </c>
      <c r="AU884">
        <f t="shared" si="39"/>
        <v>3.01</v>
      </c>
      <c r="AV884">
        <f t="shared" si="40"/>
        <v>793.27099999999996</v>
      </c>
      <c r="AX884">
        <v>811</v>
      </c>
      <c r="AY884">
        <v>965</v>
      </c>
      <c r="AZ884">
        <v>10.9</v>
      </c>
      <c r="BC884" t="s">
        <v>108</v>
      </c>
    </row>
    <row r="885" spans="3:55" x14ac:dyDescent="0.45">
      <c r="C885">
        <v>84.68</v>
      </c>
      <c r="D885">
        <v>3.01</v>
      </c>
      <c r="E885">
        <v>0</v>
      </c>
      <c r="F885">
        <v>2.65</v>
      </c>
      <c r="G885">
        <v>0</v>
      </c>
      <c r="H885">
        <v>0</v>
      </c>
      <c r="I885">
        <v>0</v>
      </c>
      <c r="J885">
        <v>0</v>
      </c>
      <c r="K885">
        <v>2.8</v>
      </c>
      <c r="L885">
        <v>6.63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1</v>
      </c>
      <c r="Z885">
        <v>0</v>
      </c>
      <c r="AA885">
        <v>0</v>
      </c>
      <c r="AB885">
        <v>0</v>
      </c>
      <c r="AC885">
        <v>880</v>
      </c>
      <c r="AD885">
        <v>0.5</v>
      </c>
      <c r="AE885">
        <v>1</v>
      </c>
      <c r="AF885">
        <v>0</v>
      </c>
      <c r="AG885">
        <v>0</v>
      </c>
      <c r="AH885">
        <v>530</v>
      </c>
      <c r="AI885">
        <v>6</v>
      </c>
      <c r="AJ885">
        <v>0</v>
      </c>
      <c r="AK885">
        <v>1</v>
      </c>
      <c r="AL885">
        <v>0</v>
      </c>
      <c r="AM885">
        <v>0</v>
      </c>
      <c r="AN885">
        <v>0</v>
      </c>
      <c r="AO885">
        <v>0</v>
      </c>
      <c r="AP885">
        <v>0</v>
      </c>
      <c r="AQ885">
        <v>0</v>
      </c>
      <c r="AR885">
        <v>0</v>
      </c>
      <c r="AS885">
        <v>0</v>
      </c>
      <c r="AT885">
        <f t="shared" si="41"/>
        <v>8.6440000000000001</v>
      </c>
      <c r="AU885">
        <f t="shared" si="39"/>
        <v>3.01</v>
      </c>
      <c r="AV885">
        <f t="shared" si="40"/>
        <v>793.27099999999996</v>
      </c>
      <c r="AX885">
        <v>987</v>
      </c>
      <c r="AY885">
        <v>1311</v>
      </c>
      <c r="AZ885">
        <v>2.1</v>
      </c>
      <c r="BC885" t="s">
        <v>108</v>
      </c>
    </row>
    <row r="886" spans="3:55" x14ac:dyDescent="0.45">
      <c r="C886">
        <v>84.68</v>
      </c>
      <c r="D886">
        <v>3.01</v>
      </c>
      <c r="E886">
        <v>0</v>
      </c>
      <c r="F886">
        <v>2.65</v>
      </c>
      <c r="G886">
        <v>0</v>
      </c>
      <c r="H886">
        <v>0</v>
      </c>
      <c r="I886">
        <v>0</v>
      </c>
      <c r="J886">
        <v>0</v>
      </c>
      <c r="K886">
        <v>2.8</v>
      </c>
      <c r="L886">
        <v>6.63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1</v>
      </c>
      <c r="Z886">
        <v>0</v>
      </c>
      <c r="AA886">
        <v>0</v>
      </c>
      <c r="AB886">
        <v>0</v>
      </c>
      <c r="AC886">
        <v>820</v>
      </c>
      <c r="AD886">
        <v>0.5</v>
      </c>
      <c r="AE886">
        <v>1</v>
      </c>
      <c r="AF886">
        <v>0</v>
      </c>
      <c r="AG886">
        <v>0</v>
      </c>
      <c r="AH886">
        <v>530</v>
      </c>
      <c r="AI886">
        <v>6</v>
      </c>
      <c r="AJ886">
        <v>0</v>
      </c>
      <c r="AK886">
        <v>1</v>
      </c>
      <c r="AL886">
        <v>0</v>
      </c>
      <c r="AM886">
        <v>0</v>
      </c>
      <c r="AN886">
        <v>0</v>
      </c>
      <c r="AO886">
        <v>0</v>
      </c>
      <c r="AP886">
        <v>0</v>
      </c>
      <c r="AQ886">
        <v>0</v>
      </c>
      <c r="AR886">
        <v>0</v>
      </c>
      <c r="AS886">
        <v>0</v>
      </c>
      <c r="AT886">
        <f t="shared" si="41"/>
        <v>8.6440000000000001</v>
      </c>
      <c r="AU886">
        <f t="shared" si="39"/>
        <v>3.01</v>
      </c>
      <c r="AV886">
        <f t="shared" si="40"/>
        <v>793.27099999999996</v>
      </c>
      <c r="AX886">
        <v>963</v>
      </c>
      <c r="AY886">
        <v>1296</v>
      </c>
      <c r="AZ886">
        <v>4.7</v>
      </c>
      <c r="BC886" t="s">
        <v>108</v>
      </c>
    </row>
    <row r="887" spans="3:55" x14ac:dyDescent="0.45">
      <c r="C887">
        <v>82.19</v>
      </c>
      <c r="D887">
        <v>4.22</v>
      </c>
      <c r="E887">
        <v>0</v>
      </c>
      <c r="F887">
        <v>3.9</v>
      </c>
      <c r="G887">
        <v>0</v>
      </c>
      <c r="H887">
        <v>0</v>
      </c>
      <c r="I887">
        <v>0</v>
      </c>
      <c r="J887">
        <v>0</v>
      </c>
      <c r="K887">
        <v>2.86</v>
      </c>
      <c r="L887">
        <v>6.62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1</v>
      </c>
      <c r="Z887">
        <v>0</v>
      </c>
      <c r="AA887">
        <v>0</v>
      </c>
      <c r="AB887">
        <v>0</v>
      </c>
      <c r="AC887">
        <v>890</v>
      </c>
      <c r="AD887">
        <v>0.5</v>
      </c>
      <c r="AE887">
        <v>1</v>
      </c>
      <c r="AF887">
        <v>0</v>
      </c>
      <c r="AG887">
        <v>0</v>
      </c>
      <c r="AH887">
        <v>0</v>
      </c>
      <c r="AI887">
        <v>0</v>
      </c>
      <c r="AJ887">
        <v>0</v>
      </c>
      <c r="AK887">
        <v>0</v>
      </c>
      <c r="AL887">
        <v>0</v>
      </c>
      <c r="AM887">
        <v>0</v>
      </c>
      <c r="AN887">
        <v>0</v>
      </c>
      <c r="AO887">
        <v>0</v>
      </c>
      <c r="AP887">
        <v>0</v>
      </c>
      <c r="AQ887">
        <v>0</v>
      </c>
      <c r="AR887">
        <v>0</v>
      </c>
      <c r="AS887">
        <v>0</v>
      </c>
      <c r="AT887">
        <f t="shared" si="41"/>
        <v>9.4407999999999994</v>
      </c>
      <c r="AU887">
        <f t="shared" si="39"/>
        <v>4.22</v>
      </c>
      <c r="AV887">
        <f t="shared" si="40"/>
        <v>780.78199999999993</v>
      </c>
      <c r="AX887">
        <v>726</v>
      </c>
      <c r="AY887">
        <v>893</v>
      </c>
      <c r="AZ887">
        <v>19.5</v>
      </c>
      <c r="BC887" t="s">
        <v>108</v>
      </c>
    </row>
    <row r="888" spans="3:55" x14ac:dyDescent="0.45">
      <c r="C888">
        <v>82.19</v>
      </c>
      <c r="D888">
        <v>4.22</v>
      </c>
      <c r="E888">
        <v>0</v>
      </c>
      <c r="F888">
        <v>3.9</v>
      </c>
      <c r="G888">
        <v>0</v>
      </c>
      <c r="H888">
        <v>0</v>
      </c>
      <c r="I888">
        <v>0</v>
      </c>
      <c r="J888">
        <v>0</v>
      </c>
      <c r="K888">
        <v>2.86</v>
      </c>
      <c r="L888">
        <v>6.62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1</v>
      </c>
      <c r="Z888">
        <v>0</v>
      </c>
      <c r="AA888">
        <v>0</v>
      </c>
      <c r="AB888">
        <v>0</v>
      </c>
      <c r="AC888">
        <v>830</v>
      </c>
      <c r="AD888">
        <v>0.5</v>
      </c>
      <c r="AE888">
        <v>1</v>
      </c>
      <c r="AF888">
        <v>0</v>
      </c>
      <c r="AG888">
        <v>0</v>
      </c>
      <c r="AH888">
        <v>0</v>
      </c>
      <c r="AI888">
        <v>0</v>
      </c>
      <c r="AJ888">
        <v>0</v>
      </c>
      <c r="AK888">
        <v>0</v>
      </c>
      <c r="AL888">
        <v>0</v>
      </c>
      <c r="AM888">
        <v>0</v>
      </c>
      <c r="AN888">
        <v>0</v>
      </c>
      <c r="AO888">
        <v>0</v>
      </c>
      <c r="AP888">
        <v>0</v>
      </c>
      <c r="AQ888">
        <v>0</v>
      </c>
      <c r="AR888">
        <v>0</v>
      </c>
      <c r="AS888">
        <v>0</v>
      </c>
      <c r="AT888">
        <f t="shared" si="41"/>
        <v>9.4407999999999994</v>
      </c>
      <c r="AU888">
        <f t="shared" si="39"/>
        <v>4.22</v>
      </c>
      <c r="AV888">
        <f t="shared" si="40"/>
        <v>780.78199999999993</v>
      </c>
      <c r="AX888">
        <v>908</v>
      </c>
      <c r="AY888">
        <v>942</v>
      </c>
      <c r="AZ888">
        <v>9.1</v>
      </c>
      <c r="BC888" t="s">
        <v>108</v>
      </c>
    </row>
    <row r="889" spans="3:55" x14ac:dyDescent="0.45">
      <c r="C889">
        <v>82.19</v>
      </c>
      <c r="D889">
        <v>4.22</v>
      </c>
      <c r="E889">
        <v>0</v>
      </c>
      <c r="F889">
        <v>3.9</v>
      </c>
      <c r="G889">
        <v>0</v>
      </c>
      <c r="H889">
        <v>0</v>
      </c>
      <c r="I889">
        <v>0</v>
      </c>
      <c r="J889">
        <v>0</v>
      </c>
      <c r="K889">
        <v>2.86</v>
      </c>
      <c r="L889">
        <v>6.62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1</v>
      </c>
      <c r="Z889">
        <v>0</v>
      </c>
      <c r="AA889">
        <v>0</v>
      </c>
      <c r="AB889">
        <v>0</v>
      </c>
      <c r="AC889">
        <v>890</v>
      </c>
      <c r="AD889">
        <v>0.5</v>
      </c>
      <c r="AE889">
        <v>1</v>
      </c>
      <c r="AF889">
        <v>0</v>
      </c>
      <c r="AG889">
        <v>0</v>
      </c>
      <c r="AH889">
        <v>540</v>
      </c>
      <c r="AI889">
        <v>6</v>
      </c>
      <c r="AJ889">
        <v>0</v>
      </c>
      <c r="AK889">
        <v>1</v>
      </c>
      <c r="AL889">
        <v>0</v>
      </c>
      <c r="AM889">
        <v>0</v>
      </c>
      <c r="AN889">
        <v>0</v>
      </c>
      <c r="AO889">
        <v>0</v>
      </c>
      <c r="AP889">
        <v>0</v>
      </c>
      <c r="AQ889">
        <v>0</v>
      </c>
      <c r="AR889">
        <v>0</v>
      </c>
      <c r="AS889">
        <v>0</v>
      </c>
      <c r="AT889">
        <f t="shared" si="41"/>
        <v>9.4407999999999994</v>
      </c>
      <c r="AU889">
        <f t="shared" si="39"/>
        <v>4.22</v>
      </c>
      <c r="AV889">
        <f t="shared" si="40"/>
        <v>780.78199999999993</v>
      </c>
      <c r="AX889">
        <v>1058</v>
      </c>
      <c r="AY889">
        <v>1378</v>
      </c>
      <c r="AZ889">
        <v>1.5</v>
      </c>
      <c r="BC889" t="s">
        <v>108</v>
      </c>
    </row>
    <row r="890" spans="3:55" x14ac:dyDescent="0.45">
      <c r="C890">
        <v>82.19</v>
      </c>
      <c r="D890">
        <v>4.22</v>
      </c>
      <c r="E890">
        <v>0</v>
      </c>
      <c r="F890">
        <v>3.9</v>
      </c>
      <c r="G890">
        <v>0</v>
      </c>
      <c r="H890">
        <v>0</v>
      </c>
      <c r="I890">
        <v>0</v>
      </c>
      <c r="J890">
        <v>0</v>
      </c>
      <c r="K890">
        <v>2.86</v>
      </c>
      <c r="L890">
        <v>6.62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1</v>
      </c>
      <c r="Z890">
        <v>0</v>
      </c>
      <c r="AA890">
        <v>0</v>
      </c>
      <c r="AB890">
        <v>0</v>
      </c>
      <c r="AC890">
        <v>830</v>
      </c>
      <c r="AD890">
        <v>0.5</v>
      </c>
      <c r="AE890">
        <v>1</v>
      </c>
      <c r="AF890">
        <v>0</v>
      </c>
      <c r="AG890">
        <v>0</v>
      </c>
      <c r="AH890">
        <v>540</v>
      </c>
      <c r="AI890">
        <v>6</v>
      </c>
      <c r="AJ890">
        <v>0</v>
      </c>
      <c r="AK890">
        <v>1</v>
      </c>
      <c r="AL890">
        <v>0</v>
      </c>
      <c r="AM890">
        <v>0</v>
      </c>
      <c r="AN890">
        <v>0</v>
      </c>
      <c r="AO890">
        <v>0</v>
      </c>
      <c r="AP890">
        <v>0</v>
      </c>
      <c r="AQ890">
        <v>0</v>
      </c>
      <c r="AR890">
        <v>0</v>
      </c>
      <c r="AS890">
        <v>0</v>
      </c>
      <c r="AT890">
        <f t="shared" si="41"/>
        <v>9.4407999999999994</v>
      </c>
      <c r="AU890">
        <f t="shared" si="39"/>
        <v>4.22</v>
      </c>
      <c r="AV890">
        <f t="shared" si="40"/>
        <v>780.78199999999993</v>
      </c>
      <c r="AX890">
        <v>1094</v>
      </c>
      <c r="AY890">
        <v>1308</v>
      </c>
      <c r="AZ890">
        <v>5.2</v>
      </c>
      <c r="BC890" t="s">
        <v>108</v>
      </c>
    </row>
    <row r="891" spans="3:55" x14ac:dyDescent="0.45">
      <c r="C891">
        <v>88.21</v>
      </c>
      <c r="D891">
        <v>5.13</v>
      </c>
      <c r="E891">
        <v>3.03</v>
      </c>
      <c r="F891">
        <v>0.76</v>
      </c>
      <c r="G891">
        <v>0</v>
      </c>
      <c r="H891">
        <v>0</v>
      </c>
      <c r="I891">
        <v>0</v>
      </c>
      <c r="J891">
        <v>2.87</v>
      </c>
      <c r="K891">
        <v>0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1</v>
      </c>
      <c r="W891">
        <v>0</v>
      </c>
      <c r="X891">
        <v>0</v>
      </c>
      <c r="Y891">
        <v>0</v>
      </c>
      <c r="Z891">
        <v>1</v>
      </c>
      <c r="AA891">
        <v>0</v>
      </c>
      <c r="AB891">
        <v>0</v>
      </c>
      <c r="AC891">
        <v>700</v>
      </c>
      <c r="AD891">
        <v>1</v>
      </c>
      <c r="AE891">
        <v>0</v>
      </c>
      <c r="AF891">
        <v>1</v>
      </c>
      <c r="AG891">
        <v>0</v>
      </c>
      <c r="AH891">
        <v>0</v>
      </c>
      <c r="AI891">
        <v>0</v>
      </c>
      <c r="AJ891">
        <v>0</v>
      </c>
      <c r="AK891">
        <v>0</v>
      </c>
      <c r="AL891">
        <v>0</v>
      </c>
      <c r="AM891">
        <v>0</v>
      </c>
      <c r="AN891">
        <v>0</v>
      </c>
      <c r="AO891">
        <v>0</v>
      </c>
      <c r="AP891">
        <v>0</v>
      </c>
      <c r="AQ891">
        <v>0</v>
      </c>
      <c r="AR891">
        <v>0</v>
      </c>
      <c r="AS891">
        <v>0</v>
      </c>
      <c r="AT891">
        <f t="shared" si="41"/>
        <v>-1.8838999999999997</v>
      </c>
      <c r="AU891">
        <f t="shared" si="39"/>
        <v>5.6083333333333334</v>
      </c>
      <c r="AV891">
        <f t="shared" si="40"/>
        <v>828.02</v>
      </c>
      <c r="AX891">
        <v>847.19100000000003</v>
      </c>
      <c r="AY891">
        <v>878.65200000000004</v>
      </c>
      <c r="AZ891">
        <v>17.7578</v>
      </c>
      <c r="BC891" t="s">
        <v>108</v>
      </c>
    </row>
    <row r="892" spans="3:55" x14ac:dyDescent="0.45">
      <c r="C892">
        <v>88.21</v>
      </c>
      <c r="D892">
        <v>5.13</v>
      </c>
      <c r="E892">
        <v>3.03</v>
      </c>
      <c r="F892">
        <v>0.76</v>
      </c>
      <c r="G892">
        <v>0</v>
      </c>
      <c r="H892">
        <v>0</v>
      </c>
      <c r="I892">
        <v>0</v>
      </c>
      <c r="J892">
        <v>2.87</v>
      </c>
      <c r="K892">
        <v>0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1</v>
      </c>
      <c r="W892">
        <v>950</v>
      </c>
      <c r="X892">
        <v>0</v>
      </c>
      <c r="Y892">
        <v>0</v>
      </c>
      <c r="Z892">
        <v>1</v>
      </c>
      <c r="AA892">
        <v>0</v>
      </c>
      <c r="AB892">
        <v>0</v>
      </c>
      <c r="AC892">
        <v>700</v>
      </c>
      <c r="AD892">
        <v>1</v>
      </c>
      <c r="AE892">
        <v>0</v>
      </c>
      <c r="AF892">
        <v>1</v>
      </c>
      <c r="AG892">
        <v>0</v>
      </c>
      <c r="AH892">
        <v>0</v>
      </c>
      <c r="AI892">
        <v>0</v>
      </c>
      <c r="AJ892">
        <v>0</v>
      </c>
      <c r="AK892">
        <v>0</v>
      </c>
      <c r="AL892">
        <v>0</v>
      </c>
      <c r="AM892">
        <v>0</v>
      </c>
      <c r="AN892">
        <v>0</v>
      </c>
      <c r="AO892">
        <v>0</v>
      </c>
      <c r="AP892">
        <v>0</v>
      </c>
      <c r="AQ892">
        <v>0</v>
      </c>
      <c r="AR892">
        <v>0</v>
      </c>
      <c r="AS892">
        <v>0</v>
      </c>
      <c r="AT892">
        <f t="shared" si="41"/>
        <v>-1.8838999999999997</v>
      </c>
      <c r="AU892">
        <f t="shared" si="39"/>
        <v>5.6083333333333334</v>
      </c>
      <c r="AV892">
        <f t="shared" si="40"/>
        <v>828.02</v>
      </c>
      <c r="AX892">
        <v>942.07500000000005</v>
      </c>
      <c r="AY892">
        <v>973.76400000000001</v>
      </c>
      <c r="AZ892">
        <v>14.257300000000001</v>
      </c>
      <c r="BC892" t="s">
        <v>108</v>
      </c>
    </row>
    <row r="893" spans="3:55" x14ac:dyDescent="0.45">
      <c r="C893">
        <v>88.21</v>
      </c>
      <c r="D893">
        <v>5.13</v>
      </c>
      <c r="E893">
        <v>3.03</v>
      </c>
      <c r="F893">
        <v>0.76</v>
      </c>
      <c r="G893">
        <v>0</v>
      </c>
      <c r="H893">
        <v>0</v>
      </c>
      <c r="I893">
        <v>0</v>
      </c>
      <c r="J893">
        <v>2.87</v>
      </c>
      <c r="K893">
        <v>0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1</v>
      </c>
      <c r="W893">
        <v>890</v>
      </c>
      <c r="X893">
        <v>0</v>
      </c>
      <c r="Y893">
        <v>0</v>
      </c>
      <c r="Z893">
        <v>1</v>
      </c>
      <c r="AA893">
        <v>0</v>
      </c>
      <c r="AB893">
        <v>0</v>
      </c>
      <c r="AC893">
        <v>700</v>
      </c>
      <c r="AD893">
        <v>1</v>
      </c>
      <c r="AE893">
        <v>0</v>
      </c>
      <c r="AF893">
        <v>1</v>
      </c>
      <c r="AG893">
        <v>0</v>
      </c>
      <c r="AH893">
        <v>0</v>
      </c>
      <c r="AI893">
        <v>0</v>
      </c>
      <c r="AJ893">
        <v>0</v>
      </c>
      <c r="AK893">
        <v>0</v>
      </c>
      <c r="AL893">
        <v>0</v>
      </c>
      <c r="AM893">
        <v>0</v>
      </c>
      <c r="AN893">
        <v>0</v>
      </c>
      <c r="AO893">
        <v>0</v>
      </c>
      <c r="AP893">
        <v>0</v>
      </c>
      <c r="AQ893">
        <v>0</v>
      </c>
      <c r="AR893">
        <v>0</v>
      </c>
      <c r="AS893">
        <v>0</v>
      </c>
      <c r="AT893">
        <f t="shared" si="41"/>
        <v>-1.8838999999999997</v>
      </c>
      <c r="AU893">
        <f t="shared" si="39"/>
        <v>5.6083333333333334</v>
      </c>
      <c r="AV893">
        <f t="shared" si="40"/>
        <v>828.02</v>
      </c>
      <c r="AX893">
        <v>893.92100000000005</v>
      </c>
      <c r="AY893">
        <v>961.47699999999998</v>
      </c>
      <c r="AZ893">
        <v>15.7849</v>
      </c>
      <c r="BC893" t="s">
        <v>108</v>
      </c>
    </row>
    <row r="894" spans="3:55" x14ac:dyDescent="0.45">
      <c r="C894">
        <v>88.21</v>
      </c>
      <c r="D894">
        <v>5.13</v>
      </c>
      <c r="E894">
        <v>3.03</v>
      </c>
      <c r="F894">
        <v>0.76</v>
      </c>
      <c r="G894">
        <v>0</v>
      </c>
      <c r="H894">
        <v>0</v>
      </c>
      <c r="I894">
        <v>0</v>
      </c>
      <c r="J894">
        <v>2.87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1</v>
      </c>
      <c r="W894">
        <v>840</v>
      </c>
      <c r="X894">
        <v>0</v>
      </c>
      <c r="Y894">
        <v>0</v>
      </c>
      <c r="Z894">
        <v>1</v>
      </c>
      <c r="AA894">
        <v>0</v>
      </c>
      <c r="AB894">
        <v>0</v>
      </c>
      <c r="AC894">
        <v>700</v>
      </c>
      <c r="AD894">
        <v>1</v>
      </c>
      <c r="AE894">
        <v>0</v>
      </c>
      <c r="AF894">
        <v>1</v>
      </c>
      <c r="AG894">
        <v>0</v>
      </c>
      <c r="AH894">
        <v>0</v>
      </c>
      <c r="AI894">
        <v>0</v>
      </c>
      <c r="AJ894">
        <v>0</v>
      </c>
      <c r="AK894">
        <v>0</v>
      </c>
      <c r="AL894">
        <v>0</v>
      </c>
      <c r="AM894">
        <v>0</v>
      </c>
      <c r="AN894">
        <v>0</v>
      </c>
      <c r="AO894">
        <v>0</v>
      </c>
      <c r="AP894">
        <v>0</v>
      </c>
      <c r="AQ894">
        <v>0</v>
      </c>
      <c r="AR894">
        <v>0</v>
      </c>
      <c r="AS894">
        <v>0</v>
      </c>
      <c r="AT894">
        <f t="shared" si="41"/>
        <v>-1.8838999999999997</v>
      </c>
      <c r="AU894">
        <f t="shared" si="39"/>
        <v>5.6083333333333334</v>
      </c>
      <c r="AV894">
        <f t="shared" si="40"/>
        <v>828.02</v>
      </c>
      <c r="AX894">
        <v>1007.72</v>
      </c>
      <c r="AY894">
        <v>1023.63</v>
      </c>
      <c r="AZ894">
        <v>13.2879</v>
      </c>
      <c r="BC894" t="s">
        <v>108</v>
      </c>
    </row>
    <row r="895" spans="3:55" x14ac:dyDescent="0.45">
      <c r="C895">
        <v>88.21</v>
      </c>
      <c r="D895">
        <v>5.13</v>
      </c>
      <c r="E895">
        <v>3.03</v>
      </c>
      <c r="F895">
        <v>0.76</v>
      </c>
      <c r="G895">
        <v>0</v>
      </c>
      <c r="H895">
        <v>0</v>
      </c>
      <c r="I895">
        <v>0</v>
      </c>
      <c r="J895">
        <v>2.87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1</v>
      </c>
      <c r="W895">
        <v>0</v>
      </c>
      <c r="X895">
        <v>0</v>
      </c>
      <c r="Y895">
        <v>0</v>
      </c>
      <c r="Z895">
        <v>1</v>
      </c>
      <c r="AA895">
        <v>0</v>
      </c>
      <c r="AB895">
        <v>0</v>
      </c>
      <c r="AC895">
        <v>800</v>
      </c>
      <c r="AD895">
        <v>1</v>
      </c>
      <c r="AE895">
        <v>0</v>
      </c>
      <c r="AF895">
        <v>1</v>
      </c>
      <c r="AG895">
        <v>0</v>
      </c>
      <c r="AH895">
        <v>0</v>
      </c>
      <c r="AI895">
        <v>0</v>
      </c>
      <c r="AJ895">
        <v>0</v>
      </c>
      <c r="AK895">
        <v>0</v>
      </c>
      <c r="AL895">
        <v>0</v>
      </c>
      <c r="AM895">
        <v>0</v>
      </c>
      <c r="AN895">
        <v>0</v>
      </c>
      <c r="AO895">
        <v>0</v>
      </c>
      <c r="AP895">
        <v>0</v>
      </c>
      <c r="AQ895">
        <v>0</v>
      </c>
      <c r="AR895">
        <v>0</v>
      </c>
      <c r="AS895">
        <v>0</v>
      </c>
      <c r="AT895">
        <f t="shared" si="41"/>
        <v>-1.8838999999999997</v>
      </c>
      <c r="AU895">
        <f t="shared" si="39"/>
        <v>5.6083333333333334</v>
      </c>
      <c r="AV895">
        <f t="shared" si="40"/>
        <v>828.02</v>
      </c>
      <c r="AX895">
        <v>820.22500000000002</v>
      </c>
      <c r="AY895">
        <v>862.92100000000005</v>
      </c>
      <c r="AZ895">
        <v>19.103100000000001</v>
      </c>
      <c r="BC895" t="s">
        <v>108</v>
      </c>
    </row>
    <row r="896" spans="3:55" x14ac:dyDescent="0.45">
      <c r="C896">
        <v>88.21</v>
      </c>
      <c r="D896">
        <v>5.13</v>
      </c>
      <c r="E896">
        <v>3.03</v>
      </c>
      <c r="F896">
        <v>0.76</v>
      </c>
      <c r="G896">
        <v>0</v>
      </c>
      <c r="H896">
        <v>0</v>
      </c>
      <c r="I896">
        <v>0</v>
      </c>
      <c r="J896">
        <v>2.87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1</v>
      </c>
      <c r="W896">
        <v>950</v>
      </c>
      <c r="X896">
        <v>0</v>
      </c>
      <c r="Y896">
        <v>0</v>
      </c>
      <c r="Z896">
        <v>1</v>
      </c>
      <c r="AA896">
        <v>0</v>
      </c>
      <c r="AB896">
        <v>0</v>
      </c>
      <c r="AC896">
        <v>800</v>
      </c>
      <c r="AD896">
        <v>1</v>
      </c>
      <c r="AE896">
        <v>0</v>
      </c>
      <c r="AF896">
        <v>1</v>
      </c>
      <c r="AG896">
        <v>0</v>
      </c>
      <c r="AH896">
        <v>0</v>
      </c>
      <c r="AI896">
        <v>0</v>
      </c>
      <c r="AJ896">
        <v>0</v>
      </c>
      <c r="AK896">
        <v>0</v>
      </c>
      <c r="AL896">
        <v>0</v>
      </c>
      <c r="AM896">
        <v>0</v>
      </c>
      <c r="AN896">
        <v>0</v>
      </c>
      <c r="AO896">
        <v>0</v>
      </c>
      <c r="AP896">
        <v>0</v>
      </c>
      <c r="AQ896">
        <v>0</v>
      </c>
      <c r="AR896">
        <v>0</v>
      </c>
      <c r="AS896">
        <v>0</v>
      </c>
      <c r="AT896">
        <f t="shared" si="41"/>
        <v>-1.8838999999999997</v>
      </c>
      <c r="AU896">
        <f t="shared" si="39"/>
        <v>5.6083333333333334</v>
      </c>
      <c r="AV896">
        <f t="shared" si="40"/>
        <v>828.02</v>
      </c>
      <c r="AX896">
        <v>892.16399999999999</v>
      </c>
      <c r="AY896">
        <v>945.31299999999999</v>
      </c>
      <c r="AZ896">
        <v>17.601400000000002</v>
      </c>
      <c r="BC896" t="s">
        <v>108</v>
      </c>
    </row>
    <row r="897" spans="3:55" x14ac:dyDescent="0.45">
      <c r="C897">
        <v>88.21</v>
      </c>
      <c r="D897">
        <v>5.13</v>
      </c>
      <c r="E897">
        <v>3.03</v>
      </c>
      <c r="F897">
        <v>0.76</v>
      </c>
      <c r="G897">
        <v>0</v>
      </c>
      <c r="H897">
        <v>0</v>
      </c>
      <c r="I897">
        <v>0</v>
      </c>
      <c r="J897">
        <v>2.87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1</v>
      </c>
      <c r="W897">
        <v>890</v>
      </c>
      <c r="X897">
        <v>0</v>
      </c>
      <c r="Y897">
        <v>0</v>
      </c>
      <c r="Z897">
        <v>1</v>
      </c>
      <c r="AA897">
        <v>0</v>
      </c>
      <c r="AB897">
        <v>0</v>
      </c>
      <c r="AC897">
        <v>800</v>
      </c>
      <c r="AD897">
        <v>1</v>
      </c>
      <c r="AE897">
        <v>0</v>
      </c>
      <c r="AF897">
        <v>1</v>
      </c>
      <c r="AG897">
        <v>0</v>
      </c>
      <c r="AH897">
        <v>0</v>
      </c>
      <c r="AI897">
        <v>0</v>
      </c>
      <c r="AJ897">
        <v>0</v>
      </c>
      <c r="AK897">
        <v>0</v>
      </c>
      <c r="AL897">
        <v>0</v>
      </c>
      <c r="AM897">
        <v>0</v>
      </c>
      <c r="AN897">
        <v>0</v>
      </c>
      <c r="AO897">
        <v>0</v>
      </c>
      <c r="AP897">
        <v>0</v>
      </c>
      <c r="AQ897">
        <v>0</v>
      </c>
      <c r="AR897">
        <v>0</v>
      </c>
      <c r="AS897">
        <v>0</v>
      </c>
      <c r="AT897">
        <f t="shared" si="41"/>
        <v>-1.8838999999999997</v>
      </c>
      <c r="AU897">
        <f t="shared" si="39"/>
        <v>5.6083333333333334</v>
      </c>
      <c r="AV897">
        <f t="shared" si="40"/>
        <v>828.02</v>
      </c>
      <c r="AX897">
        <v>771.59400000000005</v>
      </c>
      <c r="AY897">
        <v>880.61400000000003</v>
      </c>
      <c r="AZ897">
        <v>18.973199999999999</v>
      </c>
      <c r="BC897" t="s">
        <v>108</v>
      </c>
    </row>
    <row r="898" spans="3:55" x14ac:dyDescent="0.45">
      <c r="C898">
        <v>88.21</v>
      </c>
      <c r="D898">
        <v>5.13</v>
      </c>
      <c r="E898">
        <v>3.03</v>
      </c>
      <c r="F898">
        <v>0.76</v>
      </c>
      <c r="G898">
        <v>0</v>
      </c>
      <c r="H898">
        <v>0</v>
      </c>
      <c r="I898">
        <v>0</v>
      </c>
      <c r="J898">
        <v>2.87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1</v>
      </c>
      <c r="W898">
        <v>840</v>
      </c>
      <c r="X898">
        <v>0</v>
      </c>
      <c r="Y898">
        <v>0</v>
      </c>
      <c r="Z898">
        <v>1</v>
      </c>
      <c r="AA898">
        <v>0</v>
      </c>
      <c r="AB898">
        <v>0</v>
      </c>
      <c r="AC898">
        <v>800</v>
      </c>
      <c r="AD898">
        <v>1</v>
      </c>
      <c r="AE898">
        <v>0</v>
      </c>
      <c r="AF898">
        <v>1</v>
      </c>
      <c r="AG898">
        <v>0</v>
      </c>
      <c r="AH898">
        <v>0</v>
      </c>
      <c r="AI898">
        <v>0</v>
      </c>
      <c r="AJ898">
        <v>0</v>
      </c>
      <c r="AK898">
        <v>0</v>
      </c>
      <c r="AL898">
        <v>0</v>
      </c>
      <c r="AM898">
        <v>0</v>
      </c>
      <c r="AN898">
        <v>0</v>
      </c>
      <c r="AO898">
        <v>0</v>
      </c>
      <c r="AP898">
        <v>0</v>
      </c>
      <c r="AQ898">
        <v>0</v>
      </c>
      <c r="AR898">
        <v>0</v>
      </c>
      <c r="AS898">
        <v>0</v>
      </c>
      <c r="AT898">
        <f t="shared" si="41"/>
        <v>-1.8838999999999997</v>
      </c>
      <c r="AU898">
        <f t="shared" ref="AU898:AU961" si="42">D898+J898/6+M898/3+(T898+S898)/10</f>
        <v>5.6083333333333334</v>
      </c>
      <c r="AV898">
        <f t="shared" ref="AV898:AV961" si="43">882+2.1*D898-9.5*L898+4.2*M898-6.9*J898-11.8*E898-12.1*F898-15.4*H898+23.3*Q898+123*T898</f>
        <v>828.02</v>
      </c>
      <c r="AX898">
        <v>949.90099999999995</v>
      </c>
      <c r="AY898">
        <v>964.53</v>
      </c>
      <c r="AZ898">
        <v>14.9915</v>
      </c>
      <c r="BC898" t="s">
        <v>108</v>
      </c>
    </row>
    <row r="899" spans="3:55" x14ac:dyDescent="0.45">
      <c r="C899">
        <v>88.21</v>
      </c>
      <c r="D899">
        <v>5.13</v>
      </c>
      <c r="E899">
        <v>3.03</v>
      </c>
      <c r="F899">
        <v>0.76</v>
      </c>
      <c r="G899">
        <v>0</v>
      </c>
      <c r="H899">
        <v>0</v>
      </c>
      <c r="I899">
        <v>0</v>
      </c>
      <c r="J899">
        <v>2.87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1</v>
      </c>
      <c r="W899">
        <v>0</v>
      </c>
      <c r="X899">
        <v>0</v>
      </c>
      <c r="Y899">
        <v>0</v>
      </c>
      <c r="Z899">
        <v>1</v>
      </c>
      <c r="AA899">
        <v>0</v>
      </c>
      <c r="AB899">
        <v>0</v>
      </c>
      <c r="AC899">
        <v>900</v>
      </c>
      <c r="AD899">
        <v>1</v>
      </c>
      <c r="AE899">
        <v>0</v>
      </c>
      <c r="AF899">
        <v>1</v>
      </c>
      <c r="AG899">
        <v>0</v>
      </c>
      <c r="AH899">
        <v>0</v>
      </c>
      <c r="AI899">
        <v>0</v>
      </c>
      <c r="AJ899">
        <v>0</v>
      </c>
      <c r="AK899">
        <v>0</v>
      </c>
      <c r="AL899">
        <v>0</v>
      </c>
      <c r="AM899">
        <v>0</v>
      </c>
      <c r="AN899">
        <v>0</v>
      </c>
      <c r="AO899">
        <v>0</v>
      </c>
      <c r="AP899">
        <v>0</v>
      </c>
      <c r="AQ899">
        <v>0</v>
      </c>
      <c r="AR899">
        <v>0</v>
      </c>
      <c r="AS899">
        <v>0</v>
      </c>
      <c r="AT899">
        <f t="shared" ref="AT899:AT962" si="44">L899+0.67*E899+0.44*P899+0.28*K899+0.22*O899+2.9*H899+1.6*F899+1.7*G899-D899</f>
        <v>-1.8838999999999997</v>
      </c>
      <c r="AU899">
        <f t="shared" si="42"/>
        <v>5.6083333333333334</v>
      </c>
      <c r="AV899">
        <f t="shared" si="43"/>
        <v>828.02</v>
      </c>
      <c r="AX899">
        <v>786.51700000000005</v>
      </c>
      <c r="AY899">
        <v>856.18</v>
      </c>
      <c r="AZ899">
        <v>19.372199999999999</v>
      </c>
      <c r="BC899" t="s">
        <v>108</v>
      </c>
    </row>
    <row r="900" spans="3:55" x14ac:dyDescent="0.45">
      <c r="C900">
        <v>88.21</v>
      </c>
      <c r="D900">
        <v>5.13</v>
      </c>
      <c r="E900">
        <v>3.03</v>
      </c>
      <c r="F900">
        <v>0.76</v>
      </c>
      <c r="G900">
        <v>0</v>
      </c>
      <c r="H900">
        <v>0</v>
      </c>
      <c r="I900">
        <v>0</v>
      </c>
      <c r="J900">
        <v>2.87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1</v>
      </c>
      <c r="W900">
        <v>950</v>
      </c>
      <c r="X900">
        <v>0</v>
      </c>
      <c r="Y900">
        <v>0</v>
      </c>
      <c r="Z900">
        <v>1</v>
      </c>
      <c r="AA900">
        <v>0</v>
      </c>
      <c r="AB900">
        <v>0</v>
      </c>
      <c r="AC900">
        <v>900</v>
      </c>
      <c r="AD900">
        <v>1</v>
      </c>
      <c r="AE900">
        <v>0</v>
      </c>
      <c r="AF900">
        <v>1</v>
      </c>
      <c r="AG900">
        <v>0</v>
      </c>
      <c r="AH900">
        <v>0</v>
      </c>
      <c r="AI900">
        <v>0</v>
      </c>
      <c r="AJ900">
        <v>0</v>
      </c>
      <c r="AK900">
        <v>0</v>
      </c>
      <c r="AL900">
        <v>0</v>
      </c>
      <c r="AM900">
        <v>0</v>
      </c>
      <c r="AN900">
        <v>0</v>
      </c>
      <c r="AO900">
        <v>0</v>
      </c>
      <c r="AP900">
        <v>0</v>
      </c>
      <c r="AQ900">
        <v>0</v>
      </c>
      <c r="AR900">
        <v>0</v>
      </c>
      <c r="AS900">
        <v>0</v>
      </c>
      <c r="AT900">
        <f t="shared" si="44"/>
        <v>-1.8838999999999997</v>
      </c>
      <c r="AU900">
        <f t="shared" si="42"/>
        <v>5.6083333333333334</v>
      </c>
      <c r="AV900">
        <f t="shared" si="43"/>
        <v>828.02</v>
      </c>
      <c r="AX900">
        <v>864.73</v>
      </c>
      <c r="AY900">
        <v>934.75099999999998</v>
      </c>
      <c r="AZ900">
        <v>17.8843</v>
      </c>
      <c r="BC900" t="s">
        <v>108</v>
      </c>
    </row>
    <row r="901" spans="3:55" x14ac:dyDescent="0.45">
      <c r="C901">
        <v>88.21</v>
      </c>
      <c r="D901">
        <v>5.13</v>
      </c>
      <c r="E901">
        <v>3.03</v>
      </c>
      <c r="F901">
        <v>0.76</v>
      </c>
      <c r="G901">
        <v>0</v>
      </c>
      <c r="H901">
        <v>0</v>
      </c>
      <c r="I901">
        <v>0</v>
      </c>
      <c r="J901">
        <v>2.87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1</v>
      </c>
      <c r="W901">
        <v>890</v>
      </c>
      <c r="X901">
        <v>0</v>
      </c>
      <c r="Y901">
        <v>0</v>
      </c>
      <c r="Z901">
        <v>1</v>
      </c>
      <c r="AA901">
        <v>0</v>
      </c>
      <c r="AB901">
        <v>0</v>
      </c>
      <c r="AC901">
        <v>900</v>
      </c>
      <c r="AD901">
        <v>1</v>
      </c>
      <c r="AE901">
        <v>0</v>
      </c>
      <c r="AF901">
        <v>1</v>
      </c>
      <c r="AG901">
        <v>0</v>
      </c>
      <c r="AH901">
        <v>0</v>
      </c>
      <c r="AI901">
        <v>0</v>
      </c>
      <c r="AJ901">
        <v>0</v>
      </c>
      <c r="AK901">
        <v>0</v>
      </c>
      <c r="AL901">
        <v>0</v>
      </c>
      <c r="AM901">
        <v>0</v>
      </c>
      <c r="AN901">
        <v>0</v>
      </c>
      <c r="AO901">
        <v>0</v>
      </c>
      <c r="AP901">
        <v>0</v>
      </c>
      <c r="AQ901">
        <v>0</v>
      </c>
      <c r="AR901">
        <v>0</v>
      </c>
      <c r="AS901">
        <v>0</v>
      </c>
      <c r="AT901">
        <f t="shared" si="44"/>
        <v>-1.8838999999999997</v>
      </c>
      <c r="AU901">
        <f t="shared" si="42"/>
        <v>5.6083333333333334</v>
      </c>
      <c r="AV901">
        <f t="shared" si="43"/>
        <v>828.02</v>
      </c>
      <c r="AX901">
        <v>746.005</v>
      </c>
      <c r="AY901">
        <v>870.37199999999996</v>
      </c>
      <c r="AZ901">
        <v>17.207699999999999</v>
      </c>
      <c r="BC901" t="s">
        <v>108</v>
      </c>
    </row>
    <row r="902" spans="3:55" x14ac:dyDescent="0.45">
      <c r="C902">
        <v>88.21</v>
      </c>
      <c r="D902">
        <v>5.13</v>
      </c>
      <c r="E902">
        <v>3.03</v>
      </c>
      <c r="F902">
        <v>0.76</v>
      </c>
      <c r="G902">
        <v>0</v>
      </c>
      <c r="H902">
        <v>0</v>
      </c>
      <c r="I902">
        <v>0</v>
      </c>
      <c r="J902">
        <v>2.87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1</v>
      </c>
      <c r="W902">
        <v>840</v>
      </c>
      <c r="X902">
        <v>0</v>
      </c>
      <c r="Y902">
        <v>0</v>
      </c>
      <c r="Z902">
        <v>1</v>
      </c>
      <c r="AA902">
        <v>0</v>
      </c>
      <c r="AB902">
        <v>0</v>
      </c>
      <c r="AC902">
        <v>900</v>
      </c>
      <c r="AD902">
        <v>1</v>
      </c>
      <c r="AE902">
        <v>0</v>
      </c>
      <c r="AF902">
        <v>1</v>
      </c>
      <c r="AG902">
        <v>0</v>
      </c>
      <c r="AH902">
        <v>0</v>
      </c>
      <c r="AI902">
        <v>0</v>
      </c>
      <c r="AJ902">
        <v>0</v>
      </c>
      <c r="AK902">
        <v>0</v>
      </c>
      <c r="AL902">
        <v>0</v>
      </c>
      <c r="AM902">
        <v>0</v>
      </c>
      <c r="AN902">
        <v>0</v>
      </c>
      <c r="AO902">
        <v>0</v>
      </c>
      <c r="AP902">
        <v>0</v>
      </c>
      <c r="AQ902">
        <v>0</v>
      </c>
      <c r="AR902">
        <v>0</v>
      </c>
      <c r="AS902">
        <v>0</v>
      </c>
      <c r="AT902">
        <f t="shared" si="44"/>
        <v>-1.8838999999999997</v>
      </c>
      <c r="AU902">
        <f t="shared" si="42"/>
        <v>5.6083333333333334</v>
      </c>
      <c r="AV902">
        <f t="shared" si="43"/>
        <v>828.02</v>
      </c>
      <c r="AX902">
        <v>935.35400000000004</v>
      </c>
      <c r="AY902">
        <v>969.71199999999999</v>
      </c>
      <c r="AZ902">
        <v>15.3322</v>
      </c>
      <c r="BC902" t="s">
        <v>108</v>
      </c>
    </row>
    <row r="903" spans="3:55" x14ac:dyDescent="0.45">
      <c r="C903">
        <v>88.21</v>
      </c>
      <c r="D903">
        <v>5.13</v>
      </c>
      <c r="E903">
        <v>3.03</v>
      </c>
      <c r="F903">
        <v>0.76</v>
      </c>
      <c r="G903">
        <v>0</v>
      </c>
      <c r="H903">
        <v>0</v>
      </c>
      <c r="I903">
        <v>0</v>
      </c>
      <c r="J903">
        <v>2.87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1</v>
      </c>
      <c r="W903">
        <v>0</v>
      </c>
      <c r="X903">
        <v>0</v>
      </c>
      <c r="Y903">
        <v>0</v>
      </c>
      <c r="Z903">
        <v>1</v>
      </c>
      <c r="AA903">
        <v>0</v>
      </c>
      <c r="AB903">
        <v>0</v>
      </c>
      <c r="AC903">
        <v>950</v>
      </c>
      <c r="AD903">
        <v>1</v>
      </c>
      <c r="AE903">
        <v>0</v>
      </c>
      <c r="AF903">
        <v>1</v>
      </c>
      <c r="AG903">
        <v>0</v>
      </c>
      <c r="AH903">
        <v>0</v>
      </c>
      <c r="AI903">
        <v>0</v>
      </c>
      <c r="AJ903">
        <v>0</v>
      </c>
      <c r="AK903">
        <v>0</v>
      </c>
      <c r="AL903">
        <v>0</v>
      </c>
      <c r="AM903">
        <v>0</v>
      </c>
      <c r="AN903">
        <v>0</v>
      </c>
      <c r="AO903">
        <v>0</v>
      </c>
      <c r="AP903">
        <v>0</v>
      </c>
      <c r="AQ903">
        <v>0</v>
      </c>
      <c r="AR903">
        <v>0</v>
      </c>
      <c r="AS903">
        <v>0</v>
      </c>
      <c r="AT903">
        <f t="shared" si="44"/>
        <v>-1.8838999999999997</v>
      </c>
      <c r="AU903">
        <f t="shared" si="42"/>
        <v>5.6083333333333334</v>
      </c>
      <c r="AV903">
        <f t="shared" si="43"/>
        <v>828.02</v>
      </c>
      <c r="AX903">
        <v>730.33699999999999</v>
      </c>
      <c r="AY903">
        <v>874.15700000000004</v>
      </c>
      <c r="AZ903">
        <v>15.605399999999999</v>
      </c>
      <c r="BC903" t="s">
        <v>108</v>
      </c>
    </row>
    <row r="904" spans="3:55" x14ac:dyDescent="0.45">
      <c r="C904">
        <v>88.21</v>
      </c>
      <c r="D904">
        <v>5.13</v>
      </c>
      <c r="E904">
        <v>3.03</v>
      </c>
      <c r="F904">
        <v>0.76</v>
      </c>
      <c r="G904">
        <v>0</v>
      </c>
      <c r="H904">
        <v>0</v>
      </c>
      <c r="I904">
        <v>0</v>
      </c>
      <c r="J904">
        <v>2.87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1</v>
      </c>
      <c r="W904">
        <v>840</v>
      </c>
      <c r="X904">
        <v>0</v>
      </c>
      <c r="Y904">
        <v>0</v>
      </c>
      <c r="Z904">
        <v>1</v>
      </c>
      <c r="AA904">
        <v>0</v>
      </c>
      <c r="AB904">
        <v>0</v>
      </c>
      <c r="AC904">
        <v>950</v>
      </c>
      <c r="AD904">
        <v>1</v>
      </c>
      <c r="AE904">
        <v>0</v>
      </c>
      <c r="AF904">
        <v>1</v>
      </c>
      <c r="AG904">
        <v>0</v>
      </c>
      <c r="AH904">
        <v>0</v>
      </c>
      <c r="AI904">
        <v>0</v>
      </c>
      <c r="AJ904">
        <v>0</v>
      </c>
      <c r="AK904">
        <v>0</v>
      </c>
      <c r="AL904">
        <v>0</v>
      </c>
      <c r="AM904">
        <v>0</v>
      </c>
      <c r="AN904">
        <v>0</v>
      </c>
      <c r="AO904">
        <v>0</v>
      </c>
      <c r="AP904">
        <v>0</v>
      </c>
      <c r="AQ904">
        <v>0</v>
      </c>
      <c r="AR904">
        <v>0</v>
      </c>
      <c r="AS904">
        <v>0</v>
      </c>
      <c r="AT904">
        <f t="shared" si="44"/>
        <v>-1.8838999999999997</v>
      </c>
      <c r="AU904">
        <f t="shared" si="42"/>
        <v>5.6083333333333334</v>
      </c>
      <c r="AV904">
        <f t="shared" si="43"/>
        <v>828.02</v>
      </c>
      <c r="AX904">
        <v>833.26900000000001</v>
      </c>
      <c r="AY904">
        <v>912.81700000000001</v>
      </c>
      <c r="AZ904">
        <v>13.1175</v>
      </c>
      <c r="BC904" t="s">
        <v>108</v>
      </c>
    </row>
    <row r="905" spans="3:55" x14ac:dyDescent="0.45">
      <c r="C905">
        <v>87.57</v>
      </c>
      <c r="D905">
        <v>4.97</v>
      </c>
      <c r="E905">
        <v>3.11</v>
      </c>
      <c r="F905">
        <v>1.52</v>
      </c>
      <c r="G905">
        <v>0</v>
      </c>
      <c r="H905">
        <v>0</v>
      </c>
      <c r="I905">
        <v>0</v>
      </c>
      <c r="J905">
        <v>2.83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1</v>
      </c>
      <c r="Z905">
        <v>0</v>
      </c>
      <c r="AA905">
        <v>0</v>
      </c>
      <c r="AB905">
        <v>0</v>
      </c>
      <c r="AC905">
        <v>700</v>
      </c>
      <c r="AD905">
        <v>1</v>
      </c>
      <c r="AE905">
        <v>0</v>
      </c>
      <c r="AF905">
        <v>1</v>
      </c>
      <c r="AG905">
        <v>0</v>
      </c>
      <c r="AH905">
        <v>0</v>
      </c>
      <c r="AI905">
        <v>0</v>
      </c>
      <c r="AJ905">
        <v>0</v>
      </c>
      <c r="AK905">
        <v>0</v>
      </c>
      <c r="AL905">
        <v>0</v>
      </c>
      <c r="AM905">
        <v>0</v>
      </c>
      <c r="AN905">
        <v>0</v>
      </c>
      <c r="AO905">
        <v>0</v>
      </c>
      <c r="AP905">
        <v>0</v>
      </c>
      <c r="AQ905">
        <v>0</v>
      </c>
      <c r="AR905">
        <v>0</v>
      </c>
      <c r="AS905">
        <v>0</v>
      </c>
      <c r="AT905">
        <f t="shared" si="44"/>
        <v>-0.45429999999999904</v>
      </c>
      <c r="AU905">
        <f t="shared" si="42"/>
        <v>5.4416666666666664</v>
      </c>
      <c r="AV905">
        <f t="shared" si="43"/>
        <v>817.81999999999994</v>
      </c>
      <c r="AX905">
        <v>865.71100000000001</v>
      </c>
      <c r="AY905">
        <v>901.26700000000005</v>
      </c>
      <c r="AZ905">
        <v>18.482099999999999</v>
      </c>
      <c r="BC905" t="s">
        <v>108</v>
      </c>
    </row>
    <row r="906" spans="3:55" x14ac:dyDescent="0.45">
      <c r="C906">
        <v>87.57</v>
      </c>
      <c r="D906">
        <v>4.97</v>
      </c>
      <c r="E906">
        <v>3.11</v>
      </c>
      <c r="F906">
        <v>1.52</v>
      </c>
      <c r="G906">
        <v>0</v>
      </c>
      <c r="H906">
        <v>0</v>
      </c>
      <c r="I906">
        <v>0</v>
      </c>
      <c r="J906">
        <v>2.83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1</v>
      </c>
      <c r="Z906">
        <v>0</v>
      </c>
      <c r="AA906">
        <v>0</v>
      </c>
      <c r="AB906">
        <v>0</v>
      </c>
      <c r="AC906">
        <v>800</v>
      </c>
      <c r="AD906">
        <v>1</v>
      </c>
      <c r="AE906">
        <v>0</v>
      </c>
      <c r="AF906">
        <v>1</v>
      </c>
      <c r="AG906">
        <v>0</v>
      </c>
      <c r="AH906">
        <v>0</v>
      </c>
      <c r="AI906">
        <v>0</v>
      </c>
      <c r="AJ906">
        <v>0</v>
      </c>
      <c r="AK906">
        <v>0</v>
      </c>
      <c r="AL906">
        <v>0</v>
      </c>
      <c r="AM906">
        <v>0</v>
      </c>
      <c r="AN906">
        <v>0</v>
      </c>
      <c r="AO906">
        <v>0</v>
      </c>
      <c r="AP906">
        <v>0</v>
      </c>
      <c r="AQ906">
        <v>0</v>
      </c>
      <c r="AR906">
        <v>0</v>
      </c>
      <c r="AS906">
        <v>0</v>
      </c>
      <c r="AT906">
        <f t="shared" si="44"/>
        <v>-0.45429999999999904</v>
      </c>
      <c r="AU906">
        <f t="shared" si="42"/>
        <v>5.4416666666666664</v>
      </c>
      <c r="AV906">
        <f t="shared" si="43"/>
        <v>817.81999999999994</v>
      </c>
      <c r="AX906">
        <v>843.803</v>
      </c>
      <c r="AY906">
        <v>903.82600000000002</v>
      </c>
      <c r="AZ906">
        <v>19.017900000000001</v>
      </c>
      <c r="BC906" t="s">
        <v>108</v>
      </c>
    </row>
    <row r="907" spans="3:55" x14ac:dyDescent="0.45">
      <c r="C907">
        <v>87.57</v>
      </c>
      <c r="D907">
        <v>4.97</v>
      </c>
      <c r="E907">
        <v>3.11</v>
      </c>
      <c r="F907">
        <v>1.52</v>
      </c>
      <c r="G907">
        <v>0</v>
      </c>
      <c r="H907">
        <v>0</v>
      </c>
      <c r="I907">
        <v>0</v>
      </c>
      <c r="J907">
        <v>2.83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1</v>
      </c>
      <c r="Z907">
        <v>0</v>
      </c>
      <c r="AA907">
        <v>0</v>
      </c>
      <c r="AB907">
        <v>0</v>
      </c>
      <c r="AC907">
        <v>900</v>
      </c>
      <c r="AD907">
        <v>1</v>
      </c>
      <c r="AE907">
        <v>0</v>
      </c>
      <c r="AF907">
        <v>1</v>
      </c>
      <c r="AG907">
        <v>0</v>
      </c>
      <c r="AH907">
        <v>0</v>
      </c>
      <c r="AI907">
        <v>0</v>
      </c>
      <c r="AJ907">
        <v>0</v>
      </c>
      <c r="AK907">
        <v>0</v>
      </c>
      <c r="AL907">
        <v>0</v>
      </c>
      <c r="AM907">
        <v>0</v>
      </c>
      <c r="AN907">
        <v>0</v>
      </c>
      <c r="AO907">
        <v>0</v>
      </c>
      <c r="AP907">
        <v>0</v>
      </c>
      <c r="AQ907">
        <v>0</v>
      </c>
      <c r="AR907">
        <v>0</v>
      </c>
      <c r="AS907">
        <v>0</v>
      </c>
      <c r="AT907">
        <f t="shared" si="44"/>
        <v>-0.45429999999999904</v>
      </c>
      <c r="AU907">
        <f t="shared" si="42"/>
        <v>5.4416666666666664</v>
      </c>
      <c r="AV907">
        <f t="shared" si="43"/>
        <v>817.81999999999994</v>
      </c>
      <c r="AX907">
        <v>806.33900000000006</v>
      </c>
      <c r="AY907">
        <v>893.01800000000003</v>
      </c>
      <c r="AZ907">
        <v>18.75</v>
      </c>
      <c r="BC907" t="s">
        <v>108</v>
      </c>
    </row>
    <row r="908" spans="3:55" x14ac:dyDescent="0.45">
      <c r="C908">
        <v>87.57</v>
      </c>
      <c r="D908">
        <v>4.97</v>
      </c>
      <c r="E908">
        <v>3.11</v>
      </c>
      <c r="F908">
        <v>1.52</v>
      </c>
      <c r="G908">
        <v>0</v>
      </c>
      <c r="H908">
        <v>0</v>
      </c>
      <c r="I908">
        <v>0</v>
      </c>
      <c r="J908">
        <v>2.83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1</v>
      </c>
      <c r="Z908">
        <v>0</v>
      </c>
      <c r="AA908">
        <v>0</v>
      </c>
      <c r="AB908">
        <v>0</v>
      </c>
      <c r="AC908">
        <v>950</v>
      </c>
      <c r="AD908">
        <v>1</v>
      </c>
      <c r="AE908">
        <v>0</v>
      </c>
      <c r="AF908">
        <v>1</v>
      </c>
      <c r="AG908">
        <v>0</v>
      </c>
      <c r="AH908">
        <v>0</v>
      </c>
      <c r="AI908">
        <v>0</v>
      </c>
      <c r="AJ908">
        <v>0</v>
      </c>
      <c r="AK908">
        <v>0</v>
      </c>
      <c r="AL908">
        <v>0</v>
      </c>
      <c r="AM908">
        <v>0</v>
      </c>
      <c r="AN908">
        <v>0</v>
      </c>
      <c r="AO908">
        <v>0</v>
      </c>
      <c r="AP908">
        <v>0</v>
      </c>
      <c r="AQ908">
        <v>0</v>
      </c>
      <c r="AR908">
        <v>0</v>
      </c>
      <c r="AS908">
        <v>0</v>
      </c>
      <c r="AT908">
        <f t="shared" si="44"/>
        <v>-0.45429999999999904</v>
      </c>
      <c r="AU908">
        <f t="shared" si="42"/>
        <v>5.4416666666666664</v>
      </c>
      <c r="AV908">
        <f t="shared" si="43"/>
        <v>817.81999999999994</v>
      </c>
      <c r="AX908">
        <v>727.65</v>
      </c>
      <c r="AY908">
        <v>883.16399999999999</v>
      </c>
      <c r="AZ908">
        <v>18.214300000000001</v>
      </c>
      <c r="BC908" t="s">
        <v>108</v>
      </c>
    </row>
    <row r="909" spans="3:55" x14ac:dyDescent="0.45">
      <c r="C909">
        <v>84.62</v>
      </c>
      <c r="D909">
        <v>5.21</v>
      </c>
      <c r="E909">
        <v>0</v>
      </c>
      <c r="F909">
        <v>4.05</v>
      </c>
      <c r="G909">
        <v>0</v>
      </c>
      <c r="H909">
        <v>0</v>
      </c>
      <c r="I909">
        <v>0</v>
      </c>
      <c r="J909">
        <v>0</v>
      </c>
      <c r="K909">
        <v>0</v>
      </c>
      <c r="L909">
        <v>4.0599999999999996</v>
      </c>
      <c r="M909">
        <v>2.06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1</v>
      </c>
      <c r="W909">
        <v>908</v>
      </c>
      <c r="X909">
        <v>60</v>
      </c>
      <c r="Y909">
        <v>0</v>
      </c>
      <c r="Z909">
        <v>0</v>
      </c>
      <c r="AA909">
        <v>0</v>
      </c>
      <c r="AB909">
        <v>0</v>
      </c>
      <c r="AC909">
        <v>800</v>
      </c>
      <c r="AD909">
        <v>4</v>
      </c>
      <c r="AE909">
        <v>1</v>
      </c>
      <c r="AF909">
        <v>0</v>
      </c>
      <c r="AG909">
        <v>0</v>
      </c>
      <c r="AH909">
        <v>640</v>
      </c>
      <c r="AI909">
        <v>8</v>
      </c>
      <c r="AJ909">
        <v>0</v>
      </c>
      <c r="AK909">
        <v>1</v>
      </c>
      <c r="AL909">
        <v>0</v>
      </c>
      <c r="AM909">
        <v>0</v>
      </c>
      <c r="AN909">
        <v>0</v>
      </c>
      <c r="AO909">
        <v>0</v>
      </c>
      <c r="AP909">
        <v>0</v>
      </c>
      <c r="AQ909">
        <v>0</v>
      </c>
      <c r="AR909">
        <v>0</v>
      </c>
      <c r="AS909">
        <v>0</v>
      </c>
      <c r="AT909">
        <f t="shared" si="44"/>
        <v>5.3299999999999992</v>
      </c>
      <c r="AU909">
        <f t="shared" si="42"/>
        <v>5.8966666666666665</v>
      </c>
      <c r="AV909">
        <f t="shared" si="43"/>
        <v>814.01800000000014</v>
      </c>
      <c r="AX909">
        <v>1184.5</v>
      </c>
      <c r="AY909">
        <v>1220</v>
      </c>
      <c r="AZ909">
        <v>11.75</v>
      </c>
      <c r="BC909" t="s">
        <v>108</v>
      </c>
    </row>
    <row r="910" spans="3:55" x14ac:dyDescent="0.45">
      <c r="C910">
        <v>84.62</v>
      </c>
      <c r="D910">
        <v>5.21</v>
      </c>
      <c r="E910">
        <v>0</v>
      </c>
      <c r="F910">
        <v>4.05</v>
      </c>
      <c r="G910">
        <v>0</v>
      </c>
      <c r="H910">
        <v>0</v>
      </c>
      <c r="I910">
        <v>0</v>
      </c>
      <c r="J910">
        <v>0</v>
      </c>
      <c r="K910">
        <v>0</v>
      </c>
      <c r="L910">
        <v>4.0599999999999996</v>
      </c>
      <c r="M910">
        <v>2.06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1</v>
      </c>
      <c r="W910">
        <v>918</v>
      </c>
      <c r="X910">
        <v>60</v>
      </c>
      <c r="Y910">
        <v>0</v>
      </c>
      <c r="Z910">
        <v>0</v>
      </c>
      <c r="AA910">
        <v>0</v>
      </c>
      <c r="AB910">
        <v>0</v>
      </c>
      <c r="AC910">
        <v>800</v>
      </c>
      <c r="AD910">
        <v>4</v>
      </c>
      <c r="AE910">
        <v>1</v>
      </c>
      <c r="AF910">
        <v>0</v>
      </c>
      <c r="AG910">
        <v>0</v>
      </c>
      <c r="AH910">
        <v>640</v>
      </c>
      <c r="AI910">
        <v>8</v>
      </c>
      <c r="AJ910">
        <v>0</v>
      </c>
      <c r="AK910">
        <v>1</v>
      </c>
      <c r="AL910">
        <v>0</v>
      </c>
      <c r="AM910">
        <v>0</v>
      </c>
      <c r="AN910">
        <v>0</v>
      </c>
      <c r="AO910">
        <v>0</v>
      </c>
      <c r="AP910">
        <v>0</v>
      </c>
      <c r="AQ910">
        <v>0</v>
      </c>
      <c r="AR910">
        <v>0</v>
      </c>
      <c r="AS910">
        <v>0</v>
      </c>
      <c r="AT910">
        <f t="shared" si="44"/>
        <v>5.3299999999999992</v>
      </c>
      <c r="AU910">
        <f t="shared" si="42"/>
        <v>5.8966666666666665</v>
      </c>
      <c r="AV910">
        <f t="shared" si="43"/>
        <v>814.01800000000014</v>
      </c>
      <c r="AX910">
        <v>1176</v>
      </c>
      <c r="AY910">
        <v>1208</v>
      </c>
      <c r="AZ910">
        <v>12.25</v>
      </c>
      <c r="BC910" t="s">
        <v>108</v>
      </c>
    </row>
    <row r="911" spans="3:55" x14ac:dyDescent="0.45">
      <c r="C911">
        <v>84.62</v>
      </c>
      <c r="D911">
        <v>5.21</v>
      </c>
      <c r="E911">
        <v>0</v>
      </c>
      <c r="F911">
        <v>4.05</v>
      </c>
      <c r="G911">
        <v>0</v>
      </c>
      <c r="H911">
        <v>0</v>
      </c>
      <c r="I911">
        <v>0</v>
      </c>
      <c r="J911">
        <v>0</v>
      </c>
      <c r="K911">
        <v>0</v>
      </c>
      <c r="L911">
        <v>4.0599999999999996</v>
      </c>
      <c r="M911">
        <v>2.06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1</v>
      </c>
      <c r="W911">
        <v>928</v>
      </c>
      <c r="X911">
        <v>60</v>
      </c>
      <c r="Y911">
        <v>0</v>
      </c>
      <c r="Z911">
        <v>0</v>
      </c>
      <c r="AA911">
        <v>0</v>
      </c>
      <c r="AB911">
        <v>0</v>
      </c>
      <c r="AC911">
        <v>800</v>
      </c>
      <c r="AD911">
        <v>4</v>
      </c>
      <c r="AE911">
        <v>1</v>
      </c>
      <c r="AF911">
        <v>0</v>
      </c>
      <c r="AG911">
        <v>0</v>
      </c>
      <c r="AH911">
        <v>640</v>
      </c>
      <c r="AI911">
        <v>8</v>
      </c>
      <c r="AJ911">
        <v>0</v>
      </c>
      <c r="AK911">
        <v>1</v>
      </c>
      <c r="AL911">
        <v>0</v>
      </c>
      <c r="AM911">
        <v>0</v>
      </c>
      <c r="AN911">
        <v>0</v>
      </c>
      <c r="AO911">
        <v>0</v>
      </c>
      <c r="AP911">
        <v>0</v>
      </c>
      <c r="AQ911">
        <v>0</v>
      </c>
      <c r="AR911">
        <v>0</v>
      </c>
      <c r="AS911">
        <v>0</v>
      </c>
      <c r="AT911">
        <f t="shared" si="44"/>
        <v>5.3299999999999992</v>
      </c>
      <c r="AU911">
        <f t="shared" si="42"/>
        <v>5.8966666666666665</v>
      </c>
      <c r="AV911">
        <f t="shared" si="43"/>
        <v>814.01800000000014</v>
      </c>
      <c r="AX911">
        <v>1224.5</v>
      </c>
      <c r="AY911">
        <v>1256.5</v>
      </c>
      <c r="AZ911">
        <v>9.75</v>
      </c>
      <c r="BC911" t="s">
        <v>108</v>
      </c>
    </row>
    <row r="912" spans="3:55" x14ac:dyDescent="0.45">
      <c r="C912">
        <v>84.62</v>
      </c>
      <c r="D912">
        <v>5.21</v>
      </c>
      <c r="E912">
        <v>0</v>
      </c>
      <c r="F912">
        <v>4.05</v>
      </c>
      <c r="G912">
        <v>0</v>
      </c>
      <c r="H912">
        <v>0</v>
      </c>
      <c r="I912">
        <v>0</v>
      </c>
      <c r="J912">
        <v>0</v>
      </c>
      <c r="K912">
        <v>0</v>
      </c>
      <c r="L912">
        <v>4.0599999999999996</v>
      </c>
      <c r="M912">
        <v>2.06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1</v>
      </c>
      <c r="W912">
        <v>918</v>
      </c>
      <c r="X912">
        <v>30</v>
      </c>
      <c r="Y912">
        <v>0</v>
      </c>
      <c r="Z912">
        <v>0</v>
      </c>
      <c r="AA912">
        <v>0</v>
      </c>
      <c r="AB912">
        <v>0</v>
      </c>
      <c r="AC912">
        <v>800</v>
      </c>
      <c r="AD912">
        <v>4</v>
      </c>
      <c r="AE912">
        <v>1</v>
      </c>
      <c r="AF912">
        <v>0</v>
      </c>
      <c r="AG912">
        <v>0</v>
      </c>
      <c r="AH912">
        <v>640</v>
      </c>
      <c r="AI912">
        <v>8</v>
      </c>
      <c r="AJ912">
        <v>0</v>
      </c>
      <c r="AK912">
        <v>1</v>
      </c>
      <c r="AL912">
        <v>0</v>
      </c>
      <c r="AM912">
        <v>0</v>
      </c>
      <c r="AN912">
        <v>0</v>
      </c>
      <c r="AO912">
        <v>0</v>
      </c>
      <c r="AP912">
        <v>0</v>
      </c>
      <c r="AQ912">
        <v>0</v>
      </c>
      <c r="AR912">
        <v>0</v>
      </c>
      <c r="AS912">
        <v>0</v>
      </c>
      <c r="AT912">
        <f t="shared" si="44"/>
        <v>5.3299999999999992</v>
      </c>
      <c r="AU912">
        <f t="shared" si="42"/>
        <v>5.8966666666666665</v>
      </c>
      <c r="AV912">
        <f t="shared" si="43"/>
        <v>814.01800000000014</v>
      </c>
      <c r="AX912">
        <v>1178</v>
      </c>
      <c r="AY912">
        <v>1212.5</v>
      </c>
      <c r="AZ912">
        <v>12.75</v>
      </c>
      <c r="BC912" t="s">
        <v>108</v>
      </c>
    </row>
    <row r="913" spans="3:55" x14ac:dyDescent="0.45">
      <c r="C913">
        <v>84.62</v>
      </c>
      <c r="D913">
        <v>5.21</v>
      </c>
      <c r="E913">
        <v>0</v>
      </c>
      <c r="F913">
        <v>4.05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4.0599999999999996</v>
      </c>
      <c r="M913">
        <v>2.06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1</v>
      </c>
      <c r="W913">
        <v>918</v>
      </c>
      <c r="X913">
        <v>45</v>
      </c>
      <c r="Y913">
        <v>0</v>
      </c>
      <c r="Z913">
        <v>0</v>
      </c>
      <c r="AA913">
        <v>0</v>
      </c>
      <c r="AB913">
        <v>0</v>
      </c>
      <c r="AC913">
        <v>800</v>
      </c>
      <c r="AD913">
        <v>4</v>
      </c>
      <c r="AE913">
        <v>1</v>
      </c>
      <c r="AF913">
        <v>0</v>
      </c>
      <c r="AG913">
        <v>0</v>
      </c>
      <c r="AH913">
        <v>640</v>
      </c>
      <c r="AI913">
        <v>8</v>
      </c>
      <c r="AJ913">
        <v>0</v>
      </c>
      <c r="AK913">
        <v>1</v>
      </c>
      <c r="AL913">
        <v>0</v>
      </c>
      <c r="AM913">
        <v>0</v>
      </c>
      <c r="AN913">
        <v>0</v>
      </c>
      <c r="AO913">
        <v>0</v>
      </c>
      <c r="AP913">
        <v>0</v>
      </c>
      <c r="AQ913">
        <v>0</v>
      </c>
      <c r="AR913">
        <v>0</v>
      </c>
      <c r="AS913">
        <v>0</v>
      </c>
      <c r="AT913">
        <f t="shared" si="44"/>
        <v>5.3299999999999992</v>
      </c>
      <c r="AU913">
        <f t="shared" si="42"/>
        <v>5.8966666666666665</v>
      </c>
      <c r="AV913">
        <f t="shared" si="43"/>
        <v>814.01800000000014</v>
      </c>
      <c r="AX913">
        <v>1226.5</v>
      </c>
      <c r="AY913">
        <v>1258</v>
      </c>
      <c r="AZ913">
        <v>12</v>
      </c>
      <c r="BC913" t="s">
        <v>108</v>
      </c>
    </row>
    <row r="914" spans="3:55" x14ac:dyDescent="0.45">
      <c r="C914">
        <v>84.62</v>
      </c>
      <c r="D914">
        <v>5.21</v>
      </c>
      <c r="E914">
        <v>0</v>
      </c>
      <c r="F914">
        <v>4.05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4.0599999999999996</v>
      </c>
      <c r="M914">
        <v>2.06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1</v>
      </c>
      <c r="W914">
        <v>918</v>
      </c>
      <c r="X914">
        <v>60</v>
      </c>
      <c r="Y914">
        <v>0</v>
      </c>
      <c r="Z914">
        <v>0</v>
      </c>
      <c r="AA914">
        <v>0</v>
      </c>
      <c r="AB914">
        <v>0</v>
      </c>
      <c r="AC914">
        <v>800</v>
      </c>
      <c r="AD914">
        <v>4</v>
      </c>
      <c r="AE914">
        <v>1</v>
      </c>
      <c r="AF914">
        <v>0</v>
      </c>
      <c r="AG914">
        <v>0</v>
      </c>
      <c r="AH914">
        <v>620</v>
      </c>
      <c r="AI914">
        <v>8</v>
      </c>
      <c r="AJ914">
        <v>0</v>
      </c>
      <c r="AK914">
        <v>1</v>
      </c>
      <c r="AL914">
        <v>0</v>
      </c>
      <c r="AM914">
        <v>0</v>
      </c>
      <c r="AN914">
        <v>0</v>
      </c>
      <c r="AO914">
        <v>0</v>
      </c>
      <c r="AP914">
        <v>0</v>
      </c>
      <c r="AQ914">
        <v>0</v>
      </c>
      <c r="AR914">
        <v>0</v>
      </c>
      <c r="AS914">
        <v>0</v>
      </c>
      <c r="AT914">
        <f t="shared" si="44"/>
        <v>5.3299999999999992</v>
      </c>
      <c r="AU914">
        <f t="shared" si="42"/>
        <v>5.8966666666666665</v>
      </c>
      <c r="AV914">
        <f t="shared" si="43"/>
        <v>814.01800000000014</v>
      </c>
      <c r="AX914">
        <v>1259.5</v>
      </c>
      <c r="AY914">
        <v>1296.5</v>
      </c>
      <c r="AZ914">
        <v>10.5</v>
      </c>
      <c r="BC914" t="s">
        <v>108</v>
      </c>
    </row>
    <row r="915" spans="3:55" x14ac:dyDescent="0.45">
      <c r="C915">
        <v>84.62</v>
      </c>
      <c r="D915">
        <v>5.21</v>
      </c>
      <c r="E915">
        <v>0</v>
      </c>
      <c r="F915">
        <v>4.05</v>
      </c>
      <c r="G915">
        <v>0</v>
      </c>
      <c r="H915">
        <v>0</v>
      </c>
      <c r="I915">
        <v>0</v>
      </c>
      <c r="J915">
        <v>0</v>
      </c>
      <c r="K915">
        <v>0</v>
      </c>
      <c r="L915">
        <v>4.0599999999999996</v>
      </c>
      <c r="M915">
        <v>2.06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1</v>
      </c>
      <c r="W915">
        <v>918</v>
      </c>
      <c r="X915">
        <v>60</v>
      </c>
      <c r="Y915">
        <v>0</v>
      </c>
      <c r="Z915">
        <v>0</v>
      </c>
      <c r="AA915">
        <v>0</v>
      </c>
      <c r="AB915">
        <v>0</v>
      </c>
      <c r="AC915">
        <v>800</v>
      </c>
      <c r="AD915">
        <v>4</v>
      </c>
      <c r="AE915">
        <v>1</v>
      </c>
      <c r="AF915">
        <v>0</v>
      </c>
      <c r="AG915">
        <v>0</v>
      </c>
      <c r="AH915">
        <v>680</v>
      </c>
      <c r="AI915">
        <v>8</v>
      </c>
      <c r="AJ915">
        <v>0</v>
      </c>
      <c r="AK915">
        <v>1</v>
      </c>
      <c r="AL915">
        <v>0</v>
      </c>
      <c r="AM915">
        <v>0</v>
      </c>
      <c r="AN915">
        <v>0</v>
      </c>
      <c r="AO915">
        <v>0</v>
      </c>
      <c r="AP915">
        <v>0</v>
      </c>
      <c r="AQ915">
        <v>0</v>
      </c>
      <c r="AR915">
        <v>0</v>
      </c>
      <c r="AS915">
        <v>0</v>
      </c>
      <c r="AT915">
        <f t="shared" si="44"/>
        <v>5.3299999999999992</v>
      </c>
      <c r="AU915">
        <f t="shared" si="42"/>
        <v>5.8966666666666665</v>
      </c>
      <c r="AV915">
        <f t="shared" si="43"/>
        <v>814.01800000000014</v>
      </c>
      <c r="AX915">
        <v>1151.5</v>
      </c>
      <c r="AY915">
        <v>1176</v>
      </c>
      <c r="AZ915">
        <v>15</v>
      </c>
      <c r="BC915" t="s">
        <v>108</v>
      </c>
    </row>
    <row r="916" spans="3:55" x14ac:dyDescent="0.45">
      <c r="C916">
        <v>91.5</v>
      </c>
      <c r="D916">
        <v>4</v>
      </c>
      <c r="E916">
        <v>2</v>
      </c>
      <c r="F916">
        <v>0</v>
      </c>
      <c r="G916">
        <v>0</v>
      </c>
      <c r="H916">
        <v>1</v>
      </c>
      <c r="I916">
        <v>0</v>
      </c>
      <c r="J916">
        <v>0</v>
      </c>
      <c r="K916">
        <v>0</v>
      </c>
      <c r="L916">
        <v>1.5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1</v>
      </c>
      <c r="Z916">
        <v>0</v>
      </c>
      <c r="AA916">
        <v>0</v>
      </c>
      <c r="AB916">
        <v>0</v>
      </c>
      <c r="AC916">
        <v>750</v>
      </c>
      <c r="AD916">
        <v>3</v>
      </c>
      <c r="AE916">
        <v>0</v>
      </c>
      <c r="AF916">
        <v>1</v>
      </c>
      <c r="AG916">
        <v>0</v>
      </c>
      <c r="AH916">
        <v>0</v>
      </c>
      <c r="AI916">
        <v>0</v>
      </c>
      <c r="AJ916">
        <v>0</v>
      </c>
      <c r="AK916">
        <v>0</v>
      </c>
      <c r="AL916">
        <v>0</v>
      </c>
      <c r="AM916">
        <v>0</v>
      </c>
      <c r="AN916">
        <v>0</v>
      </c>
      <c r="AO916">
        <v>0</v>
      </c>
      <c r="AP916">
        <v>0</v>
      </c>
      <c r="AQ916">
        <v>0</v>
      </c>
      <c r="AR916">
        <v>0</v>
      </c>
      <c r="AS916">
        <v>0</v>
      </c>
      <c r="AT916">
        <f t="shared" si="44"/>
        <v>1.7400000000000002</v>
      </c>
      <c r="AU916">
        <f t="shared" si="42"/>
        <v>4</v>
      </c>
      <c r="AV916">
        <f t="shared" si="43"/>
        <v>837.15</v>
      </c>
      <c r="AX916">
        <v>864</v>
      </c>
      <c r="AY916">
        <v>927</v>
      </c>
      <c r="AZ916">
        <v>20</v>
      </c>
      <c r="BC916" t="s">
        <v>108</v>
      </c>
    </row>
    <row r="917" spans="3:55" x14ac:dyDescent="0.45">
      <c r="C917">
        <v>91.5</v>
      </c>
      <c r="D917">
        <v>4</v>
      </c>
      <c r="E917">
        <v>2</v>
      </c>
      <c r="F917">
        <v>0</v>
      </c>
      <c r="G917">
        <v>0</v>
      </c>
      <c r="H917">
        <v>1</v>
      </c>
      <c r="I917">
        <v>0</v>
      </c>
      <c r="J917">
        <v>0</v>
      </c>
      <c r="K917">
        <v>0</v>
      </c>
      <c r="L917">
        <v>1.5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1</v>
      </c>
      <c r="Z917">
        <v>0</v>
      </c>
      <c r="AA917">
        <v>0</v>
      </c>
      <c r="AB917">
        <v>0</v>
      </c>
      <c r="AC917">
        <v>800</v>
      </c>
      <c r="AD917">
        <v>3</v>
      </c>
      <c r="AE917">
        <v>0</v>
      </c>
      <c r="AF917">
        <v>1</v>
      </c>
      <c r="AG917">
        <v>0</v>
      </c>
      <c r="AH917">
        <v>0</v>
      </c>
      <c r="AI917">
        <v>0</v>
      </c>
      <c r="AJ917">
        <v>0</v>
      </c>
      <c r="AK917">
        <v>0</v>
      </c>
      <c r="AL917">
        <v>0</v>
      </c>
      <c r="AM917">
        <v>0</v>
      </c>
      <c r="AN917">
        <v>0</v>
      </c>
      <c r="AO917">
        <v>0</v>
      </c>
      <c r="AP917">
        <v>0</v>
      </c>
      <c r="AQ917">
        <v>0</v>
      </c>
      <c r="AR917">
        <v>0</v>
      </c>
      <c r="AS917">
        <v>0</v>
      </c>
      <c r="AT917">
        <f t="shared" si="44"/>
        <v>1.7400000000000002</v>
      </c>
      <c r="AU917">
        <f t="shared" si="42"/>
        <v>4</v>
      </c>
      <c r="AV917">
        <f t="shared" si="43"/>
        <v>837.15</v>
      </c>
      <c r="AX917">
        <v>896</v>
      </c>
      <c r="AY917">
        <v>971</v>
      </c>
      <c r="AZ917">
        <v>19</v>
      </c>
      <c r="BC917" t="s">
        <v>108</v>
      </c>
    </row>
    <row r="918" spans="3:55" x14ac:dyDescent="0.45">
      <c r="C918">
        <v>91.5</v>
      </c>
      <c r="D918">
        <v>4</v>
      </c>
      <c r="E918">
        <v>2</v>
      </c>
      <c r="F918">
        <v>0</v>
      </c>
      <c r="G918">
        <v>0</v>
      </c>
      <c r="H918">
        <v>1</v>
      </c>
      <c r="I918">
        <v>0</v>
      </c>
      <c r="J918">
        <v>0</v>
      </c>
      <c r="K918">
        <v>0</v>
      </c>
      <c r="L918">
        <v>1.5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1</v>
      </c>
      <c r="Z918">
        <v>0</v>
      </c>
      <c r="AA918">
        <v>0</v>
      </c>
      <c r="AB918">
        <v>0</v>
      </c>
      <c r="AC918">
        <v>850</v>
      </c>
      <c r="AD918">
        <v>3</v>
      </c>
      <c r="AE918">
        <v>0</v>
      </c>
      <c r="AF918">
        <v>1</v>
      </c>
      <c r="AG918">
        <v>0</v>
      </c>
      <c r="AH918">
        <v>0</v>
      </c>
      <c r="AI918">
        <v>0</v>
      </c>
      <c r="AJ918">
        <v>0</v>
      </c>
      <c r="AK918">
        <v>0</v>
      </c>
      <c r="AL918">
        <v>0</v>
      </c>
      <c r="AM918">
        <v>0</v>
      </c>
      <c r="AN918">
        <v>0</v>
      </c>
      <c r="AO918">
        <v>0</v>
      </c>
      <c r="AP918">
        <v>0</v>
      </c>
      <c r="AQ918">
        <v>0</v>
      </c>
      <c r="AR918">
        <v>0</v>
      </c>
      <c r="AS918">
        <v>0</v>
      </c>
      <c r="AT918">
        <f t="shared" si="44"/>
        <v>1.7400000000000002</v>
      </c>
      <c r="AU918">
        <f t="shared" si="42"/>
        <v>4</v>
      </c>
      <c r="AV918">
        <f t="shared" si="43"/>
        <v>837.15</v>
      </c>
      <c r="AX918">
        <v>902</v>
      </c>
      <c r="AY918">
        <v>991</v>
      </c>
      <c r="AZ918">
        <v>19.399999999999999</v>
      </c>
      <c r="BC918" t="s">
        <v>108</v>
      </c>
    </row>
    <row r="919" spans="3:55" x14ac:dyDescent="0.45">
      <c r="C919">
        <v>91.5</v>
      </c>
      <c r="D919">
        <v>4</v>
      </c>
      <c r="E919">
        <v>2</v>
      </c>
      <c r="F919">
        <v>0</v>
      </c>
      <c r="G919">
        <v>0</v>
      </c>
      <c r="H919">
        <v>1</v>
      </c>
      <c r="I919">
        <v>0</v>
      </c>
      <c r="J919">
        <v>0</v>
      </c>
      <c r="K919">
        <v>0</v>
      </c>
      <c r="L919">
        <v>1.5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1</v>
      </c>
      <c r="Z919">
        <v>0</v>
      </c>
      <c r="AA919">
        <v>0</v>
      </c>
      <c r="AB919">
        <v>0</v>
      </c>
      <c r="AC919">
        <v>870</v>
      </c>
      <c r="AD919">
        <v>3</v>
      </c>
      <c r="AE919">
        <v>0</v>
      </c>
      <c r="AF919">
        <v>1</v>
      </c>
      <c r="AG919">
        <v>0</v>
      </c>
      <c r="AH919">
        <v>0</v>
      </c>
      <c r="AI919">
        <v>0</v>
      </c>
      <c r="AJ919">
        <v>0</v>
      </c>
      <c r="AK919">
        <v>0</v>
      </c>
      <c r="AL919">
        <v>0</v>
      </c>
      <c r="AM919">
        <v>0</v>
      </c>
      <c r="AN919">
        <v>0</v>
      </c>
      <c r="AO919">
        <v>0</v>
      </c>
      <c r="AP919">
        <v>0</v>
      </c>
      <c r="AQ919">
        <v>0</v>
      </c>
      <c r="AR919">
        <v>0</v>
      </c>
      <c r="AS919">
        <v>0</v>
      </c>
      <c r="AT919">
        <f t="shared" si="44"/>
        <v>1.7400000000000002</v>
      </c>
      <c r="AU919">
        <f t="shared" si="42"/>
        <v>4</v>
      </c>
      <c r="AV919">
        <f t="shared" si="43"/>
        <v>837.15</v>
      </c>
      <c r="AX919">
        <v>896</v>
      </c>
      <c r="AY919">
        <v>977</v>
      </c>
      <c r="AZ919">
        <v>21</v>
      </c>
      <c r="BC919" t="s">
        <v>108</v>
      </c>
    </row>
    <row r="920" spans="3:55" x14ac:dyDescent="0.45">
      <c r="C920">
        <v>91.5</v>
      </c>
      <c r="D920">
        <v>4</v>
      </c>
      <c r="E920">
        <v>2</v>
      </c>
      <c r="F920">
        <v>0</v>
      </c>
      <c r="G920">
        <v>0</v>
      </c>
      <c r="H920">
        <v>1</v>
      </c>
      <c r="I920">
        <v>0</v>
      </c>
      <c r="J920">
        <v>0</v>
      </c>
      <c r="K920">
        <v>0</v>
      </c>
      <c r="L920">
        <v>1.5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1</v>
      </c>
      <c r="Z920">
        <v>0</v>
      </c>
      <c r="AA920">
        <v>0</v>
      </c>
      <c r="AB920">
        <v>0</v>
      </c>
      <c r="AC920">
        <v>900</v>
      </c>
      <c r="AD920">
        <v>3</v>
      </c>
      <c r="AE920">
        <v>0</v>
      </c>
      <c r="AF920">
        <v>1</v>
      </c>
      <c r="AG920">
        <v>0</v>
      </c>
      <c r="AH920">
        <v>0</v>
      </c>
      <c r="AI920">
        <v>0</v>
      </c>
      <c r="AJ920">
        <v>0</v>
      </c>
      <c r="AK920">
        <v>0</v>
      </c>
      <c r="AL920">
        <v>0</v>
      </c>
      <c r="AM920">
        <v>0</v>
      </c>
      <c r="AN920">
        <v>0</v>
      </c>
      <c r="AO920">
        <v>0</v>
      </c>
      <c r="AP920">
        <v>0</v>
      </c>
      <c r="AQ920">
        <v>0</v>
      </c>
      <c r="AR920">
        <v>0</v>
      </c>
      <c r="AS920">
        <v>0</v>
      </c>
      <c r="AT920">
        <f t="shared" si="44"/>
        <v>1.7400000000000002</v>
      </c>
      <c r="AU920">
        <f t="shared" si="42"/>
        <v>4</v>
      </c>
      <c r="AV920">
        <f t="shared" si="43"/>
        <v>837.15</v>
      </c>
      <c r="AX920">
        <v>897</v>
      </c>
      <c r="AY920">
        <v>998</v>
      </c>
      <c r="AZ920">
        <v>11.1</v>
      </c>
      <c r="BC920" t="s">
        <v>108</v>
      </c>
    </row>
    <row r="921" spans="3:55" x14ac:dyDescent="0.45">
      <c r="C921">
        <v>91.5</v>
      </c>
      <c r="D921">
        <v>4</v>
      </c>
      <c r="E921">
        <v>2</v>
      </c>
      <c r="F921">
        <v>0</v>
      </c>
      <c r="G921">
        <v>0</v>
      </c>
      <c r="H921">
        <v>1</v>
      </c>
      <c r="I921">
        <v>0</v>
      </c>
      <c r="J921">
        <v>0</v>
      </c>
      <c r="K921">
        <v>0</v>
      </c>
      <c r="L921">
        <v>1.5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1</v>
      </c>
      <c r="Z921">
        <v>0</v>
      </c>
      <c r="AA921">
        <v>0</v>
      </c>
      <c r="AB921">
        <v>0</v>
      </c>
      <c r="AC921">
        <v>850</v>
      </c>
      <c r="AD921">
        <v>3</v>
      </c>
      <c r="AE921">
        <v>0</v>
      </c>
      <c r="AF921">
        <v>0</v>
      </c>
      <c r="AG921">
        <v>1</v>
      </c>
      <c r="AH921">
        <v>0</v>
      </c>
      <c r="AI921">
        <v>0</v>
      </c>
      <c r="AJ921">
        <v>0</v>
      </c>
      <c r="AK921">
        <v>0</v>
      </c>
      <c r="AL921">
        <v>0</v>
      </c>
      <c r="AM921">
        <v>0</v>
      </c>
      <c r="AN921">
        <v>0</v>
      </c>
      <c r="AO921">
        <v>0</v>
      </c>
      <c r="AP921">
        <v>0</v>
      </c>
      <c r="AQ921">
        <v>0</v>
      </c>
      <c r="AR921">
        <v>0</v>
      </c>
      <c r="AS921">
        <v>0</v>
      </c>
      <c r="AT921">
        <f t="shared" si="44"/>
        <v>1.7400000000000002</v>
      </c>
      <c r="AU921">
        <f t="shared" si="42"/>
        <v>4</v>
      </c>
      <c r="AV921">
        <f t="shared" si="43"/>
        <v>837.15</v>
      </c>
      <c r="AX921">
        <v>855</v>
      </c>
      <c r="AY921">
        <v>909</v>
      </c>
      <c r="AZ921">
        <v>23</v>
      </c>
      <c r="BC921" t="s">
        <v>108</v>
      </c>
    </row>
    <row r="922" spans="3:55" x14ac:dyDescent="0.45">
      <c r="C922">
        <v>91.5</v>
      </c>
      <c r="D922">
        <v>4</v>
      </c>
      <c r="E922">
        <v>2</v>
      </c>
      <c r="F922">
        <v>0</v>
      </c>
      <c r="G922">
        <v>0</v>
      </c>
      <c r="H922">
        <v>1</v>
      </c>
      <c r="I922">
        <v>0</v>
      </c>
      <c r="J922">
        <v>0</v>
      </c>
      <c r="K922">
        <v>0</v>
      </c>
      <c r="L922">
        <v>1.5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1</v>
      </c>
      <c r="Z922">
        <v>0</v>
      </c>
      <c r="AA922">
        <v>0</v>
      </c>
      <c r="AB922">
        <v>0</v>
      </c>
      <c r="AC922">
        <v>870</v>
      </c>
      <c r="AD922">
        <v>3</v>
      </c>
      <c r="AE922">
        <v>0</v>
      </c>
      <c r="AF922">
        <v>0</v>
      </c>
      <c r="AG922">
        <v>1</v>
      </c>
      <c r="AH922">
        <v>0</v>
      </c>
      <c r="AI922">
        <v>0</v>
      </c>
      <c r="AJ922">
        <v>0</v>
      </c>
      <c r="AK922">
        <v>0</v>
      </c>
      <c r="AL922">
        <v>0</v>
      </c>
      <c r="AM922">
        <v>0</v>
      </c>
      <c r="AN922">
        <v>0</v>
      </c>
      <c r="AO922">
        <v>0</v>
      </c>
      <c r="AP922">
        <v>0</v>
      </c>
      <c r="AQ922">
        <v>0</v>
      </c>
      <c r="AR922">
        <v>0</v>
      </c>
      <c r="AS922">
        <v>0</v>
      </c>
      <c r="AT922">
        <f t="shared" si="44"/>
        <v>1.7400000000000002</v>
      </c>
      <c r="AU922">
        <f t="shared" si="42"/>
        <v>4</v>
      </c>
      <c r="AV922">
        <f t="shared" si="43"/>
        <v>837.15</v>
      </c>
      <c r="AX922">
        <v>849</v>
      </c>
      <c r="AY922">
        <v>911</v>
      </c>
      <c r="AZ922">
        <v>23</v>
      </c>
      <c r="BC922" t="s">
        <v>108</v>
      </c>
    </row>
    <row r="923" spans="3:55" x14ac:dyDescent="0.45">
      <c r="C923">
        <v>91.5</v>
      </c>
      <c r="D923">
        <v>4</v>
      </c>
      <c r="E923">
        <v>2</v>
      </c>
      <c r="F923">
        <v>0</v>
      </c>
      <c r="G923">
        <v>0</v>
      </c>
      <c r="H923">
        <v>1</v>
      </c>
      <c r="I923">
        <v>0</v>
      </c>
      <c r="J923">
        <v>0</v>
      </c>
      <c r="K923">
        <v>0</v>
      </c>
      <c r="L923">
        <v>1.5</v>
      </c>
      <c r="M923">
        <v>0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1</v>
      </c>
      <c r="Z923">
        <v>0</v>
      </c>
      <c r="AA923">
        <v>0</v>
      </c>
      <c r="AB923">
        <v>0</v>
      </c>
      <c r="AC923">
        <v>980</v>
      </c>
      <c r="AD923">
        <v>3</v>
      </c>
      <c r="AE923">
        <v>0</v>
      </c>
      <c r="AF923">
        <v>0</v>
      </c>
      <c r="AG923">
        <v>1</v>
      </c>
      <c r="AH923">
        <v>0</v>
      </c>
      <c r="AI923">
        <v>0</v>
      </c>
      <c r="AJ923">
        <v>0</v>
      </c>
      <c r="AK923">
        <v>0</v>
      </c>
      <c r="AL923">
        <v>0</v>
      </c>
      <c r="AM923">
        <v>0</v>
      </c>
      <c r="AN923">
        <v>0</v>
      </c>
      <c r="AO923">
        <v>0</v>
      </c>
      <c r="AP923">
        <v>0</v>
      </c>
      <c r="AQ923">
        <v>0</v>
      </c>
      <c r="AR923">
        <v>0</v>
      </c>
      <c r="AS923">
        <v>0</v>
      </c>
      <c r="AT923">
        <f t="shared" si="44"/>
        <v>1.7400000000000002</v>
      </c>
      <c r="AU923">
        <f t="shared" si="42"/>
        <v>4</v>
      </c>
      <c r="AV923">
        <f t="shared" si="43"/>
        <v>837.15</v>
      </c>
      <c r="AX923">
        <v>819</v>
      </c>
      <c r="AY923">
        <v>906</v>
      </c>
      <c r="AZ923">
        <v>10.5</v>
      </c>
      <c r="BC923" t="s">
        <v>108</v>
      </c>
    </row>
    <row r="924" spans="3:55" x14ac:dyDescent="0.45">
      <c r="C924">
        <v>92.5</v>
      </c>
      <c r="D924">
        <v>4</v>
      </c>
      <c r="E924">
        <v>2</v>
      </c>
      <c r="F924">
        <v>0</v>
      </c>
      <c r="G924">
        <v>0</v>
      </c>
      <c r="H924">
        <v>1</v>
      </c>
      <c r="I924">
        <v>0</v>
      </c>
      <c r="J924">
        <v>0</v>
      </c>
      <c r="K924">
        <v>0</v>
      </c>
      <c r="L924">
        <v>0.5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1</v>
      </c>
      <c r="Z924">
        <v>0</v>
      </c>
      <c r="AA924">
        <v>0</v>
      </c>
      <c r="AB924">
        <v>0</v>
      </c>
      <c r="AC924">
        <v>750</v>
      </c>
      <c r="AD924">
        <v>3</v>
      </c>
      <c r="AE924">
        <v>0</v>
      </c>
      <c r="AF924">
        <v>1</v>
      </c>
      <c r="AG924">
        <v>0</v>
      </c>
      <c r="AH924">
        <v>0</v>
      </c>
      <c r="AI924">
        <v>0</v>
      </c>
      <c r="AJ924">
        <v>0</v>
      </c>
      <c r="AK924">
        <v>0</v>
      </c>
      <c r="AL924">
        <v>0</v>
      </c>
      <c r="AM924">
        <v>0</v>
      </c>
      <c r="AN924">
        <v>0</v>
      </c>
      <c r="AO924">
        <v>0</v>
      </c>
      <c r="AP924">
        <v>0</v>
      </c>
      <c r="AQ924">
        <v>0</v>
      </c>
      <c r="AR924">
        <v>0</v>
      </c>
      <c r="AS924">
        <v>0</v>
      </c>
      <c r="AT924">
        <f t="shared" si="44"/>
        <v>0.74000000000000021</v>
      </c>
      <c r="AU924">
        <f t="shared" si="42"/>
        <v>4</v>
      </c>
      <c r="AV924">
        <f t="shared" si="43"/>
        <v>846.65</v>
      </c>
      <c r="AX924">
        <v>863.15599999999995</v>
      </c>
      <c r="AZ924">
        <v>18.286000000000001</v>
      </c>
      <c r="BC924" t="s">
        <v>108</v>
      </c>
    </row>
    <row r="925" spans="3:55" x14ac:dyDescent="0.45">
      <c r="C925">
        <v>92.5</v>
      </c>
      <c r="D925">
        <v>4</v>
      </c>
      <c r="E925">
        <v>2</v>
      </c>
      <c r="F925">
        <v>0</v>
      </c>
      <c r="G925">
        <v>0</v>
      </c>
      <c r="H925">
        <v>1</v>
      </c>
      <c r="I925">
        <v>0</v>
      </c>
      <c r="J925">
        <v>0</v>
      </c>
      <c r="K925">
        <v>0</v>
      </c>
      <c r="L925">
        <v>0.5</v>
      </c>
      <c r="M925">
        <v>0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1</v>
      </c>
      <c r="Z925">
        <v>0</v>
      </c>
      <c r="AA925">
        <v>0</v>
      </c>
      <c r="AB925">
        <v>0</v>
      </c>
      <c r="AC925">
        <v>800</v>
      </c>
      <c r="AD925">
        <v>3</v>
      </c>
      <c r="AE925">
        <v>0</v>
      </c>
      <c r="AF925">
        <v>1</v>
      </c>
      <c r="AG925">
        <v>0</v>
      </c>
      <c r="AH925">
        <v>0</v>
      </c>
      <c r="AI925">
        <v>0</v>
      </c>
      <c r="AJ925">
        <v>0</v>
      </c>
      <c r="AK925">
        <v>0</v>
      </c>
      <c r="AL925">
        <v>0</v>
      </c>
      <c r="AM925">
        <v>0</v>
      </c>
      <c r="AN925">
        <v>0</v>
      </c>
      <c r="AO925">
        <v>0</v>
      </c>
      <c r="AP925">
        <v>0</v>
      </c>
      <c r="AQ925">
        <v>0</v>
      </c>
      <c r="AR925">
        <v>0</v>
      </c>
      <c r="AS925">
        <v>0</v>
      </c>
      <c r="AT925">
        <f t="shared" si="44"/>
        <v>0.74000000000000021</v>
      </c>
      <c r="AU925">
        <f t="shared" si="42"/>
        <v>4</v>
      </c>
      <c r="AV925">
        <f t="shared" si="43"/>
        <v>846.65</v>
      </c>
      <c r="AX925">
        <v>858.43299999999999</v>
      </c>
      <c r="BC925" t="s">
        <v>108</v>
      </c>
    </row>
    <row r="926" spans="3:55" x14ac:dyDescent="0.45">
      <c r="C926">
        <v>92.5</v>
      </c>
      <c r="D926">
        <v>4</v>
      </c>
      <c r="E926">
        <v>2</v>
      </c>
      <c r="F926">
        <v>0</v>
      </c>
      <c r="G926">
        <v>0</v>
      </c>
      <c r="H926">
        <v>1</v>
      </c>
      <c r="I926">
        <v>0</v>
      </c>
      <c r="J926">
        <v>0</v>
      </c>
      <c r="K926">
        <v>0</v>
      </c>
      <c r="L926">
        <v>0.5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1</v>
      </c>
      <c r="Z926">
        <v>0</v>
      </c>
      <c r="AA926">
        <v>0</v>
      </c>
      <c r="AB926">
        <v>0</v>
      </c>
      <c r="AC926">
        <v>850</v>
      </c>
      <c r="AD926">
        <v>3</v>
      </c>
      <c r="AE926">
        <v>0</v>
      </c>
      <c r="AF926">
        <v>1</v>
      </c>
      <c r="AG926">
        <v>0</v>
      </c>
      <c r="AH926">
        <v>0</v>
      </c>
      <c r="AI926">
        <v>0</v>
      </c>
      <c r="AJ926">
        <v>0</v>
      </c>
      <c r="AK926">
        <v>0</v>
      </c>
      <c r="AL926">
        <v>0</v>
      </c>
      <c r="AM926">
        <v>0</v>
      </c>
      <c r="AN926">
        <v>0</v>
      </c>
      <c r="AO926">
        <v>0</v>
      </c>
      <c r="AP926">
        <v>0</v>
      </c>
      <c r="AQ926">
        <v>0</v>
      </c>
      <c r="AR926">
        <v>0</v>
      </c>
      <c r="AS926">
        <v>0</v>
      </c>
      <c r="AT926">
        <f t="shared" si="44"/>
        <v>0.74000000000000021</v>
      </c>
      <c r="AU926">
        <f t="shared" si="42"/>
        <v>4</v>
      </c>
      <c r="AV926">
        <f t="shared" si="43"/>
        <v>846.65</v>
      </c>
      <c r="AX926">
        <v>845.18600000000004</v>
      </c>
      <c r="BC926" t="s">
        <v>108</v>
      </c>
    </row>
    <row r="927" spans="3:55" x14ac:dyDescent="0.45">
      <c r="C927">
        <v>92</v>
      </c>
      <c r="D927">
        <v>4</v>
      </c>
      <c r="E927">
        <v>2</v>
      </c>
      <c r="F927">
        <v>0</v>
      </c>
      <c r="G927">
        <v>0</v>
      </c>
      <c r="H927">
        <v>1</v>
      </c>
      <c r="I927">
        <v>0</v>
      </c>
      <c r="J927">
        <v>0</v>
      </c>
      <c r="K927">
        <v>0</v>
      </c>
      <c r="L927">
        <v>1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1</v>
      </c>
      <c r="Z927">
        <v>0</v>
      </c>
      <c r="AA927">
        <v>0</v>
      </c>
      <c r="AB927">
        <v>0</v>
      </c>
      <c r="AC927">
        <v>750</v>
      </c>
      <c r="AD927">
        <v>3</v>
      </c>
      <c r="AE927">
        <v>0</v>
      </c>
      <c r="AF927">
        <v>1</v>
      </c>
      <c r="AG927">
        <v>0</v>
      </c>
      <c r="AH927">
        <v>0</v>
      </c>
      <c r="AI927">
        <v>0</v>
      </c>
      <c r="AJ927">
        <v>0</v>
      </c>
      <c r="AK927">
        <v>0</v>
      </c>
      <c r="AL927">
        <v>0</v>
      </c>
      <c r="AM927">
        <v>0</v>
      </c>
      <c r="AN927">
        <v>0</v>
      </c>
      <c r="AO927">
        <v>0</v>
      </c>
      <c r="AP927">
        <v>0</v>
      </c>
      <c r="AQ927">
        <v>0</v>
      </c>
      <c r="AR927">
        <v>0</v>
      </c>
      <c r="AS927">
        <v>0</v>
      </c>
      <c r="AT927">
        <f t="shared" si="44"/>
        <v>1.2400000000000002</v>
      </c>
      <c r="AU927">
        <f t="shared" si="42"/>
        <v>4</v>
      </c>
      <c r="AV927">
        <f t="shared" si="43"/>
        <v>841.9</v>
      </c>
      <c r="AX927">
        <v>863.524</v>
      </c>
      <c r="AZ927">
        <v>20.226099999999999</v>
      </c>
      <c r="BC927" t="s">
        <v>108</v>
      </c>
    </row>
    <row r="928" spans="3:55" x14ac:dyDescent="0.45">
      <c r="C928">
        <v>92</v>
      </c>
      <c r="D928">
        <v>4</v>
      </c>
      <c r="E928">
        <v>2</v>
      </c>
      <c r="F928">
        <v>0</v>
      </c>
      <c r="G928">
        <v>0</v>
      </c>
      <c r="H928">
        <v>1</v>
      </c>
      <c r="I928">
        <v>0</v>
      </c>
      <c r="J928">
        <v>0</v>
      </c>
      <c r="K928">
        <v>0</v>
      </c>
      <c r="L928">
        <v>1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1</v>
      </c>
      <c r="Z928">
        <v>0</v>
      </c>
      <c r="AA928">
        <v>0</v>
      </c>
      <c r="AB928">
        <v>0</v>
      </c>
      <c r="AC928">
        <v>800</v>
      </c>
      <c r="AD928">
        <v>3</v>
      </c>
      <c r="AE928">
        <v>0</v>
      </c>
      <c r="AF928">
        <v>1</v>
      </c>
      <c r="AG928">
        <v>0</v>
      </c>
      <c r="AH928">
        <v>0</v>
      </c>
      <c r="AI928">
        <v>0</v>
      </c>
      <c r="AJ928">
        <v>0</v>
      </c>
      <c r="AK928">
        <v>0</v>
      </c>
      <c r="AL928">
        <v>0</v>
      </c>
      <c r="AM928">
        <v>0</v>
      </c>
      <c r="AN928">
        <v>0</v>
      </c>
      <c r="AO928">
        <v>0</v>
      </c>
      <c r="AP928">
        <v>0</v>
      </c>
      <c r="AQ928">
        <v>0</v>
      </c>
      <c r="AR928">
        <v>0</v>
      </c>
      <c r="AS928">
        <v>0</v>
      </c>
      <c r="AT928">
        <f t="shared" si="44"/>
        <v>1.2400000000000002</v>
      </c>
      <c r="AU928">
        <f t="shared" si="42"/>
        <v>4</v>
      </c>
      <c r="AV928">
        <f t="shared" si="43"/>
        <v>841.9</v>
      </c>
      <c r="AX928">
        <v>872.68399999999997</v>
      </c>
      <c r="BC928" t="s">
        <v>108</v>
      </c>
    </row>
    <row r="929" spans="3:55" x14ac:dyDescent="0.45">
      <c r="C929">
        <v>92</v>
      </c>
      <c r="D929">
        <v>4</v>
      </c>
      <c r="E929">
        <v>2</v>
      </c>
      <c r="F929">
        <v>0</v>
      </c>
      <c r="G929">
        <v>0</v>
      </c>
      <c r="H929">
        <v>1</v>
      </c>
      <c r="I929">
        <v>0</v>
      </c>
      <c r="J929">
        <v>0</v>
      </c>
      <c r="K929">
        <v>0</v>
      </c>
      <c r="L929">
        <v>1</v>
      </c>
      <c r="M929">
        <v>0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1</v>
      </c>
      <c r="Z929">
        <v>0</v>
      </c>
      <c r="AA929">
        <v>0</v>
      </c>
      <c r="AB929">
        <v>0</v>
      </c>
      <c r="AC929">
        <v>850</v>
      </c>
      <c r="AD929">
        <v>3</v>
      </c>
      <c r="AE929">
        <v>0</v>
      </c>
      <c r="AF929">
        <v>1</v>
      </c>
      <c r="AG929">
        <v>0</v>
      </c>
      <c r="AH929">
        <v>0</v>
      </c>
      <c r="AI929">
        <v>0</v>
      </c>
      <c r="AJ929">
        <v>0</v>
      </c>
      <c r="AK929">
        <v>0</v>
      </c>
      <c r="AL929">
        <v>0</v>
      </c>
      <c r="AM929">
        <v>0</v>
      </c>
      <c r="AN929">
        <v>0</v>
      </c>
      <c r="AO929">
        <v>0</v>
      </c>
      <c r="AP929">
        <v>0</v>
      </c>
      <c r="AQ929">
        <v>0</v>
      </c>
      <c r="AR929">
        <v>0</v>
      </c>
      <c r="AS929">
        <v>0</v>
      </c>
      <c r="AT929">
        <f t="shared" si="44"/>
        <v>1.2400000000000002</v>
      </c>
      <c r="AU929">
        <f t="shared" si="42"/>
        <v>4</v>
      </c>
      <c r="AV929">
        <f t="shared" si="43"/>
        <v>841.9</v>
      </c>
      <c r="AX929">
        <v>862.91300000000001</v>
      </c>
      <c r="BC929" t="s">
        <v>108</v>
      </c>
    </row>
    <row r="930" spans="3:55" x14ac:dyDescent="0.45">
      <c r="C930">
        <v>84.5</v>
      </c>
      <c r="D930">
        <v>0</v>
      </c>
      <c r="E930">
        <v>0</v>
      </c>
      <c r="F930">
        <v>0</v>
      </c>
      <c r="G930">
        <v>0</v>
      </c>
      <c r="H930">
        <v>0</v>
      </c>
      <c r="I930">
        <v>0</v>
      </c>
      <c r="J930">
        <v>0</v>
      </c>
      <c r="K930">
        <v>10</v>
      </c>
      <c r="L930">
        <v>2</v>
      </c>
      <c r="M930">
        <v>1</v>
      </c>
      <c r="N930">
        <v>0</v>
      </c>
      <c r="O930">
        <v>2.5</v>
      </c>
      <c r="P930">
        <v>0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1</v>
      </c>
      <c r="Z930">
        <v>0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0</v>
      </c>
      <c r="AG930">
        <v>0</v>
      </c>
      <c r="AH930">
        <v>0</v>
      </c>
      <c r="AI930">
        <v>0</v>
      </c>
      <c r="AJ930">
        <v>0</v>
      </c>
      <c r="AK930">
        <v>0</v>
      </c>
      <c r="AL930">
        <v>0</v>
      </c>
      <c r="AM930">
        <v>0</v>
      </c>
      <c r="AN930">
        <v>0</v>
      </c>
      <c r="AO930">
        <v>0</v>
      </c>
      <c r="AP930">
        <v>0</v>
      </c>
      <c r="AQ930">
        <v>0</v>
      </c>
      <c r="AR930">
        <v>0</v>
      </c>
      <c r="AS930">
        <v>0</v>
      </c>
      <c r="AT930">
        <f t="shared" si="44"/>
        <v>5.3500000000000005</v>
      </c>
      <c r="AU930">
        <f t="shared" si="42"/>
        <v>0.33333333333333331</v>
      </c>
      <c r="AV930">
        <f t="shared" si="43"/>
        <v>867.2</v>
      </c>
      <c r="AW930">
        <v>76</v>
      </c>
    </row>
    <row r="931" spans="3:55" x14ac:dyDescent="0.45">
      <c r="C931">
        <v>82.5</v>
      </c>
      <c r="D931">
        <v>0</v>
      </c>
      <c r="E931">
        <v>0</v>
      </c>
      <c r="F931">
        <v>0</v>
      </c>
      <c r="G931">
        <v>0</v>
      </c>
      <c r="H931">
        <v>0</v>
      </c>
      <c r="I931">
        <v>0</v>
      </c>
      <c r="J931">
        <v>0</v>
      </c>
      <c r="K931">
        <v>10.5</v>
      </c>
      <c r="L931">
        <v>3</v>
      </c>
      <c r="M931">
        <v>1</v>
      </c>
      <c r="N931">
        <v>0</v>
      </c>
      <c r="O931">
        <v>3</v>
      </c>
      <c r="P931">
        <v>0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1</v>
      </c>
      <c r="Z931">
        <v>0</v>
      </c>
      <c r="AA931">
        <v>0</v>
      </c>
      <c r="AB931">
        <v>0</v>
      </c>
      <c r="AC931">
        <v>0</v>
      </c>
      <c r="AD931">
        <v>0</v>
      </c>
      <c r="AE931">
        <v>0</v>
      </c>
      <c r="AF931">
        <v>0</v>
      </c>
      <c r="AG931">
        <v>0</v>
      </c>
      <c r="AH931">
        <v>0</v>
      </c>
      <c r="AI931">
        <v>0</v>
      </c>
      <c r="AJ931">
        <v>0</v>
      </c>
      <c r="AK931">
        <v>0</v>
      </c>
      <c r="AL931">
        <v>0</v>
      </c>
      <c r="AM931">
        <v>0</v>
      </c>
      <c r="AN931">
        <v>0</v>
      </c>
      <c r="AO931">
        <v>0</v>
      </c>
      <c r="AP931">
        <v>0</v>
      </c>
      <c r="AQ931">
        <v>0</v>
      </c>
      <c r="AR931">
        <v>0</v>
      </c>
      <c r="AS931">
        <v>0</v>
      </c>
      <c r="AT931">
        <f t="shared" si="44"/>
        <v>6.6000000000000005</v>
      </c>
      <c r="AU931">
        <f t="shared" si="42"/>
        <v>0.33333333333333331</v>
      </c>
      <c r="AV931">
        <f t="shared" si="43"/>
        <v>857.7</v>
      </c>
      <c r="AW931">
        <v>73</v>
      </c>
    </row>
    <row r="932" spans="3:55" x14ac:dyDescent="0.45">
      <c r="C932">
        <v>77.8</v>
      </c>
      <c r="D932">
        <v>0</v>
      </c>
      <c r="E932">
        <v>0</v>
      </c>
      <c r="F932">
        <v>0</v>
      </c>
      <c r="G932">
        <v>0</v>
      </c>
      <c r="H932">
        <v>0</v>
      </c>
      <c r="I932">
        <v>0</v>
      </c>
      <c r="J932">
        <v>2.8</v>
      </c>
      <c r="K932">
        <v>13.8</v>
      </c>
      <c r="L932">
        <v>0</v>
      </c>
      <c r="M932">
        <v>2.8</v>
      </c>
      <c r="N932">
        <v>0</v>
      </c>
      <c r="O932">
        <v>2.8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1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  <c r="AG932">
        <v>0</v>
      </c>
      <c r="AH932">
        <v>0</v>
      </c>
      <c r="AI932">
        <v>0</v>
      </c>
      <c r="AJ932">
        <v>0</v>
      </c>
      <c r="AK932">
        <v>0</v>
      </c>
      <c r="AL932">
        <v>0</v>
      </c>
      <c r="AM932">
        <v>0</v>
      </c>
      <c r="AN932">
        <v>0</v>
      </c>
      <c r="AO932">
        <v>0</v>
      </c>
      <c r="AP932">
        <v>0</v>
      </c>
      <c r="AQ932">
        <v>0</v>
      </c>
      <c r="AR932">
        <v>0</v>
      </c>
      <c r="AS932">
        <v>0</v>
      </c>
      <c r="AT932">
        <f t="shared" si="44"/>
        <v>4.4800000000000004</v>
      </c>
      <c r="AU932">
        <f t="shared" si="42"/>
        <v>1.4</v>
      </c>
      <c r="AV932">
        <f t="shared" si="43"/>
        <v>874.43999999999994</v>
      </c>
      <c r="AW932">
        <v>47</v>
      </c>
    </row>
    <row r="933" spans="3:55" x14ac:dyDescent="0.45">
      <c r="C933">
        <v>80.099999999999994</v>
      </c>
      <c r="D933">
        <v>0</v>
      </c>
      <c r="E933">
        <v>0</v>
      </c>
      <c r="F933">
        <v>0</v>
      </c>
      <c r="G933">
        <v>0</v>
      </c>
      <c r="H933">
        <v>0</v>
      </c>
      <c r="I933">
        <v>0</v>
      </c>
      <c r="J933">
        <v>1.3</v>
      </c>
      <c r="K933">
        <v>14.4</v>
      </c>
      <c r="L933">
        <v>0</v>
      </c>
      <c r="M933">
        <v>3.9</v>
      </c>
      <c r="N933">
        <v>0</v>
      </c>
      <c r="O933">
        <v>0.3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1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  <c r="AG933">
        <v>0</v>
      </c>
      <c r="AH933">
        <v>0</v>
      </c>
      <c r="AI933">
        <v>0</v>
      </c>
      <c r="AJ933">
        <v>0</v>
      </c>
      <c r="AK933">
        <v>0</v>
      </c>
      <c r="AL933">
        <v>0</v>
      </c>
      <c r="AM933">
        <v>0</v>
      </c>
      <c r="AN933">
        <v>0</v>
      </c>
      <c r="AO933">
        <v>0</v>
      </c>
      <c r="AP933">
        <v>0</v>
      </c>
      <c r="AQ933">
        <v>0</v>
      </c>
      <c r="AR933">
        <v>0</v>
      </c>
      <c r="AS933">
        <v>0</v>
      </c>
      <c r="AT933">
        <f t="shared" si="44"/>
        <v>4.0980000000000008</v>
      </c>
      <c r="AU933">
        <f t="shared" si="42"/>
        <v>1.5166666666666666</v>
      </c>
      <c r="AV933">
        <f t="shared" si="43"/>
        <v>889.41</v>
      </c>
      <c r="AW933">
        <v>48.1</v>
      </c>
    </row>
    <row r="934" spans="3:55" x14ac:dyDescent="0.45">
      <c r="C934">
        <v>77.8</v>
      </c>
      <c r="D934">
        <v>0</v>
      </c>
      <c r="E934">
        <v>0</v>
      </c>
      <c r="F934">
        <v>0</v>
      </c>
      <c r="G934">
        <v>0</v>
      </c>
      <c r="H934">
        <v>0</v>
      </c>
      <c r="I934">
        <v>0</v>
      </c>
      <c r="J934">
        <v>2.8</v>
      </c>
      <c r="K934">
        <v>13.9</v>
      </c>
      <c r="L934">
        <v>0</v>
      </c>
      <c r="M934">
        <v>2.8</v>
      </c>
      <c r="N934">
        <v>0</v>
      </c>
      <c r="O934">
        <v>2.8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1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>
        <v>0</v>
      </c>
      <c r="AH934">
        <v>0</v>
      </c>
      <c r="AI934">
        <v>0</v>
      </c>
      <c r="AJ934">
        <v>0</v>
      </c>
      <c r="AK934">
        <v>0</v>
      </c>
      <c r="AL934">
        <v>0</v>
      </c>
      <c r="AM934">
        <v>0</v>
      </c>
      <c r="AN934">
        <v>0</v>
      </c>
      <c r="AO934">
        <v>0</v>
      </c>
      <c r="AP934">
        <v>0</v>
      </c>
      <c r="AQ934">
        <v>0</v>
      </c>
      <c r="AR934">
        <v>0</v>
      </c>
      <c r="AS934">
        <v>0</v>
      </c>
      <c r="AT934">
        <f t="shared" si="44"/>
        <v>4.508</v>
      </c>
      <c r="AU934">
        <f t="shared" si="42"/>
        <v>1.4</v>
      </c>
      <c r="AV934">
        <f t="shared" si="43"/>
        <v>874.43999999999994</v>
      </c>
      <c r="AW934">
        <v>47</v>
      </c>
    </row>
    <row r="935" spans="3:55" x14ac:dyDescent="0.45">
      <c r="C935">
        <v>86.51</v>
      </c>
      <c r="D935">
        <v>6</v>
      </c>
      <c r="E935">
        <v>0</v>
      </c>
      <c r="F935">
        <v>0</v>
      </c>
      <c r="G935">
        <v>0</v>
      </c>
      <c r="H935">
        <v>0</v>
      </c>
      <c r="I935">
        <v>0</v>
      </c>
      <c r="J935">
        <v>3.6</v>
      </c>
      <c r="K935">
        <v>0</v>
      </c>
      <c r="L935">
        <v>0</v>
      </c>
      <c r="M935">
        <v>2.8</v>
      </c>
      <c r="N935">
        <v>0</v>
      </c>
      <c r="O935">
        <v>0.72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1</v>
      </c>
      <c r="Z935">
        <v>0</v>
      </c>
      <c r="AA935">
        <v>0</v>
      </c>
      <c r="AB935">
        <v>0</v>
      </c>
      <c r="AC935">
        <v>950</v>
      </c>
      <c r="AD935">
        <v>1</v>
      </c>
      <c r="AE935">
        <v>1</v>
      </c>
      <c r="AF935">
        <v>0</v>
      </c>
      <c r="AG935">
        <v>0</v>
      </c>
      <c r="AH935">
        <v>650</v>
      </c>
      <c r="AI935">
        <v>6</v>
      </c>
      <c r="AJ935">
        <v>0</v>
      </c>
      <c r="AK935">
        <v>1</v>
      </c>
      <c r="AL935">
        <v>0</v>
      </c>
      <c r="AM935">
        <v>0</v>
      </c>
      <c r="AN935">
        <v>0</v>
      </c>
      <c r="AO935">
        <v>0</v>
      </c>
      <c r="AP935">
        <v>0</v>
      </c>
      <c r="AQ935">
        <v>0</v>
      </c>
      <c r="AR935">
        <v>0</v>
      </c>
      <c r="AS935">
        <v>0</v>
      </c>
      <c r="AT935">
        <f t="shared" si="44"/>
        <v>-5.8415999999999997</v>
      </c>
      <c r="AU935">
        <f t="shared" si="42"/>
        <v>7.5333333333333332</v>
      </c>
      <c r="AV935">
        <f t="shared" si="43"/>
        <v>881.52</v>
      </c>
      <c r="AX935">
        <v>899</v>
      </c>
      <c r="AY935">
        <v>990</v>
      </c>
      <c r="AZ935">
        <v>3.9</v>
      </c>
      <c r="BC935" t="s">
        <v>108</v>
      </c>
    </row>
    <row r="936" spans="3:55" x14ac:dyDescent="0.45">
      <c r="C936">
        <v>86.86</v>
      </c>
      <c r="D936">
        <v>6</v>
      </c>
      <c r="E936">
        <v>0</v>
      </c>
      <c r="F936">
        <v>0</v>
      </c>
      <c r="G936">
        <v>0</v>
      </c>
      <c r="H936">
        <v>0</v>
      </c>
      <c r="I936">
        <v>0</v>
      </c>
      <c r="J936">
        <v>3.6</v>
      </c>
      <c r="K936">
        <v>0.37</v>
      </c>
      <c r="L936">
        <v>0</v>
      </c>
      <c r="M936">
        <v>2.8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1</v>
      </c>
      <c r="Z936">
        <v>0</v>
      </c>
      <c r="AA936">
        <v>0</v>
      </c>
      <c r="AB936">
        <v>0</v>
      </c>
      <c r="AC936">
        <v>950</v>
      </c>
      <c r="AD936">
        <v>1</v>
      </c>
      <c r="AE936">
        <v>1</v>
      </c>
      <c r="AF936">
        <v>0</v>
      </c>
      <c r="AG936">
        <v>0</v>
      </c>
      <c r="AH936">
        <v>650</v>
      </c>
      <c r="AI936">
        <v>6</v>
      </c>
      <c r="AJ936">
        <v>0</v>
      </c>
      <c r="AK936">
        <v>1</v>
      </c>
      <c r="AL936">
        <v>0</v>
      </c>
      <c r="AM936">
        <v>0</v>
      </c>
      <c r="AN936">
        <v>0</v>
      </c>
      <c r="AO936">
        <v>0</v>
      </c>
      <c r="AP936">
        <v>0</v>
      </c>
      <c r="AQ936">
        <v>0</v>
      </c>
      <c r="AR936">
        <v>0</v>
      </c>
      <c r="AS936">
        <v>0</v>
      </c>
      <c r="AT936">
        <f t="shared" si="44"/>
        <v>-5.8963999999999999</v>
      </c>
      <c r="AU936">
        <f t="shared" si="42"/>
        <v>7.5333333333333332</v>
      </c>
      <c r="AV936">
        <f t="shared" si="43"/>
        <v>881.52</v>
      </c>
      <c r="AX936">
        <v>898</v>
      </c>
      <c r="AY936">
        <v>990</v>
      </c>
      <c r="AZ936">
        <v>4.0999999999999996</v>
      </c>
      <c r="BC936" t="s">
        <v>108</v>
      </c>
    </row>
    <row r="937" spans="3:55" x14ac:dyDescent="0.45">
      <c r="C937">
        <v>67.33</v>
      </c>
      <c r="D937">
        <v>0</v>
      </c>
      <c r="E937">
        <v>0</v>
      </c>
      <c r="F937">
        <v>0</v>
      </c>
      <c r="G937">
        <v>0</v>
      </c>
      <c r="H937">
        <v>2.2599999999999998</v>
      </c>
      <c r="I937">
        <v>0</v>
      </c>
      <c r="J937">
        <v>4.8500000000000005</v>
      </c>
      <c r="K937">
        <v>23.810000000000002</v>
      </c>
      <c r="L937">
        <v>0</v>
      </c>
      <c r="M937">
        <v>0</v>
      </c>
      <c r="N937">
        <v>0</v>
      </c>
      <c r="O937">
        <v>1.7500000000000002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1</v>
      </c>
      <c r="W937">
        <v>0</v>
      </c>
      <c r="X937">
        <v>0</v>
      </c>
      <c r="Y937">
        <v>0</v>
      </c>
      <c r="Z937">
        <v>1</v>
      </c>
      <c r="AA937">
        <v>0</v>
      </c>
      <c r="AB937">
        <v>0</v>
      </c>
      <c r="AC937">
        <v>0</v>
      </c>
      <c r="AD937">
        <v>0</v>
      </c>
      <c r="AE937">
        <v>1</v>
      </c>
      <c r="AF937">
        <v>0</v>
      </c>
      <c r="AG937">
        <v>0</v>
      </c>
      <c r="AH937">
        <v>0</v>
      </c>
      <c r="AI937">
        <v>0</v>
      </c>
      <c r="AJ937">
        <v>0</v>
      </c>
      <c r="AK937">
        <v>0</v>
      </c>
      <c r="AL937">
        <v>0</v>
      </c>
      <c r="AM937">
        <v>0</v>
      </c>
      <c r="AN937">
        <v>0</v>
      </c>
      <c r="AO937">
        <v>0</v>
      </c>
      <c r="AP937">
        <v>0</v>
      </c>
      <c r="AQ937">
        <v>0</v>
      </c>
      <c r="AR937">
        <v>0</v>
      </c>
      <c r="AS937">
        <v>0</v>
      </c>
      <c r="AT937">
        <f t="shared" si="44"/>
        <v>13.6058</v>
      </c>
      <c r="AU937">
        <f t="shared" si="42"/>
        <v>0.80833333333333346</v>
      </c>
      <c r="AV937">
        <f t="shared" si="43"/>
        <v>813.73099999999999</v>
      </c>
      <c r="AW937">
        <v>81</v>
      </c>
      <c r="AX937">
        <v>588</v>
      </c>
      <c r="BC937" t="s">
        <v>60</v>
      </c>
    </row>
    <row r="938" spans="3:55" x14ac:dyDescent="0.45">
      <c r="C938">
        <v>19</v>
      </c>
      <c r="D938">
        <v>0</v>
      </c>
      <c r="E938">
        <v>0</v>
      </c>
      <c r="F938">
        <v>0</v>
      </c>
      <c r="G938">
        <v>0</v>
      </c>
      <c r="H938">
        <v>0</v>
      </c>
      <c r="I938">
        <v>0</v>
      </c>
      <c r="J938">
        <v>21</v>
      </c>
      <c r="K938">
        <v>19</v>
      </c>
      <c r="L938">
        <v>20</v>
      </c>
      <c r="M938">
        <v>0</v>
      </c>
      <c r="N938">
        <v>0</v>
      </c>
      <c r="O938">
        <v>21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1</v>
      </c>
      <c r="Z938">
        <v>0</v>
      </c>
      <c r="AA938">
        <v>0</v>
      </c>
      <c r="AB938">
        <v>0</v>
      </c>
      <c r="AC938">
        <v>0</v>
      </c>
      <c r="AD938">
        <v>0</v>
      </c>
      <c r="AE938">
        <v>0</v>
      </c>
      <c r="AF938">
        <v>0</v>
      </c>
      <c r="AG938">
        <v>0</v>
      </c>
      <c r="AH938">
        <v>0</v>
      </c>
      <c r="AI938">
        <v>0</v>
      </c>
      <c r="AJ938">
        <v>0</v>
      </c>
      <c r="AK938">
        <v>0</v>
      </c>
      <c r="AL938">
        <v>0</v>
      </c>
      <c r="AM938">
        <v>0</v>
      </c>
      <c r="AN938">
        <v>0</v>
      </c>
      <c r="AO938">
        <v>0</v>
      </c>
      <c r="AP938">
        <v>0</v>
      </c>
      <c r="AQ938">
        <v>0</v>
      </c>
      <c r="AR938">
        <v>0</v>
      </c>
      <c r="AS938">
        <v>0</v>
      </c>
      <c r="AT938">
        <f t="shared" si="44"/>
        <v>29.94</v>
      </c>
      <c r="AU938">
        <f t="shared" si="42"/>
        <v>3.5</v>
      </c>
      <c r="AV938">
        <f t="shared" si="43"/>
        <v>547.1</v>
      </c>
      <c r="AW938">
        <v>153</v>
      </c>
      <c r="AX938">
        <v>1390</v>
      </c>
      <c r="BC938" t="s">
        <v>60</v>
      </c>
    </row>
    <row r="939" spans="3:55" x14ac:dyDescent="0.45">
      <c r="C939">
        <v>70</v>
      </c>
      <c r="D939">
        <v>0</v>
      </c>
      <c r="E939">
        <v>3</v>
      </c>
      <c r="F939">
        <v>0</v>
      </c>
      <c r="G939">
        <v>0</v>
      </c>
      <c r="H939">
        <v>0</v>
      </c>
      <c r="I939">
        <v>0</v>
      </c>
      <c r="J939">
        <v>6</v>
      </c>
      <c r="K939">
        <v>9</v>
      </c>
      <c r="L939">
        <v>0</v>
      </c>
      <c r="M939">
        <v>0</v>
      </c>
      <c r="N939">
        <v>0</v>
      </c>
      <c r="O939">
        <v>12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1</v>
      </c>
      <c r="W939">
        <v>0</v>
      </c>
      <c r="X939">
        <v>0</v>
      </c>
      <c r="Y939">
        <v>0</v>
      </c>
      <c r="Z939">
        <v>1</v>
      </c>
      <c r="AA939">
        <v>0</v>
      </c>
      <c r="AB939">
        <v>0</v>
      </c>
      <c r="AC939">
        <v>0</v>
      </c>
      <c r="AD939">
        <v>0</v>
      </c>
      <c r="AE939">
        <v>1</v>
      </c>
      <c r="AF939">
        <v>0</v>
      </c>
      <c r="AG939">
        <v>0</v>
      </c>
      <c r="AH939">
        <v>0</v>
      </c>
      <c r="AI939">
        <v>0</v>
      </c>
      <c r="AJ939">
        <v>0</v>
      </c>
      <c r="AK939">
        <v>0</v>
      </c>
      <c r="AL939">
        <v>0</v>
      </c>
      <c r="AM939">
        <v>0</v>
      </c>
      <c r="AN939">
        <v>0</v>
      </c>
      <c r="AO939">
        <v>0</v>
      </c>
      <c r="AP939">
        <v>0</v>
      </c>
      <c r="AQ939">
        <v>0</v>
      </c>
      <c r="AR939">
        <v>0</v>
      </c>
      <c r="AS939">
        <v>0</v>
      </c>
      <c r="AT939">
        <f t="shared" si="44"/>
        <v>7.1700000000000017</v>
      </c>
      <c r="AU939">
        <f t="shared" si="42"/>
        <v>1</v>
      </c>
      <c r="AV939">
        <f t="shared" si="43"/>
        <v>805.2</v>
      </c>
      <c r="AW939">
        <v>71.2</v>
      </c>
      <c r="AX939">
        <v>849</v>
      </c>
      <c r="BC939" t="s">
        <v>60</v>
      </c>
    </row>
    <row r="940" spans="3:55" x14ac:dyDescent="0.45">
      <c r="C940">
        <v>80.62</v>
      </c>
      <c r="D940">
        <v>10.14</v>
      </c>
      <c r="E940">
        <v>4.45</v>
      </c>
      <c r="F940">
        <v>2.2399999999999998</v>
      </c>
      <c r="G940">
        <v>0</v>
      </c>
      <c r="H940">
        <v>0.08</v>
      </c>
      <c r="I940">
        <v>0</v>
      </c>
      <c r="J940">
        <v>0</v>
      </c>
      <c r="K940">
        <v>0</v>
      </c>
      <c r="L940">
        <v>2.4699999999999998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1</v>
      </c>
      <c r="W940">
        <v>0</v>
      </c>
      <c r="X940">
        <v>0</v>
      </c>
      <c r="Y940">
        <v>0</v>
      </c>
      <c r="Z940">
        <v>1</v>
      </c>
      <c r="AA940">
        <v>0</v>
      </c>
      <c r="AB940">
        <v>0</v>
      </c>
      <c r="AC940">
        <v>0</v>
      </c>
      <c r="AD940">
        <v>0</v>
      </c>
      <c r="AE940">
        <v>1</v>
      </c>
      <c r="AF940">
        <v>0</v>
      </c>
      <c r="AG940">
        <v>0</v>
      </c>
      <c r="AH940">
        <v>0</v>
      </c>
      <c r="AI940">
        <v>0</v>
      </c>
      <c r="AJ940">
        <v>0</v>
      </c>
      <c r="AK940">
        <v>0</v>
      </c>
      <c r="AL940">
        <v>0</v>
      </c>
      <c r="AM940">
        <v>0</v>
      </c>
      <c r="AN940">
        <v>0</v>
      </c>
      <c r="AO940">
        <v>0</v>
      </c>
      <c r="AP940">
        <v>0</v>
      </c>
      <c r="AQ940">
        <v>0</v>
      </c>
      <c r="AR940">
        <v>0</v>
      </c>
      <c r="AS940">
        <v>0</v>
      </c>
      <c r="AT940">
        <f t="shared" si="44"/>
        <v>-0.8725000000000005</v>
      </c>
      <c r="AU940">
        <f t="shared" si="42"/>
        <v>10.14</v>
      </c>
      <c r="AV940">
        <f t="shared" si="43"/>
        <v>798.98299999999995</v>
      </c>
      <c r="AW940">
        <v>115</v>
      </c>
      <c r="AX940">
        <v>636</v>
      </c>
      <c r="BB940" t="s">
        <v>353</v>
      </c>
      <c r="BC940" t="s">
        <v>60</v>
      </c>
    </row>
    <row r="941" spans="3:55" x14ac:dyDescent="0.45">
      <c r="C941">
        <v>80.5</v>
      </c>
      <c r="D941">
        <v>5</v>
      </c>
      <c r="E941">
        <v>0</v>
      </c>
      <c r="F941">
        <v>5.5</v>
      </c>
      <c r="G941">
        <v>0</v>
      </c>
      <c r="H941">
        <v>0</v>
      </c>
      <c r="I941">
        <v>0</v>
      </c>
      <c r="J941">
        <v>2</v>
      </c>
      <c r="K941">
        <v>3</v>
      </c>
      <c r="L941">
        <v>4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1</v>
      </c>
      <c r="Z941">
        <v>0</v>
      </c>
      <c r="AA941">
        <v>0</v>
      </c>
      <c r="AB941">
        <v>0</v>
      </c>
      <c r="AC941">
        <v>0</v>
      </c>
      <c r="AD941">
        <v>0</v>
      </c>
      <c r="AE941">
        <v>0</v>
      </c>
      <c r="AF941">
        <v>0</v>
      </c>
      <c r="AG941">
        <v>0</v>
      </c>
      <c r="AH941">
        <v>600</v>
      </c>
      <c r="AI941">
        <v>6</v>
      </c>
      <c r="AJ941">
        <v>0</v>
      </c>
      <c r="AK941">
        <v>1</v>
      </c>
      <c r="AL941">
        <v>0</v>
      </c>
      <c r="AM941">
        <v>0</v>
      </c>
      <c r="AN941">
        <v>0</v>
      </c>
      <c r="AO941">
        <v>0</v>
      </c>
      <c r="AP941">
        <v>0</v>
      </c>
      <c r="AQ941">
        <v>0</v>
      </c>
      <c r="AR941">
        <v>0</v>
      </c>
      <c r="AS941">
        <v>0</v>
      </c>
      <c r="AT941">
        <f t="shared" si="44"/>
        <v>8.64</v>
      </c>
      <c r="AU941">
        <f t="shared" si="42"/>
        <v>5.333333333333333</v>
      </c>
      <c r="AV941">
        <f t="shared" si="43"/>
        <v>774.15000000000009</v>
      </c>
      <c r="AY941">
        <v>1224.3</v>
      </c>
      <c r="AZ941">
        <v>5.2</v>
      </c>
      <c r="BB941" t="s">
        <v>353</v>
      </c>
      <c r="BC941" t="s">
        <v>195</v>
      </c>
    </row>
    <row r="942" spans="3:55" x14ac:dyDescent="0.45">
      <c r="C942">
        <v>80.5</v>
      </c>
      <c r="D942">
        <v>5</v>
      </c>
      <c r="E942">
        <v>0</v>
      </c>
      <c r="F942">
        <v>5.5</v>
      </c>
      <c r="G942">
        <v>0</v>
      </c>
      <c r="H942">
        <v>0</v>
      </c>
      <c r="I942">
        <v>0</v>
      </c>
      <c r="J942">
        <v>2</v>
      </c>
      <c r="K942">
        <v>3</v>
      </c>
      <c r="L942">
        <v>4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1</v>
      </c>
      <c r="Z942">
        <v>0</v>
      </c>
      <c r="AA942">
        <v>0</v>
      </c>
      <c r="AB942">
        <v>0</v>
      </c>
      <c r="AC942">
        <v>800</v>
      </c>
      <c r="AD942">
        <v>0.5</v>
      </c>
      <c r="AE942">
        <v>0</v>
      </c>
      <c r="AF942">
        <v>0</v>
      </c>
      <c r="AG942">
        <v>1</v>
      </c>
      <c r="AH942">
        <v>600</v>
      </c>
      <c r="AI942">
        <v>6</v>
      </c>
      <c r="AJ942">
        <v>0</v>
      </c>
      <c r="AK942">
        <v>1</v>
      </c>
      <c r="AL942">
        <v>0</v>
      </c>
      <c r="AM942">
        <v>0</v>
      </c>
      <c r="AN942">
        <v>0</v>
      </c>
      <c r="AO942">
        <v>0</v>
      </c>
      <c r="AP942">
        <v>0</v>
      </c>
      <c r="AQ942">
        <v>0</v>
      </c>
      <c r="AR942">
        <v>0</v>
      </c>
      <c r="AS942">
        <v>0</v>
      </c>
      <c r="AT942">
        <f t="shared" si="44"/>
        <v>8.64</v>
      </c>
      <c r="AU942">
        <f t="shared" si="42"/>
        <v>5.333333333333333</v>
      </c>
      <c r="AV942">
        <f t="shared" si="43"/>
        <v>774.15000000000009</v>
      </c>
      <c r="AY942">
        <v>1125.4000000000001</v>
      </c>
      <c r="AZ942">
        <v>18.3</v>
      </c>
      <c r="BB942" t="s">
        <v>353</v>
      </c>
      <c r="BC942" t="s">
        <v>195</v>
      </c>
    </row>
    <row r="943" spans="3:55" x14ac:dyDescent="0.45">
      <c r="C943">
        <v>80.5</v>
      </c>
      <c r="D943">
        <v>5</v>
      </c>
      <c r="E943">
        <v>0</v>
      </c>
      <c r="F943">
        <v>5.5</v>
      </c>
      <c r="G943">
        <v>0</v>
      </c>
      <c r="H943">
        <v>0</v>
      </c>
      <c r="I943">
        <v>0</v>
      </c>
      <c r="J943">
        <v>2</v>
      </c>
      <c r="K943">
        <v>3</v>
      </c>
      <c r="L943">
        <v>4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1</v>
      </c>
      <c r="Z943">
        <v>0</v>
      </c>
      <c r="AA943">
        <v>0</v>
      </c>
      <c r="AB943">
        <v>0</v>
      </c>
      <c r="AC943">
        <v>800</v>
      </c>
      <c r="AD943">
        <v>0.5</v>
      </c>
      <c r="AE943">
        <v>1</v>
      </c>
      <c r="AF943">
        <v>0</v>
      </c>
      <c r="AG943">
        <v>0</v>
      </c>
      <c r="AH943">
        <v>0</v>
      </c>
      <c r="AI943">
        <v>0</v>
      </c>
      <c r="AJ943">
        <v>0</v>
      </c>
      <c r="AK943">
        <v>0</v>
      </c>
      <c r="AL943">
        <v>0</v>
      </c>
      <c r="AM943">
        <v>0</v>
      </c>
      <c r="AN943">
        <v>0</v>
      </c>
      <c r="AO943">
        <v>0</v>
      </c>
      <c r="AP943">
        <v>0</v>
      </c>
      <c r="AQ943">
        <v>0</v>
      </c>
      <c r="AR943">
        <v>0</v>
      </c>
      <c r="AS943">
        <v>0</v>
      </c>
      <c r="AT943">
        <f t="shared" si="44"/>
        <v>8.64</v>
      </c>
      <c r="AU943">
        <f t="shared" si="42"/>
        <v>5.333333333333333</v>
      </c>
      <c r="AV943">
        <f t="shared" si="43"/>
        <v>774.15000000000009</v>
      </c>
      <c r="AY943">
        <v>886.9</v>
      </c>
      <c r="AZ943">
        <v>19.2</v>
      </c>
      <c r="BB943" t="s">
        <v>353</v>
      </c>
      <c r="BC943" t="s">
        <v>195</v>
      </c>
    </row>
    <row r="944" spans="3:55" x14ac:dyDescent="0.45">
      <c r="C944">
        <v>80.41</v>
      </c>
      <c r="D944">
        <v>3</v>
      </c>
      <c r="E944">
        <v>7.46</v>
      </c>
      <c r="F944">
        <v>3.13</v>
      </c>
      <c r="G944">
        <v>0</v>
      </c>
      <c r="H944">
        <v>0</v>
      </c>
      <c r="I944">
        <v>0</v>
      </c>
      <c r="J944">
        <v>1</v>
      </c>
      <c r="K944">
        <v>0</v>
      </c>
      <c r="L944">
        <v>5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1</v>
      </c>
      <c r="W944">
        <v>20</v>
      </c>
      <c r="X944">
        <v>80</v>
      </c>
      <c r="Y944">
        <v>0</v>
      </c>
      <c r="Z944">
        <v>1</v>
      </c>
      <c r="AA944">
        <v>0</v>
      </c>
      <c r="AB944">
        <v>0</v>
      </c>
      <c r="AC944">
        <v>765</v>
      </c>
      <c r="AD944">
        <v>0.33</v>
      </c>
      <c r="AE944">
        <v>0</v>
      </c>
      <c r="AF944">
        <v>1</v>
      </c>
      <c r="AG944">
        <v>0</v>
      </c>
      <c r="AH944">
        <v>0</v>
      </c>
      <c r="AI944">
        <v>0</v>
      </c>
      <c r="AJ944">
        <v>0</v>
      </c>
      <c r="AK944">
        <v>0</v>
      </c>
      <c r="AL944">
        <v>0</v>
      </c>
      <c r="AM944">
        <v>0</v>
      </c>
      <c r="AN944">
        <v>0</v>
      </c>
      <c r="AO944">
        <v>0</v>
      </c>
      <c r="AP944">
        <v>0</v>
      </c>
      <c r="AQ944">
        <v>0</v>
      </c>
      <c r="AR944">
        <v>0</v>
      </c>
      <c r="AS944">
        <v>0</v>
      </c>
      <c r="AT944">
        <f t="shared" si="44"/>
        <v>12.0062</v>
      </c>
      <c r="AU944">
        <f t="shared" si="42"/>
        <v>3.1666666666666665</v>
      </c>
      <c r="AV944">
        <f t="shared" si="43"/>
        <v>707.99899999999991</v>
      </c>
      <c r="AY944">
        <v>807</v>
      </c>
      <c r="AZ944">
        <v>18.399999999999999</v>
      </c>
      <c r="BB944" t="s">
        <v>353</v>
      </c>
      <c r="BC944" t="s">
        <v>197</v>
      </c>
    </row>
    <row r="945" spans="3:55" x14ac:dyDescent="0.45">
      <c r="C945">
        <v>80.41</v>
      </c>
      <c r="D945">
        <v>3</v>
      </c>
      <c r="E945">
        <v>7.46</v>
      </c>
      <c r="F945">
        <v>3.13</v>
      </c>
      <c r="G945">
        <v>0</v>
      </c>
      <c r="H945">
        <v>0</v>
      </c>
      <c r="I945">
        <v>0</v>
      </c>
      <c r="J945">
        <v>1</v>
      </c>
      <c r="K945">
        <v>0</v>
      </c>
      <c r="L945">
        <v>5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1</v>
      </c>
      <c r="W945">
        <v>20</v>
      </c>
      <c r="X945">
        <v>80</v>
      </c>
      <c r="Y945">
        <v>0</v>
      </c>
      <c r="Z945">
        <v>1</v>
      </c>
      <c r="AA945">
        <v>0</v>
      </c>
      <c r="AB945">
        <v>0</v>
      </c>
      <c r="AC945">
        <v>765</v>
      </c>
      <c r="AD945">
        <v>0.33</v>
      </c>
      <c r="AE945">
        <v>0</v>
      </c>
      <c r="AF945">
        <v>1</v>
      </c>
      <c r="AG945">
        <v>0</v>
      </c>
      <c r="AH945">
        <v>500</v>
      </c>
      <c r="AI945">
        <v>6</v>
      </c>
      <c r="AJ945">
        <v>0</v>
      </c>
      <c r="AK945">
        <v>1</v>
      </c>
      <c r="AL945">
        <v>0</v>
      </c>
      <c r="AM945">
        <v>0</v>
      </c>
      <c r="AN945">
        <v>0</v>
      </c>
      <c r="AO945">
        <v>0</v>
      </c>
      <c r="AP945">
        <v>0</v>
      </c>
      <c r="AQ945">
        <v>0</v>
      </c>
      <c r="AR945">
        <v>0</v>
      </c>
      <c r="AS945">
        <v>0</v>
      </c>
      <c r="AT945">
        <f t="shared" si="44"/>
        <v>12.0062</v>
      </c>
      <c r="AU945">
        <f t="shared" si="42"/>
        <v>3.1666666666666665</v>
      </c>
      <c r="AV945">
        <f t="shared" si="43"/>
        <v>707.99899999999991</v>
      </c>
      <c r="AY945">
        <v>1390.3</v>
      </c>
      <c r="AZ945">
        <v>6.1</v>
      </c>
      <c r="BB945" t="s">
        <v>353</v>
      </c>
      <c r="BC945" t="s">
        <v>197</v>
      </c>
    </row>
    <row r="946" spans="3:55" x14ac:dyDescent="0.45">
      <c r="C946">
        <v>80.41</v>
      </c>
      <c r="D946">
        <v>3</v>
      </c>
      <c r="E946">
        <v>7.46</v>
      </c>
      <c r="F946">
        <v>3.13</v>
      </c>
      <c r="G946">
        <v>0</v>
      </c>
      <c r="H946">
        <v>0</v>
      </c>
      <c r="I946">
        <v>0</v>
      </c>
      <c r="J946">
        <v>1</v>
      </c>
      <c r="K946">
        <v>0</v>
      </c>
      <c r="L946">
        <v>5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1</v>
      </c>
      <c r="W946">
        <v>20</v>
      </c>
      <c r="X946">
        <v>80</v>
      </c>
      <c r="Y946">
        <v>0</v>
      </c>
      <c r="Z946">
        <v>1</v>
      </c>
      <c r="AA946">
        <v>0</v>
      </c>
      <c r="AB946">
        <v>0</v>
      </c>
      <c r="AC946">
        <v>765</v>
      </c>
      <c r="AD946">
        <v>0.33</v>
      </c>
      <c r="AE946">
        <v>0</v>
      </c>
      <c r="AF946">
        <v>1</v>
      </c>
      <c r="AG946">
        <v>0</v>
      </c>
      <c r="AH946">
        <v>500</v>
      </c>
      <c r="AI946">
        <v>8</v>
      </c>
      <c r="AJ946">
        <v>0</v>
      </c>
      <c r="AK946">
        <v>1</v>
      </c>
      <c r="AL946">
        <v>0</v>
      </c>
      <c r="AM946">
        <v>0</v>
      </c>
      <c r="AN946">
        <v>0</v>
      </c>
      <c r="AO946">
        <v>0</v>
      </c>
      <c r="AP946">
        <v>0</v>
      </c>
      <c r="AQ946">
        <v>0</v>
      </c>
      <c r="AR946">
        <v>0</v>
      </c>
      <c r="AS946">
        <v>0</v>
      </c>
      <c r="AT946">
        <f t="shared" si="44"/>
        <v>12.0062</v>
      </c>
      <c r="AU946">
        <f t="shared" si="42"/>
        <v>3.1666666666666665</v>
      </c>
      <c r="AV946">
        <f t="shared" si="43"/>
        <v>707.99899999999991</v>
      </c>
      <c r="AY946">
        <v>1420.1</v>
      </c>
      <c r="AZ946">
        <v>6.3</v>
      </c>
      <c r="BB946" t="s">
        <v>353</v>
      </c>
      <c r="BC946" t="s">
        <v>197</v>
      </c>
    </row>
    <row r="947" spans="3:55" x14ac:dyDescent="0.45">
      <c r="C947">
        <v>80.41</v>
      </c>
      <c r="D947">
        <v>3</v>
      </c>
      <c r="E947">
        <v>7.46</v>
      </c>
      <c r="F947">
        <v>3.13</v>
      </c>
      <c r="G947">
        <v>0</v>
      </c>
      <c r="H947">
        <v>0</v>
      </c>
      <c r="I947">
        <v>0</v>
      </c>
      <c r="J947">
        <v>1</v>
      </c>
      <c r="K947">
        <v>0</v>
      </c>
      <c r="L947">
        <v>5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1</v>
      </c>
      <c r="W947">
        <v>20</v>
      </c>
      <c r="X947">
        <v>80</v>
      </c>
      <c r="Y947">
        <v>0</v>
      </c>
      <c r="Z947">
        <v>1</v>
      </c>
      <c r="AA947">
        <v>0</v>
      </c>
      <c r="AB947">
        <v>0</v>
      </c>
      <c r="AC947">
        <v>765</v>
      </c>
      <c r="AD947">
        <v>0.33</v>
      </c>
      <c r="AE947">
        <v>0</v>
      </c>
      <c r="AF947">
        <v>1</v>
      </c>
      <c r="AG947">
        <v>0</v>
      </c>
      <c r="AH947">
        <v>500</v>
      </c>
      <c r="AI947">
        <v>10</v>
      </c>
      <c r="AJ947">
        <v>0</v>
      </c>
      <c r="AK947">
        <v>1</v>
      </c>
      <c r="AL947">
        <v>0</v>
      </c>
      <c r="AM947">
        <v>0</v>
      </c>
      <c r="AN947">
        <v>0</v>
      </c>
      <c r="AO947">
        <v>0</v>
      </c>
      <c r="AP947">
        <v>0</v>
      </c>
      <c r="AQ947">
        <v>0</v>
      </c>
      <c r="AR947">
        <v>0</v>
      </c>
      <c r="AS947">
        <v>0</v>
      </c>
      <c r="AT947">
        <f t="shared" si="44"/>
        <v>12.0062</v>
      </c>
      <c r="AU947">
        <f t="shared" si="42"/>
        <v>3.1666666666666665</v>
      </c>
      <c r="AV947">
        <f t="shared" si="43"/>
        <v>707.99899999999991</v>
      </c>
      <c r="AY947">
        <v>1369.8</v>
      </c>
      <c r="AZ947">
        <v>5.7</v>
      </c>
      <c r="BB947" t="s">
        <v>353</v>
      </c>
      <c r="BC947" t="s">
        <v>197</v>
      </c>
    </row>
    <row r="948" spans="3:55" x14ac:dyDescent="0.45">
      <c r="C948">
        <v>80.41</v>
      </c>
      <c r="D948">
        <v>3</v>
      </c>
      <c r="E948">
        <v>7.46</v>
      </c>
      <c r="F948">
        <v>3.13</v>
      </c>
      <c r="G948">
        <v>0</v>
      </c>
      <c r="H948">
        <v>0</v>
      </c>
      <c r="I948">
        <v>0</v>
      </c>
      <c r="J948">
        <v>1</v>
      </c>
      <c r="K948">
        <v>0</v>
      </c>
      <c r="L948">
        <v>5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1</v>
      </c>
      <c r="W948">
        <v>20</v>
      </c>
      <c r="X948">
        <v>80</v>
      </c>
      <c r="Y948">
        <v>0</v>
      </c>
      <c r="Z948">
        <v>1</v>
      </c>
      <c r="AA948">
        <v>0</v>
      </c>
      <c r="AB948">
        <v>0</v>
      </c>
      <c r="AC948">
        <v>765</v>
      </c>
      <c r="AD948">
        <v>0.33</v>
      </c>
      <c r="AE948">
        <v>0</v>
      </c>
      <c r="AF948">
        <v>1</v>
      </c>
      <c r="AG948">
        <v>0</v>
      </c>
      <c r="AH948">
        <v>500</v>
      </c>
      <c r="AI948">
        <v>12</v>
      </c>
      <c r="AJ948">
        <v>0</v>
      </c>
      <c r="AK948">
        <v>1</v>
      </c>
      <c r="AL948">
        <v>0</v>
      </c>
      <c r="AM948">
        <v>0</v>
      </c>
      <c r="AN948">
        <v>0</v>
      </c>
      <c r="AO948">
        <v>0</v>
      </c>
      <c r="AP948">
        <v>0</v>
      </c>
      <c r="AQ948">
        <v>0</v>
      </c>
      <c r="AR948">
        <v>0</v>
      </c>
      <c r="AS948">
        <v>0</v>
      </c>
      <c r="AT948">
        <f t="shared" si="44"/>
        <v>12.0062</v>
      </c>
      <c r="AU948">
        <f t="shared" si="42"/>
        <v>3.1666666666666665</v>
      </c>
      <c r="AV948">
        <f t="shared" si="43"/>
        <v>707.99899999999991</v>
      </c>
      <c r="AY948">
        <v>1344.6</v>
      </c>
      <c r="AZ948">
        <v>5</v>
      </c>
      <c r="BB948" t="s">
        <v>353</v>
      </c>
      <c r="BC948" t="s">
        <v>197</v>
      </c>
    </row>
    <row r="949" spans="3:55" x14ac:dyDescent="0.45">
      <c r="C949">
        <v>80.41</v>
      </c>
      <c r="D949">
        <v>3</v>
      </c>
      <c r="E949">
        <v>7.46</v>
      </c>
      <c r="F949">
        <v>3.13</v>
      </c>
      <c r="G949">
        <v>0</v>
      </c>
      <c r="H949">
        <v>0</v>
      </c>
      <c r="I949">
        <v>0</v>
      </c>
      <c r="J949">
        <v>1</v>
      </c>
      <c r="K949">
        <v>0</v>
      </c>
      <c r="L949">
        <v>5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1</v>
      </c>
      <c r="W949">
        <v>20</v>
      </c>
      <c r="X949">
        <v>80</v>
      </c>
      <c r="Y949">
        <v>0</v>
      </c>
      <c r="Z949">
        <v>1</v>
      </c>
      <c r="AA949">
        <v>0</v>
      </c>
      <c r="AB949">
        <v>0</v>
      </c>
      <c r="AC949">
        <v>800</v>
      </c>
      <c r="AD949">
        <v>0.33</v>
      </c>
      <c r="AE949">
        <v>0</v>
      </c>
      <c r="AF949">
        <v>1</v>
      </c>
      <c r="AG949">
        <v>0</v>
      </c>
      <c r="AH949">
        <v>0</v>
      </c>
      <c r="AI949">
        <v>0</v>
      </c>
      <c r="AJ949">
        <v>0</v>
      </c>
      <c r="AK949">
        <v>0</v>
      </c>
      <c r="AL949">
        <v>0</v>
      </c>
      <c r="AM949">
        <v>0</v>
      </c>
      <c r="AN949">
        <v>0</v>
      </c>
      <c r="AO949">
        <v>0</v>
      </c>
      <c r="AP949">
        <v>0</v>
      </c>
      <c r="AQ949">
        <v>0</v>
      </c>
      <c r="AR949">
        <v>0</v>
      </c>
      <c r="AS949">
        <v>0</v>
      </c>
      <c r="AT949">
        <f t="shared" si="44"/>
        <v>12.0062</v>
      </c>
      <c r="AU949">
        <f t="shared" si="42"/>
        <v>3.1666666666666665</v>
      </c>
      <c r="AV949">
        <f t="shared" si="43"/>
        <v>707.99899999999991</v>
      </c>
      <c r="AY949">
        <v>773</v>
      </c>
      <c r="AZ949">
        <v>17.3</v>
      </c>
      <c r="BB949" t="s">
        <v>353</v>
      </c>
      <c r="BC949" t="s">
        <v>197</v>
      </c>
    </row>
    <row r="950" spans="3:55" x14ac:dyDescent="0.45">
      <c r="C950">
        <v>80.885999999999996</v>
      </c>
      <c r="D950">
        <v>5.0999999999999996</v>
      </c>
      <c r="E950">
        <v>4.97</v>
      </c>
      <c r="F950">
        <v>2.93</v>
      </c>
      <c r="G950">
        <v>0</v>
      </c>
      <c r="H950">
        <v>0</v>
      </c>
      <c r="I950">
        <v>0</v>
      </c>
      <c r="J950">
        <v>1.0900000000000001</v>
      </c>
      <c r="K950">
        <v>0</v>
      </c>
      <c r="L950">
        <v>4.9400000000000004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0</v>
      </c>
      <c r="X950">
        <v>0</v>
      </c>
      <c r="Y950">
        <v>1</v>
      </c>
      <c r="Z950">
        <v>0</v>
      </c>
      <c r="AA950">
        <v>0</v>
      </c>
      <c r="AB950">
        <v>0</v>
      </c>
      <c r="AC950">
        <v>0</v>
      </c>
      <c r="AD950">
        <v>0</v>
      </c>
      <c r="AE950">
        <v>0</v>
      </c>
      <c r="AF950">
        <v>0</v>
      </c>
      <c r="AG950">
        <v>0</v>
      </c>
      <c r="AH950">
        <v>0</v>
      </c>
      <c r="AI950">
        <v>0</v>
      </c>
      <c r="AJ950">
        <v>0</v>
      </c>
      <c r="AK950">
        <v>0</v>
      </c>
      <c r="AL950">
        <v>0</v>
      </c>
      <c r="AM950">
        <v>0</v>
      </c>
      <c r="AN950">
        <v>0</v>
      </c>
      <c r="AO950">
        <v>0</v>
      </c>
      <c r="AP950">
        <v>0</v>
      </c>
      <c r="AQ950">
        <v>0</v>
      </c>
      <c r="AR950">
        <v>0</v>
      </c>
      <c r="AS950">
        <v>0</v>
      </c>
      <c r="AT950">
        <f t="shared" si="44"/>
        <v>7.8579000000000008</v>
      </c>
      <c r="AU950">
        <f t="shared" si="42"/>
        <v>5.2816666666666663</v>
      </c>
      <c r="AV950">
        <f t="shared" si="43"/>
        <v>744.16000000000008</v>
      </c>
      <c r="BB950" t="s">
        <v>353</v>
      </c>
      <c r="BC950" t="s">
        <v>198</v>
      </c>
    </row>
    <row r="951" spans="3:55" x14ac:dyDescent="0.45">
      <c r="C951">
        <v>80.885999999999996</v>
      </c>
      <c r="D951">
        <v>5.0999999999999996</v>
      </c>
      <c r="E951">
        <v>4.97</v>
      </c>
      <c r="F951">
        <v>2.93</v>
      </c>
      <c r="G951">
        <v>0</v>
      </c>
      <c r="H951">
        <v>0</v>
      </c>
      <c r="I951">
        <v>0</v>
      </c>
      <c r="J951">
        <v>1.0900000000000001</v>
      </c>
      <c r="K951">
        <v>0</v>
      </c>
      <c r="L951">
        <v>4.9400000000000004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1</v>
      </c>
      <c r="Z951">
        <v>0</v>
      </c>
      <c r="AA951">
        <v>0</v>
      </c>
      <c r="AB951">
        <v>0</v>
      </c>
      <c r="AC951">
        <v>880</v>
      </c>
      <c r="AD951">
        <v>1.5</v>
      </c>
      <c r="AE951">
        <v>0</v>
      </c>
      <c r="AF951">
        <v>0</v>
      </c>
      <c r="AG951">
        <v>0</v>
      </c>
      <c r="AH951">
        <v>600</v>
      </c>
      <c r="AI951">
        <v>8</v>
      </c>
      <c r="AJ951">
        <v>0</v>
      </c>
      <c r="AK951">
        <v>1</v>
      </c>
      <c r="AL951">
        <v>0</v>
      </c>
      <c r="AM951">
        <v>0</v>
      </c>
      <c r="AN951">
        <v>0</v>
      </c>
      <c r="AO951">
        <v>0</v>
      </c>
      <c r="AP951">
        <v>0</v>
      </c>
      <c r="AQ951">
        <v>0</v>
      </c>
      <c r="AR951">
        <v>0</v>
      </c>
      <c r="AS951">
        <v>0</v>
      </c>
      <c r="AT951">
        <f t="shared" si="44"/>
        <v>7.8579000000000008</v>
      </c>
      <c r="AU951">
        <f t="shared" si="42"/>
        <v>5.2816666666666663</v>
      </c>
      <c r="AV951">
        <f t="shared" si="43"/>
        <v>744.16000000000008</v>
      </c>
      <c r="BB951" t="s">
        <v>353</v>
      </c>
      <c r="BC951" t="s">
        <v>198</v>
      </c>
    </row>
    <row r="952" spans="3:55" x14ac:dyDescent="0.45">
      <c r="C952">
        <v>80.885999999999996</v>
      </c>
      <c r="D952">
        <v>5.0999999999999996</v>
      </c>
      <c r="E952">
        <v>4.97</v>
      </c>
      <c r="F952">
        <v>2.93</v>
      </c>
      <c r="G952">
        <v>0</v>
      </c>
      <c r="H952">
        <v>0</v>
      </c>
      <c r="I952">
        <v>0</v>
      </c>
      <c r="J952">
        <v>1.0900000000000001</v>
      </c>
      <c r="K952">
        <v>0</v>
      </c>
      <c r="L952">
        <v>4.9400000000000004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1</v>
      </c>
      <c r="Z952">
        <v>0</v>
      </c>
      <c r="AA952">
        <v>0</v>
      </c>
      <c r="AB952">
        <v>0</v>
      </c>
      <c r="AC952">
        <v>790</v>
      </c>
      <c r="AD952">
        <v>1.5</v>
      </c>
      <c r="AE952">
        <v>0</v>
      </c>
      <c r="AF952">
        <v>1</v>
      </c>
      <c r="AG952">
        <v>0</v>
      </c>
      <c r="AH952">
        <v>600</v>
      </c>
      <c r="AI952">
        <v>8</v>
      </c>
      <c r="AJ952">
        <v>0</v>
      </c>
      <c r="AK952">
        <v>1</v>
      </c>
      <c r="AL952">
        <v>0</v>
      </c>
      <c r="AM952">
        <v>0</v>
      </c>
      <c r="AN952">
        <v>0</v>
      </c>
      <c r="AO952">
        <v>0</v>
      </c>
      <c r="AP952">
        <v>0</v>
      </c>
      <c r="AQ952">
        <v>0</v>
      </c>
      <c r="AR952">
        <v>0</v>
      </c>
      <c r="AS952">
        <v>0</v>
      </c>
      <c r="AT952">
        <f t="shared" si="44"/>
        <v>7.8579000000000008</v>
      </c>
      <c r="AU952">
        <f t="shared" si="42"/>
        <v>5.2816666666666663</v>
      </c>
      <c r="AV952">
        <f t="shared" si="43"/>
        <v>744.16000000000008</v>
      </c>
      <c r="BB952" t="s">
        <v>353</v>
      </c>
      <c r="BC952" t="s">
        <v>198</v>
      </c>
    </row>
    <row r="953" spans="3:55" x14ac:dyDescent="0.45">
      <c r="C953">
        <v>80.885999999999996</v>
      </c>
      <c r="D953">
        <v>5.0999999999999996</v>
      </c>
      <c r="E953">
        <v>4.97</v>
      </c>
      <c r="F953">
        <v>2.93</v>
      </c>
      <c r="G953">
        <v>0</v>
      </c>
      <c r="H953">
        <v>0</v>
      </c>
      <c r="I953">
        <v>0</v>
      </c>
      <c r="J953">
        <v>1.0900000000000001</v>
      </c>
      <c r="K953">
        <v>0</v>
      </c>
      <c r="L953">
        <v>4.9400000000000004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1</v>
      </c>
      <c r="Z953">
        <v>0</v>
      </c>
      <c r="AA953">
        <v>0</v>
      </c>
      <c r="AB953">
        <v>0</v>
      </c>
      <c r="AC953">
        <v>810</v>
      </c>
      <c r="AD953">
        <v>2</v>
      </c>
      <c r="AE953">
        <v>0</v>
      </c>
      <c r="AF953">
        <v>0</v>
      </c>
      <c r="AG953">
        <v>1</v>
      </c>
      <c r="AH953">
        <v>0</v>
      </c>
      <c r="AI953">
        <v>0</v>
      </c>
      <c r="AJ953">
        <v>0</v>
      </c>
      <c r="AK953">
        <v>0</v>
      </c>
      <c r="AL953">
        <v>0</v>
      </c>
      <c r="AM953">
        <v>0</v>
      </c>
      <c r="AN953">
        <v>0</v>
      </c>
      <c r="AO953">
        <v>0</v>
      </c>
      <c r="AP953">
        <v>0</v>
      </c>
      <c r="AQ953">
        <v>0</v>
      </c>
      <c r="AR953">
        <v>0</v>
      </c>
      <c r="AS953">
        <v>0</v>
      </c>
      <c r="AT953">
        <f t="shared" si="44"/>
        <v>7.8579000000000008</v>
      </c>
      <c r="AU953">
        <f t="shared" si="42"/>
        <v>5.2816666666666663</v>
      </c>
      <c r="AV953">
        <f t="shared" si="43"/>
        <v>744.16000000000008</v>
      </c>
      <c r="BB953" t="s">
        <v>353</v>
      </c>
      <c r="BC953" t="s">
        <v>198</v>
      </c>
    </row>
    <row r="954" spans="3:55" x14ac:dyDescent="0.45">
      <c r="C954">
        <v>80.885999999999996</v>
      </c>
      <c r="D954">
        <v>5.0999999999999996</v>
      </c>
      <c r="E954">
        <v>4.97</v>
      </c>
      <c r="F954">
        <v>2.93</v>
      </c>
      <c r="G954">
        <v>0</v>
      </c>
      <c r="H954">
        <v>0</v>
      </c>
      <c r="I954">
        <v>0</v>
      </c>
      <c r="J954">
        <v>1.0900000000000001</v>
      </c>
      <c r="K954">
        <v>0</v>
      </c>
      <c r="L954">
        <v>4.9400000000000004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1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>
        <v>0</v>
      </c>
      <c r="AH954">
        <v>0</v>
      </c>
      <c r="AI954">
        <v>0</v>
      </c>
      <c r="AJ954">
        <v>0</v>
      </c>
      <c r="AK954">
        <v>0</v>
      </c>
      <c r="AL954">
        <v>0</v>
      </c>
      <c r="AM954">
        <v>0</v>
      </c>
      <c r="AN954">
        <v>0</v>
      </c>
      <c r="AO954">
        <v>0</v>
      </c>
      <c r="AP954">
        <v>0</v>
      </c>
      <c r="AQ954">
        <v>0</v>
      </c>
      <c r="AR954">
        <v>0</v>
      </c>
      <c r="AS954">
        <v>0</v>
      </c>
      <c r="AT954">
        <f t="shared" si="44"/>
        <v>7.8579000000000008</v>
      </c>
      <c r="AU954">
        <f t="shared" si="42"/>
        <v>5.2816666666666663</v>
      </c>
      <c r="AV954">
        <f t="shared" si="43"/>
        <v>744.16000000000008</v>
      </c>
      <c r="BB954" t="s">
        <v>353</v>
      </c>
      <c r="BC954" t="s">
        <v>198</v>
      </c>
    </row>
    <row r="955" spans="3:55" x14ac:dyDescent="0.45">
      <c r="C955">
        <v>80.885999999999996</v>
      </c>
      <c r="D955">
        <v>5.0999999999999996</v>
      </c>
      <c r="E955">
        <v>4.97</v>
      </c>
      <c r="F955">
        <v>2.93</v>
      </c>
      <c r="G955">
        <v>0</v>
      </c>
      <c r="H955">
        <v>0</v>
      </c>
      <c r="I955">
        <v>0</v>
      </c>
      <c r="J955">
        <v>1.0900000000000001</v>
      </c>
      <c r="K955">
        <v>0</v>
      </c>
      <c r="L955">
        <v>4.9400000000000004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1</v>
      </c>
      <c r="Z955">
        <v>0</v>
      </c>
      <c r="AA955">
        <v>0</v>
      </c>
      <c r="AB955">
        <v>0</v>
      </c>
      <c r="AC955">
        <v>810</v>
      </c>
      <c r="AD955">
        <v>2</v>
      </c>
      <c r="AE955">
        <v>0</v>
      </c>
      <c r="AF955">
        <v>0</v>
      </c>
      <c r="AG955">
        <v>1</v>
      </c>
      <c r="AH955">
        <v>0</v>
      </c>
      <c r="AI955">
        <v>0</v>
      </c>
      <c r="AJ955">
        <v>0</v>
      </c>
      <c r="AK955">
        <v>0</v>
      </c>
      <c r="AL955">
        <v>0</v>
      </c>
      <c r="AM955">
        <v>0</v>
      </c>
      <c r="AN955">
        <v>0</v>
      </c>
      <c r="AO955">
        <v>0</v>
      </c>
      <c r="AP955">
        <v>0</v>
      </c>
      <c r="AQ955">
        <v>0</v>
      </c>
      <c r="AR955">
        <v>0</v>
      </c>
      <c r="AS955">
        <v>0</v>
      </c>
      <c r="AT955">
        <f t="shared" si="44"/>
        <v>7.8579000000000008</v>
      </c>
      <c r="AU955">
        <f t="shared" si="42"/>
        <v>5.2816666666666663</v>
      </c>
      <c r="AV955">
        <f t="shared" si="43"/>
        <v>744.16000000000008</v>
      </c>
      <c r="BB955" t="s">
        <v>353</v>
      </c>
      <c r="BC955" t="s">
        <v>198</v>
      </c>
    </row>
    <row r="956" spans="3:55" x14ac:dyDescent="0.45">
      <c r="C956">
        <v>79.760000000000005</v>
      </c>
      <c r="D956">
        <v>5.39</v>
      </c>
      <c r="E956">
        <v>4.95</v>
      </c>
      <c r="F956">
        <v>3.9</v>
      </c>
      <c r="G956">
        <v>0</v>
      </c>
      <c r="H956">
        <v>0</v>
      </c>
      <c r="I956">
        <v>0</v>
      </c>
      <c r="J956">
        <v>1.0900000000000001</v>
      </c>
      <c r="K956">
        <v>0</v>
      </c>
      <c r="L956">
        <v>4.8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1</v>
      </c>
      <c r="Z956">
        <v>0</v>
      </c>
      <c r="AA956">
        <v>0</v>
      </c>
      <c r="AB956">
        <v>0</v>
      </c>
      <c r="AC956">
        <v>800</v>
      </c>
      <c r="AD956">
        <v>2</v>
      </c>
      <c r="AE956">
        <v>0</v>
      </c>
      <c r="AF956">
        <v>1</v>
      </c>
      <c r="AG956">
        <v>0</v>
      </c>
      <c r="AH956">
        <v>600</v>
      </c>
      <c r="AI956">
        <v>6</v>
      </c>
      <c r="AJ956">
        <v>0</v>
      </c>
      <c r="AK956">
        <v>1</v>
      </c>
      <c r="AL956">
        <v>0</v>
      </c>
      <c r="AM956">
        <v>0</v>
      </c>
      <c r="AN956">
        <v>0</v>
      </c>
      <c r="AO956">
        <v>0</v>
      </c>
      <c r="AP956">
        <v>0</v>
      </c>
      <c r="AQ956">
        <v>0</v>
      </c>
      <c r="AR956">
        <v>0</v>
      </c>
      <c r="AS956">
        <v>0</v>
      </c>
      <c r="AT956">
        <f t="shared" si="44"/>
        <v>8.9664999999999999</v>
      </c>
      <c r="AU956">
        <f t="shared" si="42"/>
        <v>5.5716666666666663</v>
      </c>
      <c r="AV956">
        <f t="shared" si="43"/>
        <v>734.59799999999996</v>
      </c>
      <c r="AX956">
        <v>1230.75</v>
      </c>
      <c r="AY956">
        <v>1241.75</v>
      </c>
      <c r="AZ956">
        <v>3.7719999999999998</v>
      </c>
      <c r="BB956" t="s">
        <v>353</v>
      </c>
      <c r="BC956" t="s">
        <v>108</v>
      </c>
    </row>
    <row r="957" spans="3:55" x14ac:dyDescent="0.45">
      <c r="C957">
        <v>79.760000000000005</v>
      </c>
      <c r="D957">
        <v>5.39</v>
      </c>
      <c r="E957">
        <v>4.95</v>
      </c>
      <c r="F957">
        <v>3.9</v>
      </c>
      <c r="G957">
        <v>0</v>
      </c>
      <c r="H957">
        <v>0</v>
      </c>
      <c r="I957">
        <v>0</v>
      </c>
      <c r="J957">
        <v>1.0900000000000001</v>
      </c>
      <c r="K957">
        <v>0</v>
      </c>
      <c r="L957">
        <v>4.8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1</v>
      </c>
      <c r="Z957">
        <v>0</v>
      </c>
      <c r="AA957">
        <v>0</v>
      </c>
      <c r="AB957">
        <v>0</v>
      </c>
      <c r="AC957">
        <v>800</v>
      </c>
      <c r="AD957">
        <v>2</v>
      </c>
      <c r="AE957">
        <v>0</v>
      </c>
      <c r="AF957">
        <v>1</v>
      </c>
      <c r="AG957">
        <v>0</v>
      </c>
      <c r="AH957">
        <v>600</v>
      </c>
      <c r="AI957">
        <v>7</v>
      </c>
      <c r="AJ957">
        <v>0</v>
      </c>
      <c r="AK957">
        <v>1</v>
      </c>
      <c r="AL957">
        <v>0</v>
      </c>
      <c r="AM957">
        <v>0</v>
      </c>
      <c r="AN957">
        <v>0</v>
      </c>
      <c r="AO957">
        <v>0</v>
      </c>
      <c r="AP957">
        <v>0</v>
      </c>
      <c r="AQ957">
        <v>0</v>
      </c>
      <c r="AR957">
        <v>0</v>
      </c>
      <c r="AS957">
        <v>0</v>
      </c>
      <c r="AT957">
        <f t="shared" si="44"/>
        <v>8.9664999999999999</v>
      </c>
      <c r="AU957">
        <f t="shared" si="42"/>
        <v>5.5716666666666663</v>
      </c>
      <c r="AV957">
        <f t="shared" si="43"/>
        <v>734.59799999999996</v>
      </c>
      <c r="AX957">
        <v>1234.29</v>
      </c>
      <c r="AY957">
        <v>1265.29</v>
      </c>
      <c r="AZ957">
        <v>3.4079999999999999</v>
      </c>
      <c r="BC957" t="s">
        <v>108</v>
      </c>
    </row>
    <row r="958" spans="3:55" x14ac:dyDescent="0.45">
      <c r="C958">
        <v>79.760000000000005</v>
      </c>
      <c r="D958">
        <v>5.39</v>
      </c>
      <c r="E958">
        <v>4.95</v>
      </c>
      <c r="F958">
        <v>3.9</v>
      </c>
      <c r="G958">
        <v>0</v>
      </c>
      <c r="H958">
        <v>0</v>
      </c>
      <c r="I958">
        <v>0</v>
      </c>
      <c r="J958">
        <v>1.0900000000000001</v>
      </c>
      <c r="K958">
        <v>0</v>
      </c>
      <c r="L958">
        <v>4.8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1</v>
      </c>
      <c r="Z958">
        <v>0</v>
      </c>
      <c r="AA958">
        <v>0</v>
      </c>
      <c r="AB958">
        <v>0</v>
      </c>
      <c r="AC958">
        <v>800</v>
      </c>
      <c r="AD958">
        <v>2</v>
      </c>
      <c r="AE958">
        <v>0</v>
      </c>
      <c r="AF958">
        <v>1</v>
      </c>
      <c r="AG958">
        <v>0</v>
      </c>
      <c r="AH958">
        <v>600</v>
      </c>
      <c r="AI958">
        <v>8</v>
      </c>
      <c r="AJ958">
        <v>0</v>
      </c>
      <c r="AK958">
        <v>1</v>
      </c>
      <c r="AL958">
        <v>0</v>
      </c>
      <c r="AM958">
        <v>0</v>
      </c>
      <c r="AN958">
        <v>0</v>
      </c>
      <c r="AO958">
        <v>0</v>
      </c>
      <c r="AP958">
        <v>0</v>
      </c>
      <c r="AQ958">
        <v>0</v>
      </c>
      <c r="AR958">
        <v>0</v>
      </c>
      <c r="AS958">
        <v>0</v>
      </c>
      <c r="AT958">
        <f t="shared" si="44"/>
        <v>8.9664999999999999</v>
      </c>
      <c r="AU958">
        <f t="shared" si="42"/>
        <v>5.5716666666666663</v>
      </c>
      <c r="AV958">
        <f t="shared" si="43"/>
        <v>734.59799999999996</v>
      </c>
      <c r="AX958">
        <v>1255.3399999999999</v>
      </c>
      <c r="AY958">
        <v>1277.3399999999999</v>
      </c>
      <c r="AZ958">
        <v>4.9790000000000001</v>
      </c>
      <c r="BB958" t="s">
        <v>354</v>
      </c>
      <c r="BC958" t="s">
        <v>108</v>
      </c>
    </row>
    <row r="959" spans="3:55" x14ac:dyDescent="0.45">
      <c r="C959">
        <v>79.760000000000005</v>
      </c>
      <c r="D959">
        <v>5.39</v>
      </c>
      <c r="E959">
        <v>4.95</v>
      </c>
      <c r="F959">
        <v>3.9</v>
      </c>
      <c r="G959">
        <v>0</v>
      </c>
      <c r="H959">
        <v>0</v>
      </c>
      <c r="I959">
        <v>0</v>
      </c>
      <c r="J959">
        <v>1.0900000000000001</v>
      </c>
      <c r="K959">
        <v>0</v>
      </c>
      <c r="L959">
        <v>4.8</v>
      </c>
      <c r="M959">
        <v>0</v>
      </c>
      <c r="N959">
        <v>0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0</v>
      </c>
      <c r="Y959">
        <v>1</v>
      </c>
      <c r="Z959">
        <v>0</v>
      </c>
      <c r="AA959">
        <v>0</v>
      </c>
      <c r="AB959">
        <v>0</v>
      </c>
      <c r="AC959">
        <v>800</v>
      </c>
      <c r="AD959">
        <v>2</v>
      </c>
      <c r="AE959">
        <v>0</v>
      </c>
      <c r="AF959">
        <v>1</v>
      </c>
      <c r="AG959">
        <v>0</v>
      </c>
      <c r="AH959">
        <v>600</v>
      </c>
      <c r="AI959">
        <v>9</v>
      </c>
      <c r="AJ959">
        <v>0</v>
      </c>
      <c r="AK959">
        <v>1</v>
      </c>
      <c r="AL959">
        <v>0</v>
      </c>
      <c r="AM959">
        <v>0</v>
      </c>
      <c r="AN959">
        <v>0</v>
      </c>
      <c r="AO959">
        <v>0</v>
      </c>
      <c r="AP959">
        <v>0</v>
      </c>
      <c r="AQ959">
        <v>0</v>
      </c>
      <c r="AR959">
        <v>0</v>
      </c>
      <c r="AS959">
        <v>0</v>
      </c>
      <c r="AT959">
        <f t="shared" si="44"/>
        <v>8.9664999999999999</v>
      </c>
      <c r="AU959">
        <f t="shared" si="42"/>
        <v>5.5716666666666663</v>
      </c>
      <c r="AV959">
        <f t="shared" si="43"/>
        <v>734.59799999999996</v>
      </c>
      <c r="AX959">
        <v>1238</v>
      </c>
      <c r="AY959">
        <v>1268</v>
      </c>
      <c r="AZ959">
        <v>4.3109999999999999</v>
      </c>
      <c r="BB959" t="s">
        <v>354</v>
      </c>
      <c r="BC959" t="s">
        <v>108</v>
      </c>
    </row>
    <row r="960" spans="3:55" x14ac:dyDescent="0.45">
      <c r="C960">
        <v>79.760000000000005</v>
      </c>
      <c r="D960">
        <v>5.39</v>
      </c>
      <c r="E960">
        <v>4.95</v>
      </c>
      <c r="F960">
        <v>3.9</v>
      </c>
      <c r="G960">
        <v>0</v>
      </c>
      <c r="H960">
        <v>0</v>
      </c>
      <c r="I960">
        <v>0</v>
      </c>
      <c r="J960">
        <v>1.0900000000000001</v>
      </c>
      <c r="K960">
        <v>0</v>
      </c>
      <c r="L960">
        <v>4.8</v>
      </c>
      <c r="M960">
        <v>0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1</v>
      </c>
      <c r="Z960">
        <v>0</v>
      </c>
      <c r="AA960">
        <v>0</v>
      </c>
      <c r="AB960">
        <v>0</v>
      </c>
      <c r="AC960">
        <v>800</v>
      </c>
      <c r="AD960">
        <v>2</v>
      </c>
      <c r="AE960">
        <v>0</v>
      </c>
      <c r="AF960">
        <v>1</v>
      </c>
      <c r="AG960">
        <v>0</v>
      </c>
      <c r="AH960">
        <v>600</v>
      </c>
      <c r="AI960">
        <v>10</v>
      </c>
      <c r="AJ960">
        <v>0</v>
      </c>
      <c r="AK960">
        <v>1</v>
      </c>
      <c r="AL960">
        <v>0</v>
      </c>
      <c r="AM960">
        <v>0</v>
      </c>
      <c r="AN960">
        <v>0</v>
      </c>
      <c r="AO960">
        <v>0</v>
      </c>
      <c r="AP960">
        <v>0</v>
      </c>
      <c r="AQ960">
        <v>0</v>
      </c>
      <c r="AR960">
        <v>0</v>
      </c>
      <c r="AS960">
        <v>0</v>
      </c>
      <c r="AT960">
        <f t="shared" si="44"/>
        <v>8.9664999999999999</v>
      </c>
      <c r="AU960">
        <f t="shared" si="42"/>
        <v>5.5716666666666663</v>
      </c>
      <c r="AV960">
        <f t="shared" si="43"/>
        <v>734.59799999999996</v>
      </c>
      <c r="AX960">
        <v>1219.6600000000001</v>
      </c>
      <c r="AY960">
        <v>1255.6600000000001</v>
      </c>
      <c r="AZ960">
        <v>5.6360000000000001</v>
      </c>
      <c r="BB960" t="s">
        <v>354</v>
      </c>
      <c r="BC960" t="s">
        <v>108</v>
      </c>
    </row>
    <row r="961" spans="3:55" x14ac:dyDescent="0.45">
      <c r="C961">
        <v>79.760000000000005</v>
      </c>
      <c r="D961">
        <v>5.39</v>
      </c>
      <c r="E961">
        <v>4.95</v>
      </c>
      <c r="F961">
        <v>3.9</v>
      </c>
      <c r="G961">
        <v>0</v>
      </c>
      <c r="H961">
        <v>0</v>
      </c>
      <c r="I961">
        <v>0</v>
      </c>
      <c r="J961">
        <v>1.0900000000000001</v>
      </c>
      <c r="K961">
        <v>0</v>
      </c>
      <c r="L961">
        <v>4.8</v>
      </c>
      <c r="M961">
        <v>0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1</v>
      </c>
      <c r="Z961">
        <v>0</v>
      </c>
      <c r="AA961">
        <v>0</v>
      </c>
      <c r="AB961">
        <v>0</v>
      </c>
      <c r="AC961">
        <v>800</v>
      </c>
      <c r="AD961">
        <v>2</v>
      </c>
      <c r="AE961">
        <v>0</v>
      </c>
      <c r="AF961">
        <v>1</v>
      </c>
      <c r="AG961">
        <v>0</v>
      </c>
      <c r="AH961">
        <v>620</v>
      </c>
      <c r="AI961">
        <v>6</v>
      </c>
      <c r="AJ961">
        <v>0</v>
      </c>
      <c r="AK961">
        <v>1</v>
      </c>
      <c r="AL961">
        <v>0</v>
      </c>
      <c r="AM961">
        <v>0</v>
      </c>
      <c r="AN961">
        <v>0</v>
      </c>
      <c r="AO961">
        <v>0</v>
      </c>
      <c r="AP961">
        <v>0</v>
      </c>
      <c r="AQ961">
        <v>0</v>
      </c>
      <c r="AR961">
        <v>0</v>
      </c>
      <c r="AS961">
        <v>0</v>
      </c>
      <c r="AT961">
        <f t="shared" si="44"/>
        <v>8.9664999999999999</v>
      </c>
      <c r="AU961">
        <f t="shared" si="42"/>
        <v>5.5716666666666663</v>
      </c>
      <c r="AV961">
        <f t="shared" si="43"/>
        <v>734.59799999999996</v>
      </c>
      <c r="AX961">
        <v>1144.8900000000001</v>
      </c>
      <c r="AY961">
        <v>1176.8900000000001</v>
      </c>
      <c r="AZ961">
        <v>3.431</v>
      </c>
      <c r="BC961" t="s">
        <v>108</v>
      </c>
    </row>
    <row r="962" spans="3:55" x14ac:dyDescent="0.45">
      <c r="C962">
        <v>79.760000000000005</v>
      </c>
      <c r="D962">
        <v>5.39</v>
      </c>
      <c r="E962">
        <v>4.95</v>
      </c>
      <c r="F962">
        <v>3.9</v>
      </c>
      <c r="G962">
        <v>0</v>
      </c>
      <c r="H962">
        <v>0</v>
      </c>
      <c r="I962">
        <v>0</v>
      </c>
      <c r="J962">
        <v>1.0900000000000001</v>
      </c>
      <c r="K962">
        <v>0</v>
      </c>
      <c r="L962">
        <v>4.8</v>
      </c>
      <c r="M962">
        <v>0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1</v>
      </c>
      <c r="Z962">
        <v>0</v>
      </c>
      <c r="AA962">
        <v>0</v>
      </c>
      <c r="AB962">
        <v>0</v>
      </c>
      <c r="AC962">
        <v>800</v>
      </c>
      <c r="AD962">
        <v>2</v>
      </c>
      <c r="AE962">
        <v>0</v>
      </c>
      <c r="AF962">
        <v>1</v>
      </c>
      <c r="AG962">
        <v>0</v>
      </c>
      <c r="AH962">
        <v>620</v>
      </c>
      <c r="AI962">
        <v>7</v>
      </c>
      <c r="AJ962">
        <v>0</v>
      </c>
      <c r="AK962">
        <v>1</v>
      </c>
      <c r="AL962">
        <v>0</v>
      </c>
      <c r="AM962">
        <v>0</v>
      </c>
      <c r="AN962">
        <v>0</v>
      </c>
      <c r="AO962">
        <v>0</v>
      </c>
      <c r="AP962">
        <v>0</v>
      </c>
      <c r="AQ962">
        <v>0</v>
      </c>
      <c r="AR962">
        <v>0</v>
      </c>
      <c r="AS962">
        <v>0</v>
      </c>
      <c r="AT962">
        <f t="shared" si="44"/>
        <v>8.9664999999999999</v>
      </c>
      <c r="AU962">
        <f t="shared" ref="AU962:AU1025" si="45">D962+J962/6+M962/3+(T962+S962)/10</f>
        <v>5.5716666666666663</v>
      </c>
      <c r="AV962">
        <f t="shared" ref="AV962:AV1025" si="46">882+2.1*D962-9.5*L962+4.2*M962-6.9*J962-11.8*E962-12.1*F962-15.4*H962+23.3*Q962+123*T962</f>
        <v>734.59799999999996</v>
      </c>
      <c r="AX962">
        <v>1170.47</v>
      </c>
      <c r="AY962">
        <v>1196.47</v>
      </c>
      <c r="AZ962">
        <v>4.1500000000000004</v>
      </c>
      <c r="BC962" t="s">
        <v>108</v>
      </c>
    </row>
    <row r="963" spans="3:55" x14ac:dyDescent="0.45">
      <c r="C963">
        <v>79.760000000000005</v>
      </c>
      <c r="D963">
        <v>5.39</v>
      </c>
      <c r="E963">
        <v>4.95</v>
      </c>
      <c r="F963">
        <v>3.9</v>
      </c>
      <c r="G963">
        <v>0</v>
      </c>
      <c r="H963">
        <v>0</v>
      </c>
      <c r="I963">
        <v>0</v>
      </c>
      <c r="J963">
        <v>1.0900000000000001</v>
      </c>
      <c r="K963">
        <v>0</v>
      </c>
      <c r="L963">
        <v>4.8</v>
      </c>
      <c r="M963">
        <v>0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1</v>
      </c>
      <c r="Z963">
        <v>0</v>
      </c>
      <c r="AA963">
        <v>0</v>
      </c>
      <c r="AB963">
        <v>0</v>
      </c>
      <c r="AC963">
        <v>800</v>
      </c>
      <c r="AD963">
        <v>2</v>
      </c>
      <c r="AE963">
        <v>0</v>
      </c>
      <c r="AF963">
        <v>1</v>
      </c>
      <c r="AG963">
        <v>0</v>
      </c>
      <c r="AH963">
        <v>620</v>
      </c>
      <c r="AI963">
        <v>8</v>
      </c>
      <c r="AJ963">
        <v>0</v>
      </c>
      <c r="AK963">
        <v>1</v>
      </c>
      <c r="AL963">
        <v>0</v>
      </c>
      <c r="AM963">
        <v>0</v>
      </c>
      <c r="AN963">
        <v>0</v>
      </c>
      <c r="AO963">
        <v>0</v>
      </c>
      <c r="AP963">
        <v>0</v>
      </c>
      <c r="AQ963">
        <v>0</v>
      </c>
      <c r="AR963">
        <v>0</v>
      </c>
      <c r="AS963">
        <v>0</v>
      </c>
      <c r="AT963">
        <f t="shared" ref="AT963:AT1026" si="47">L963+0.67*E963+0.44*P963+0.28*K963+0.22*O963+2.9*H963+1.6*F963+1.7*G963-D963</f>
        <v>8.9664999999999999</v>
      </c>
      <c r="AU963">
        <f t="shared" si="45"/>
        <v>5.5716666666666663</v>
      </c>
      <c r="AV963">
        <f t="shared" si="46"/>
        <v>734.59799999999996</v>
      </c>
      <c r="AX963">
        <v>1178.9000000000001</v>
      </c>
      <c r="AY963">
        <v>1216.9000000000001</v>
      </c>
      <c r="AZ963">
        <v>7.7450000000000001</v>
      </c>
      <c r="BC963" t="s">
        <v>108</v>
      </c>
    </row>
    <row r="964" spans="3:55" x14ac:dyDescent="0.45">
      <c r="C964">
        <v>79.760000000000005</v>
      </c>
      <c r="D964">
        <v>5.39</v>
      </c>
      <c r="E964">
        <v>4.95</v>
      </c>
      <c r="F964">
        <v>3.9</v>
      </c>
      <c r="G964">
        <v>0</v>
      </c>
      <c r="H964">
        <v>0</v>
      </c>
      <c r="I964">
        <v>0</v>
      </c>
      <c r="J964">
        <v>1.0900000000000001</v>
      </c>
      <c r="K964">
        <v>0</v>
      </c>
      <c r="L964">
        <v>4.8</v>
      </c>
      <c r="M964">
        <v>0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1</v>
      </c>
      <c r="Z964">
        <v>0</v>
      </c>
      <c r="AA964">
        <v>0</v>
      </c>
      <c r="AB964">
        <v>0</v>
      </c>
      <c r="AC964">
        <v>800</v>
      </c>
      <c r="AD964">
        <v>2</v>
      </c>
      <c r="AE964">
        <v>0</v>
      </c>
      <c r="AF964">
        <v>1</v>
      </c>
      <c r="AG964">
        <v>0</v>
      </c>
      <c r="AH964">
        <v>620</v>
      </c>
      <c r="AI964">
        <v>9</v>
      </c>
      <c r="AJ964">
        <v>0</v>
      </c>
      <c r="AK964">
        <v>1</v>
      </c>
      <c r="AL964">
        <v>0</v>
      </c>
      <c r="AM964">
        <v>0</v>
      </c>
      <c r="AN964">
        <v>0</v>
      </c>
      <c r="AO964">
        <v>0</v>
      </c>
      <c r="AP964">
        <v>0</v>
      </c>
      <c r="AQ964">
        <v>0</v>
      </c>
      <c r="AR964">
        <v>0</v>
      </c>
      <c r="AS964">
        <v>0</v>
      </c>
      <c r="AT964">
        <f t="shared" si="47"/>
        <v>8.9664999999999999</v>
      </c>
      <c r="AU964">
        <f t="shared" si="45"/>
        <v>5.5716666666666663</v>
      </c>
      <c r="AV964">
        <f t="shared" si="46"/>
        <v>734.59799999999996</v>
      </c>
      <c r="AX964">
        <v>1163.05</v>
      </c>
      <c r="AY964">
        <v>1193.05</v>
      </c>
      <c r="AZ964">
        <v>8.8780000000000001</v>
      </c>
      <c r="BC964" t="s">
        <v>108</v>
      </c>
    </row>
    <row r="965" spans="3:55" x14ac:dyDescent="0.45">
      <c r="C965">
        <v>79.760000000000005</v>
      </c>
      <c r="D965">
        <v>5.39</v>
      </c>
      <c r="E965">
        <v>4.95</v>
      </c>
      <c r="F965">
        <v>3.9</v>
      </c>
      <c r="G965">
        <v>0</v>
      </c>
      <c r="H965">
        <v>0</v>
      </c>
      <c r="I965">
        <v>0</v>
      </c>
      <c r="J965">
        <v>1.0900000000000001</v>
      </c>
      <c r="K965">
        <v>0</v>
      </c>
      <c r="L965">
        <v>4.8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1</v>
      </c>
      <c r="Z965">
        <v>0</v>
      </c>
      <c r="AA965">
        <v>0</v>
      </c>
      <c r="AB965">
        <v>0</v>
      </c>
      <c r="AC965">
        <v>800</v>
      </c>
      <c r="AD965">
        <v>2</v>
      </c>
      <c r="AE965">
        <v>0</v>
      </c>
      <c r="AF965">
        <v>1</v>
      </c>
      <c r="AG965">
        <v>0</v>
      </c>
      <c r="AH965">
        <v>620</v>
      </c>
      <c r="AI965">
        <v>10</v>
      </c>
      <c r="AJ965">
        <v>0</v>
      </c>
      <c r="AK965">
        <v>1</v>
      </c>
      <c r="AL965">
        <v>0</v>
      </c>
      <c r="AM965">
        <v>0</v>
      </c>
      <c r="AN965">
        <v>0</v>
      </c>
      <c r="AO965">
        <v>0</v>
      </c>
      <c r="AP965">
        <v>0</v>
      </c>
      <c r="AQ965">
        <v>0</v>
      </c>
      <c r="AR965">
        <v>0</v>
      </c>
      <c r="AS965">
        <v>0</v>
      </c>
      <c r="AT965">
        <f t="shared" si="47"/>
        <v>8.9664999999999999</v>
      </c>
      <c r="AU965">
        <f t="shared" si="45"/>
        <v>5.5716666666666663</v>
      </c>
      <c r="AV965">
        <f t="shared" si="46"/>
        <v>734.59799999999996</v>
      </c>
      <c r="AX965">
        <v>1140.98</v>
      </c>
      <c r="AY965">
        <v>1176.98</v>
      </c>
      <c r="AZ965">
        <v>7.2370000000000001</v>
      </c>
      <c r="BB965" t="s">
        <v>355</v>
      </c>
      <c r="BC965" t="s">
        <v>108</v>
      </c>
    </row>
    <row r="966" spans="3:55" x14ac:dyDescent="0.45">
      <c r="C966">
        <v>79.760000000000005</v>
      </c>
      <c r="D966">
        <v>5.39</v>
      </c>
      <c r="E966">
        <v>4.95</v>
      </c>
      <c r="F966">
        <v>3.9</v>
      </c>
      <c r="G966">
        <v>0</v>
      </c>
      <c r="H966">
        <v>0</v>
      </c>
      <c r="I966">
        <v>0</v>
      </c>
      <c r="J966">
        <v>1.0900000000000001</v>
      </c>
      <c r="K966">
        <v>0</v>
      </c>
      <c r="L966">
        <v>4.8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1</v>
      </c>
      <c r="Z966">
        <v>0</v>
      </c>
      <c r="AA966">
        <v>0</v>
      </c>
      <c r="AB966">
        <v>0</v>
      </c>
      <c r="AC966">
        <v>800</v>
      </c>
      <c r="AD966">
        <v>2</v>
      </c>
      <c r="AE966">
        <v>0</v>
      </c>
      <c r="AF966">
        <v>1</v>
      </c>
      <c r="AG966">
        <v>0</v>
      </c>
      <c r="AH966">
        <v>640</v>
      </c>
      <c r="AI966">
        <v>6</v>
      </c>
      <c r="AJ966">
        <v>0</v>
      </c>
      <c r="AK966">
        <v>1</v>
      </c>
      <c r="AL966">
        <v>0</v>
      </c>
      <c r="AM966">
        <v>0</v>
      </c>
      <c r="AN966">
        <v>0</v>
      </c>
      <c r="AO966">
        <v>0</v>
      </c>
      <c r="AP966">
        <v>0</v>
      </c>
      <c r="AQ966">
        <v>0</v>
      </c>
      <c r="AR966">
        <v>0</v>
      </c>
      <c r="AS966">
        <v>0</v>
      </c>
      <c r="AT966">
        <f t="shared" si="47"/>
        <v>8.9664999999999999</v>
      </c>
      <c r="AU966">
        <f t="shared" si="45"/>
        <v>5.5716666666666663</v>
      </c>
      <c r="AV966">
        <f t="shared" si="46"/>
        <v>734.59799999999996</v>
      </c>
      <c r="AX966">
        <v>1120.8900000000001</v>
      </c>
      <c r="AY966">
        <v>1169.8900000000001</v>
      </c>
      <c r="AZ966">
        <v>4.2640000000000002</v>
      </c>
      <c r="BB966" t="s">
        <v>355</v>
      </c>
      <c r="BC966" t="s">
        <v>108</v>
      </c>
    </row>
    <row r="967" spans="3:55" x14ac:dyDescent="0.45">
      <c r="C967">
        <v>79.760000000000005</v>
      </c>
      <c r="D967">
        <v>5.39</v>
      </c>
      <c r="E967">
        <v>4.95</v>
      </c>
      <c r="F967">
        <v>3.9</v>
      </c>
      <c r="G967">
        <v>0</v>
      </c>
      <c r="H967">
        <v>0</v>
      </c>
      <c r="I967">
        <v>0</v>
      </c>
      <c r="J967">
        <v>1.0900000000000001</v>
      </c>
      <c r="K967">
        <v>0</v>
      </c>
      <c r="L967">
        <v>4.8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1</v>
      </c>
      <c r="Z967">
        <v>0</v>
      </c>
      <c r="AA967">
        <v>0</v>
      </c>
      <c r="AB967">
        <v>0</v>
      </c>
      <c r="AC967">
        <v>800</v>
      </c>
      <c r="AD967">
        <v>2</v>
      </c>
      <c r="AE967">
        <v>0</v>
      </c>
      <c r="AF967">
        <v>1</v>
      </c>
      <c r="AG967">
        <v>0</v>
      </c>
      <c r="AH967">
        <v>640</v>
      </c>
      <c r="AI967">
        <v>7</v>
      </c>
      <c r="AJ967">
        <v>0</v>
      </c>
      <c r="AK967">
        <v>1</v>
      </c>
      <c r="AL967">
        <v>0</v>
      </c>
      <c r="AM967">
        <v>0</v>
      </c>
      <c r="AN967">
        <v>0</v>
      </c>
      <c r="AO967">
        <v>0</v>
      </c>
      <c r="AP967">
        <v>0</v>
      </c>
      <c r="AQ967">
        <v>0</v>
      </c>
      <c r="AR967">
        <v>0</v>
      </c>
      <c r="AS967">
        <v>0</v>
      </c>
      <c r="AT967">
        <f t="shared" si="47"/>
        <v>8.9664999999999999</v>
      </c>
      <c r="AU967">
        <f t="shared" si="45"/>
        <v>5.5716666666666663</v>
      </c>
      <c r="AV967">
        <f t="shared" si="46"/>
        <v>734.59799999999996</v>
      </c>
      <c r="AX967">
        <v>1138</v>
      </c>
      <c r="AY967">
        <v>1168</v>
      </c>
      <c r="AZ967">
        <v>7.4560000000000004</v>
      </c>
      <c r="BB967" t="s">
        <v>355</v>
      </c>
      <c r="BC967" t="s">
        <v>108</v>
      </c>
    </row>
    <row r="968" spans="3:55" x14ac:dyDescent="0.45">
      <c r="C968">
        <v>79.760000000000005</v>
      </c>
      <c r="D968">
        <v>5.39</v>
      </c>
      <c r="E968">
        <v>4.95</v>
      </c>
      <c r="F968">
        <v>3.9</v>
      </c>
      <c r="G968">
        <v>0</v>
      </c>
      <c r="H968">
        <v>0</v>
      </c>
      <c r="I968">
        <v>0</v>
      </c>
      <c r="J968">
        <v>1.0900000000000001</v>
      </c>
      <c r="K968">
        <v>0</v>
      </c>
      <c r="L968">
        <v>4.8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1</v>
      </c>
      <c r="Z968">
        <v>0</v>
      </c>
      <c r="AA968">
        <v>0</v>
      </c>
      <c r="AB968">
        <v>0</v>
      </c>
      <c r="AC968">
        <v>800</v>
      </c>
      <c r="AD968">
        <v>2</v>
      </c>
      <c r="AE968">
        <v>0</v>
      </c>
      <c r="AF968">
        <v>1</v>
      </c>
      <c r="AG968">
        <v>0</v>
      </c>
      <c r="AH968">
        <v>640</v>
      </c>
      <c r="AI968">
        <v>8</v>
      </c>
      <c r="AJ968">
        <v>0</v>
      </c>
      <c r="AK968">
        <v>1</v>
      </c>
      <c r="AL968">
        <v>0</v>
      </c>
      <c r="AM968">
        <v>0</v>
      </c>
      <c r="AN968">
        <v>0</v>
      </c>
      <c r="AO968">
        <v>0</v>
      </c>
      <c r="AP968">
        <v>0</v>
      </c>
      <c r="AQ968">
        <v>0</v>
      </c>
      <c r="AR968">
        <v>0</v>
      </c>
      <c r="AS968">
        <v>0</v>
      </c>
      <c r="AT968">
        <f t="shared" si="47"/>
        <v>8.9664999999999999</v>
      </c>
      <c r="AU968">
        <f t="shared" si="45"/>
        <v>5.5716666666666663</v>
      </c>
      <c r="AV968">
        <f t="shared" si="46"/>
        <v>734.59799999999996</v>
      </c>
      <c r="AX968">
        <v>1150.1500000000001</v>
      </c>
      <c r="AY968">
        <v>1185.1500000000001</v>
      </c>
      <c r="AZ968">
        <v>6.5209999999999999</v>
      </c>
      <c r="BB968" t="s">
        <v>355</v>
      </c>
      <c r="BC968" t="s">
        <v>108</v>
      </c>
    </row>
    <row r="969" spans="3:55" x14ac:dyDescent="0.45">
      <c r="C969">
        <v>79.760000000000005</v>
      </c>
      <c r="D969">
        <v>5.39</v>
      </c>
      <c r="E969">
        <v>4.95</v>
      </c>
      <c r="F969">
        <v>3.9</v>
      </c>
      <c r="G969">
        <v>0</v>
      </c>
      <c r="H969">
        <v>0</v>
      </c>
      <c r="I969">
        <v>0</v>
      </c>
      <c r="J969">
        <v>1.0900000000000001</v>
      </c>
      <c r="K969">
        <v>0</v>
      </c>
      <c r="L969">
        <v>4.8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1</v>
      </c>
      <c r="Z969">
        <v>0</v>
      </c>
      <c r="AA969">
        <v>0</v>
      </c>
      <c r="AB969">
        <v>0</v>
      </c>
      <c r="AC969">
        <v>800</v>
      </c>
      <c r="AD969">
        <v>2</v>
      </c>
      <c r="AE969">
        <v>0</v>
      </c>
      <c r="AF969">
        <v>1</v>
      </c>
      <c r="AG969">
        <v>0</v>
      </c>
      <c r="AH969">
        <v>640</v>
      </c>
      <c r="AI969">
        <v>9</v>
      </c>
      <c r="AJ969">
        <v>0</v>
      </c>
      <c r="AK969">
        <v>1</v>
      </c>
      <c r="AL969">
        <v>0</v>
      </c>
      <c r="AM969">
        <v>0</v>
      </c>
      <c r="AN969">
        <v>0</v>
      </c>
      <c r="AO969">
        <v>0</v>
      </c>
      <c r="AP969">
        <v>0</v>
      </c>
      <c r="AQ969">
        <v>0</v>
      </c>
      <c r="AR969">
        <v>0</v>
      </c>
      <c r="AS969">
        <v>0</v>
      </c>
      <c r="AT969">
        <f t="shared" si="47"/>
        <v>8.9664999999999999</v>
      </c>
      <c r="AU969">
        <f t="shared" si="45"/>
        <v>5.5716666666666663</v>
      </c>
      <c r="AV969">
        <f t="shared" si="46"/>
        <v>734.59799999999996</v>
      </c>
      <c r="AX969">
        <v>1142.9100000000001</v>
      </c>
      <c r="AY969">
        <v>1173.9100000000001</v>
      </c>
      <c r="AZ969">
        <v>6.9349999999999996</v>
      </c>
      <c r="BB969" t="s">
        <v>355</v>
      </c>
      <c r="BC969" t="s">
        <v>108</v>
      </c>
    </row>
    <row r="970" spans="3:55" x14ac:dyDescent="0.45">
      <c r="C970">
        <v>79.760000000000005</v>
      </c>
      <c r="D970">
        <v>5.39</v>
      </c>
      <c r="E970">
        <v>4.95</v>
      </c>
      <c r="F970">
        <v>3.9</v>
      </c>
      <c r="G970">
        <v>0</v>
      </c>
      <c r="H970">
        <v>0</v>
      </c>
      <c r="I970">
        <v>0</v>
      </c>
      <c r="J970">
        <v>1.0900000000000001</v>
      </c>
      <c r="K970">
        <v>0</v>
      </c>
      <c r="L970">
        <v>4.8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1</v>
      </c>
      <c r="Z970">
        <v>0</v>
      </c>
      <c r="AA970">
        <v>0</v>
      </c>
      <c r="AB970">
        <v>0</v>
      </c>
      <c r="AC970">
        <v>800</v>
      </c>
      <c r="AD970">
        <v>2</v>
      </c>
      <c r="AE970">
        <v>0</v>
      </c>
      <c r="AF970">
        <v>1</v>
      </c>
      <c r="AG970">
        <v>0</v>
      </c>
      <c r="AH970">
        <v>640</v>
      </c>
      <c r="AI970">
        <v>10</v>
      </c>
      <c r="AJ970">
        <v>0</v>
      </c>
      <c r="AK970">
        <v>1</v>
      </c>
      <c r="AL970">
        <v>0</v>
      </c>
      <c r="AM970">
        <v>0</v>
      </c>
      <c r="AN970">
        <v>0</v>
      </c>
      <c r="AO970">
        <v>0</v>
      </c>
      <c r="AP970">
        <v>0</v>
      </c>
      <c r="AQ970">
        <v>0</v>
      </c>
      <c r="AR970">
        <v>0</v>
      </c>
      <c r="AS970">
        <v>0</v>
      </c>
      <c r="AT970">
        <f t="shared" si="47"/>
        <v>8.9664999999999999</v>
      </c>
      <c r="AU970">
        <f t="shared" si="45"/>
        <v>5.5716666666666663</v>
      </c>
      <c r="AV970">
        <f t="shared" si="46"/>
        <v>734.59799999999996</v>
      </c>
      <c r="AX970">
        <v>1129.5899999999999</v>
      </c>
      <c r="AY970">
        <v>1165.5899999999999</v>
      </c>
      <c r="AZ970">
        <v>5.1959999999999997</v>
      </c>
      <c r="BB970" t="s">
        <v>355</v>
      </c>
      <c r="BC970" t="s">
        <v>108</v>
      </c>
    </row>
    <row r="971" spans="3:55" x14ac:dyDescent="0.45">
      <c r="C971">
        <v>79.760000000000005</v>
      </c>
      <c r="D971">
        <v>5.39</v>
      </c>
      <c r="E971">
        <v>4.95</v>
      </c>
      <c r="F971">
        <v>3.9</v>
      </c>
      <c r="G971">
        <v>0</v>
      </c>
      <c r="H971">
        <v>0</v>
      </c>
      <c r="I971">
        <v>0</v>
      </c>
      <c r="J971">
        <v>1.0900000000000001</v>
      </c>
      <c r="K971">
        <v>0</v>
      </c>
      <c r="L971">
        <v>4.8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1</v>
      </c>
      <c r="Z971">
        <v>0</v>
      </c>
      <c r="AA971">
        <v>0</v>
      </c>
      <c r="AB971">
        <v>0</v>
      </c>
      <c r="AC971">
        <v>860</v>
      </c>
      <c r="AD971">
        <v>1.5</v>
      </c>
      <c r="AE971">
        <v>0</v>
      </c>
      <c r="AF971">
        <v>1</v>
      </c>
      <c r="AG971">
        <v>0</v>
      </c>
      <c r="AH971">
        <v>600</v>
      </c>
      <c r="AI971">
        <v>9</v>
      </c>
      <c r="AJ971">
        <v>0</v>
      </c>
      <c r="AK971">
        <v>1</v>
      </c>
      <c r="AL971">
        <v>0</v>
      </c>
      <c r="AM971">
        <v>0</v>
      </c>
      <c r="AN971">
        <v>0</v>
      </c>
      <c r="AO971">
        <v>0</v>
      </c>
      <c r="AP971">
        <v>0</v>
      </c>
      <c r="AQ971">
        <v>0</v>
      </c>
      <c r="AR971">
        <v>0</v>
      </c>
      <c r="AS971">
        <v>0</v>
      </c>
      <c r="AT971">
        <f t="shared" si="47"/>
        <v>8.9664999999999999</v>
      </c>
      <c r="AU971">
        <f t="shared" si="45"/>
        <v>5.5716666666666663</v>
      </c>
      <c r="AV971">
        <f t="shared" si="46"/>
        <v>734.59799999999996</v>
      </c>
      <c r="AX971">
        <v>1158.93</v>
      </c>
      <c r="AY971">
        <v>1196.83</v>
      </c>
      <c r="BC971" t="s">
        <v>108</v>
      </c>
    </row>
    <row r="972" spans="3:55" x14ac:dyDescent="0.45">
      <c r="C972">
        <v>79.760000000000005</v>
      </c>
      <c r="D972">
        <v>5.39</v>
      </c>
      <c r="E972">
        <v>4.95</v>
      </c>
      <c r="F972">
        <v>3.9</v>
      </c>
      <c r="G972">
        <v>0</v>
      </c>
      <c r="H972">
        <v>0</v>
      </c>
      <c r="I972">
        <v>0</v>
      </c>
      <c r="J972">
        <v>1.0900000000000001</v>
      </c>
      <c r="K972">
        <v>0</v>
      </c>
      <c r="L972">
        <v>4.8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1</v>
      </c>
      <c r="Z972">
        <v>0</v>
      </c>
      <c r="AA972">
        <v>0</v>
      </c>
      <c r="AB972">
        <v>0</v>
      </c>
      <c r="AC972">
        <v>880</v>
      </c>
      <c r="AD972">
        <v>1.5</v>
      </c>
      <c r="AE972">
        <v>0</v>
      </c>
      <c r="AF972">
        <v>1</v>
      </c>
      <c r="AG972">
        <v>0</v>
      </c>
      <c r="AH972">
        <v>620</v>
      </c>
      <c r="AI972">
        <v>9</v>
      </c>
      <c r="AJ972">
        <v>0</v>
      </c>
      <c r="AK972">
        <v>1</v>
      </c>
      <c r="AL972">
        <v>0</v>
      </c>
      <c r="AM972">
        <v>0</v>
      </c>
      <c r="AN972">
        <v>0</v>
      </c>
      <c r="AO972">
        <v>0</v>
      </c>
      <c r="AP972">
        <v>0</v>
      </c>
      <c r="AQ972">
        <v>0</v>
      </c>
      <c r="AR972">
        <v>0</v>
      </c>
      <c r="AS972">
        <v>0</v>
      </c>
      <c r="AT972">
        <f t="shared" si="47"/>
        <v>8.9664999999999999</v>
      </c>
      <c r="AU972">
        <f t="shared" si="45"/>
        <v>5.5716666666666663</v>
      </c>
      <c r="AV972">
        <f t="shared" si="46"/>
        <v>734.59799999999996</v>
      </c>
      <c r="AX972">
        <v>1133.51</v>
      </c>
      <c r="AY972">
        <v>1180.6600000000001</v>
      </c>
      <c r="BC972" t="s">
        <v>108</v>
      </c>
    </row>
    <row r="973" spans="3:55" x14ac:dyDescent="0.45">
      <c r="C973">
        <v>79.760000000000005</v>
      </c>
      <c r="D973">
        <v>5.39</v>
      </c>
      <c r="E973">
        <v>4.95</v>
      </c>
      <c r="F973">
        <v>3.9</v>
      </c>
      <c r="G973">
        <v>0</v>
      </c>
      <c r="H973">
        <v>0</v>
      </c>
      <c r="I973">
        <v>0</v>
      </c>
      <c r="J973">
        <v>1.0900000000000001</v>
      </c>
      <c r="K973">
        <v>0</v>
      </c>
      <c r="L973">
        <v>4.8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1</v>
      </c>
      <c r="Z973">
        <v>0</v>
      </c>
      <c r="AA973">
        <v>0</v>
      </c>
      <c r="AB973">
        <v>0</v>
      </c>
      <c r="AC973">
        <v>900</v>
      </c>
      <c r="AD973">
        <v>1.5</v>
      </c>
      <c r="AE973">
        <v>0</v>
      </c>
      <c r="AF973">
        <v>1</v>
      </c>
      <c r="AG973">
        <v>0</v>
      </c>
      <c r="AH973">
        <v>580</v>
      </c>
      <c r="AI973">
        <v>9</v>
      </c>
      <c r="AJ973">
        <v>0</v>
      </c>
      <c r="AK973">
        <v>1</v>
      </c>
      <c r="AL973">
        <v>0</v>
      </c>
      <c r="AM973">
        <v>0</v>
      </c>
      <c r="AN973">
        <v>0</v>
      </c>
      <c r="AO973">
        <v>0</v>
      </c>
      <c r="AP973">
        <v>0</v>
      </c>
      <c r="AQ973">
        <v>0</v>
      </c>
      <c r="AR973">
        <v>0</v>
      </c>
      <c r="AS973">
        <v>0</v>
      </c>
      <c r="AT973">
        <f t="shared" si="47"/>
        <v>8.9664999999999999</v>
      </c>
      <c r="AU973">
        <f t="shared" si="45"/>
        <v>5.5716666666666663</v>
      </c>
      <c r="AV973">
        <f t="shared" si="46"/>
        <v>734.59799999999996</v>
      </c>
      <c r="AX973">
        <v>1263.77</v>
      </c>
      <c r="AY973">
        <v>1316.93</v>
      </c>
      <c r="BC973" t="s">
        <v>108</v>
      </c>
    </row>
    <row r="974" spans="3:55" x14ac:dyDescent="0.45">
      <c r="C974">
        <v>79.760000000000005</v>
      </c>
      <c r="D974">
        <v>5.39</v>
      </c>
      <c r="E974">
        <v>4.95</v>
      </c>
      <c r="F974">
        <v>3.9</v>
      </c>
      <c r="G974">
        <v>0</v>
      </c>
      <c r="H974">
        <v>0</v>
      </c>
      <c r="I974">
        <v>0</v>
      </c>
      <c r="J974">
        <v>1.0900000000000001</v>
      </c>
      <c r="K974">
        <v>0</v>
      </c>
      <c r="L974">
        <v>4.8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1</v>
      </c>
      <c r="Z974">
        <v>0</v>
      </c>
      <c r="AA974">
        <v>0</v>
      </c>
      <c r="AB974">
        <v>0</v>
      </c>
      <c r="AC974">
        <v>900</v>
      </c>
      <c r="AD974">
        <v>1.5</v>
      </c>
      <c r="AE974">
        <v>0</v>
      </c>
      <c r="AF974">
        <v>1</v>
      </c>
      <c r="AG974">
        <v>0</v>
      </c>
      <c r="AH974">
        <v>600</v>
      </c>
      <c r="AI974">
        <v>9</v>
      </c>
      <c r="AJ974">
        <v>0</v>
      </c>
      <c r="AK974">
        <v>1</v>
      </c>
      <c r="AL974">
        <v>0</v>
      </c>
      <c r="AM974">
        <v>0</v>
      </c>
      <c r="AN974">
        <v>0</v>
      </c>
      <c r="AO974">
        <v>0</v>
      </c>
      <c r="AP974">
        <v>0</v>
      </c>
      <c r="AQ974">
        <v>0</v>
      </c>
      <c r="AR974">
        <v>0</v>
      </c>
      <c r="AS974">
        <v>0</v>
      </c>
      <c r="AT974">
        <f t="shared" si="47"/>
        <v>8.9664999999999999</v>
      </c>
      <c r="AU974">
        <f t="shared" si="45"/>
        <v>5.5716666666666663</v>
      </c>
      <c r="AV974">
        <f t="shared" si="46"/>
        <v>734.59799999999996</v>
      </c>
      <c r="AX974">
        <v>1239.08</v>
      </c>
      <c r="AY974">
        <v>1268.04</v>
      </c>
      <c r="BC974" t="s">
        <v>108</v>
      </c>
    </row>
    <row r="975" spans="3:55" x14ac:dyDescent="0.45">
      <c r="C975">
        <v>79.760000000000005</v>
      </c>
      <c r="D975">
        <v>5.39</v>
      </c>
      <c r="E975">
        <v>4.95</v>
      </c>
      <c r="F975">
        <v>3.9</v>
      </c>
      <c r="G975">
        <v>0</v>
      </c>
      <c r="H975">
        <v>0</v>
      </c>
      <c r="I975">
        <v>0</v>
      </c>
      <c r="J975">
        <v>1.0900000000000001</v>
      </c>
      <c r="K975">
        <v>0</v>
      </c>
      <c r="L975">
        <v>4.8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1</v>
      </c>
      <c r="Z975">
        <v>0</v>
      </c>
      <c r="AA975">
        <v>0</v>
      </c>
      <c r="AB975">
        <v>0</v>
      </c>
      <c r="AC975">
        <v>900</v>
      </c>
      <c r="AD975">
        <v>1.5</v>
      </c>
      <c r="AE975">
        <v>0</v>
      </c>
      <c r="AF975">
        <v>1</v>
      </c>
      <c r="AG975">
        <v>0</v>
      </c>
      <c r="AH975">
        <v>620</v>
      </c>
      <c r="AI975">
        <v>6</v>
      </c>
      <c r="AJ975">
        <v>0</v>
      </c>
      <c r="AK975">
        <v>1</v>
      </c>
      <c r="AL975">
        <v>0</v>
      </c>
      <c r="AM975">
        <v>0</v>
      </c>
      <c r="AN975">
        <v>0</v>
      </c>
      <c r="AO975">
        <v>0</v>
      </c>
      <c r="AP975">
        <v>0</v>
      </c>
      <c r="AQ975">
        <v>0</v>
      </c>
      <c r="AR975">
        <v>0</v>
      </c>
      <c r="AS975">
        <v>0</v>
      </c>
      <c r="AT975">
        <f t="shared" si="47"/>
        <v>8.9664999999999999</v>
      </c>
      <c r="AU975">
        <f t="shared" si="45"/>
        <v>5.5716666666666663</v>
      </c>
      <c r="AV975">
        <f t="shared" si="46"/>
        <v>734.59799999999996</v>
      </c>
      <c r="AX975">
        <v>1105.5</v>
      </c>
      <c r="AY975">
        <v>1153.17</v>
      </c>
      <c r="BC975" t="s">
        <v>108</v>
      </c>
    </row>
    <row r="976" spans="3:55" x14ac:dyDescent="0.45">
      <c r="C976">
        <v>79.760000000000005</v>
      </c>
      <c r="D976">
        <v>5.39</v>
      </c>
      <c r="E976">
        <v>4.95</v>
      </c>
      <c r="F976">
        <v>3.9</v>
      </c>
      <c r="G976">
        <v>0</v>
      </c>
      <c r="H976">
        <v>0</v>
      </c>
      <c r="I976">
        <v>0</v>
      </c>
      <c r="J976">
        <v>1.0900000000000001</v>
      </c>
      <c r="K976">
        <v>0</v>
      </c>
      <c r="L976">
        <v>4.8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1</v>
      </c>
      <c r="Z976">
        <v>0</v>
      </c>
      <c r="AA976">
        <v>0</v>
      </c>
      <c r="AB976">
        <v>0</v>
      </c>
      <c r="AC976">
        <v>900</v>
      </c>
      <c r="AD976">
        <v>1.5</v>
      </c>
      <c r="AE976">
        <v>0</v>
      </c>
      <c r="AF976">
        <v>1</v>
      </c>
      <c r="AG976">
        <v>0</v>
      </c>
      <c r="AH976">
        <v>620</v>
      </c>
      <c r="AI976">
        <v>7</v>
      </c>
      <c r="AJ976">
        <v>0</v>
      </c>
      <c r="AK976">
        <v>1</v>
      </c>
      <c r="AL976">
        <v>0</v>
      </c>
      <c r="AM976">
        <v>0</v>
      </c>
      <c r="AN976">
        <v>0</v>
      </c>
      <c r="AO976">
        <v>0</v>
      </c>
      <c r="AP976">
        <v>0</v>
      </c>
      <c r="AQ976">
        <v>0</v>
      </c>
      <c r="AR976">
        <v>0</v>
      </c>
      <c r="AS976">
        <v>0</v>
      </c>
      <c r="AT976">
        <f t="shared" si="47"/>
        <v>8.9664999999999999</v>
      </c>
      <c r="AU976">
        <f t="shared" si="45"/>
        <v>5.5716666666666663</v>
      </c>
      <c r="AV976">
        <f t="shared" si="46"/>
        <v>734.59799999999996</v>
      </c>
      <c r="AX976">
        <v>1155.2</v>
      </c>
      <c r="AY976">
        <v>1193.55</v>
      </c>
      <c r="BC976" t="s">
        <v>108</v>
      </c>
    </row>
    <row r="977" spans="3:55" x14ac:dyDescent="0.45">
      <c r="C977">
        <v>79.760000000000005</v>
      </c>
      <c r="D977">
        <v>5.39</v>
      </c>
      <c r="E977">
        <v>4.95</v>
      </c>
      <c r="F977">
        <v>3.9</v>
      </c>
      <c r="G977">
        <v>0</v>
      </c>
      <c r="H977">
        <v>0</v>
      </c>
      <c r="I977">
        <v>0</v>
      </c>
      <c r="J977">
        <v>1.0900000000000001</v>
      </c>
      <c r="K977">
        <v>0</v>
      </c>
      <c r="L977">
        <v>4.8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1</v>
      </c>
      <c r="Z977">
        <v>0</v>
      </c>
      <c r="AA977">
        <v>0</v>
      </c>
      <c r="AB977">
        <v>0</v>
      </c>
      <c r="AC977">
        <v>900</v>
      </c>
      <c r="AD977">
        <v>1.5</v>
      </c>
      <c r="AE977">
        <v>0</v>
      </c>
      <c r="AF977">
        <v>1</v>
      </c>
      <c r="AG977">
        <v>0</v>
      </c>
      <c r="AH977">
        <v>620</v>
      </c>
      <c r="AI977">
        <v>8</v>
      </c>
      <c r="AJ977">
        <v>0</v>
      </c>
      <c r="AK977">
        <v>1</v>
      </c>
      <c r="AL977">
        <v>0</v>
      </c>
      <c r="AM977">
        <v>0</v>
      </c>
      <c r="AN977">
        <v>0</v>
      </c>
      <c r="AO977">
        <v>0</v>
      </c>
      <c r="AP977">
        <v>0</v>
      </c>
      <c r="AQ977">
        <v>0</v>
      </c>
      <c r="AR977">
        <v>0</v>
      </c>
      <c r="AS977">
        <v>0</v>
      </c>
      <c r="AT977">
        <f t="shared" si="47"/>
        <v>8.9664999999999999</v>
      </c>
      <c r="AU977">
        <f t="shared" si="45"/>
        <v>5.5716666666666663</v>
      </c>
      <c r="AV977">
        <f t="shared" si="46"/>
        <v>734.59799999999996</v>
      </c>
      <c r="AX977">
        <v>1209.2</v>
      </c>
      <c r="AY977">
        <v>1246.83</v>
      </c>
      <c r="BC977" t="s">
        <v>108</v>
      </c>
    </row>
    <row r="978" spans="3:55" x14ac:dyDescent="0.45">
      <c r="C978">
        <v>79.760000000000005</v>
      </c>
      <c r="D978">
        <v>5.39</v>
      </c>
      <c r="E978">
        <v>4.95</v>
      </c>
      <c r="F978">
        <v>3.9</v>
      </c>
      <c r="G978">
        <v>0</v>
      </c>
      <c r="H978">
        <v>0</v>
      </c>
      <c r="I978">
        <v>0</v>
      </c>
      <c r="J978">
        <v>1.0900000000000001</v>
      </c>
      <c r="K978">
        <v>0</v>
      </c>
      <c r="L978">
        <v>4.8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1</v>
      </c>
      <c r="Z978">
        <v>0</v>
      </c>
      <c r="AA978">
        <v>0</v>
      </c>
      <c r="AB978">
        <v>0</v>
      </c>
      <c r="AC978">
        <v>900</v>
      </c>
      <c r="AD978">
        <v>1.5</v>
      </c>
      <c r="AE978">
        <v>0</v>
      </c>
      <c r="AF978">
        <v>1</v>
      </c>
      <c r="AG978">
        <v>0</v>
      </c>
      <c r="AH978">
        <v>620</v>
      </c>
      <c r="AI978">
        <v>9</v>
      </c>
      <c r="AJ978">
        <v>0</v>
      </c>
      <c r="AK978">
        <v>1</v>
      </c>
      <c r="AL978">
        <v>0</v>
      </c>
      <c r="AM978">
        <v>0</v>
      </c>
      <c r="AN978">
        <v>0</v>
      </c>
      <c r="AO978">
        <v>0</v>
      </c>
      <c r="AP978">
        <v>0</v>
      </c>
      <c r="AQ978">
        <v>0</v>
      </c>
      <c r="AR978">
        <v>0</v>
      </c>
      <c r="AS978">
        <v>0</v>
      </c>
      <c r="AT978">
        <f t="shared" si="47"/>
        <v>8.9664999999999999</v>
      </c>
      <c r="AU978">
        <f t="shared" si="45"/>
        <v>5.5716666666666663</v>
      </c>
      <c r="AV978">
        <f t="shared" si="46"/>
        <v>734.59799999999996</v>
      </c>
      <c r="AX978">
        <v>1182.56</v>
      </c>
      <c r="AY978">
        <v>1234.52</v>
      </c>
      <c r="BC978" t="s">
        <v>108</v>
      </c>
    </row>
    <row r="979" spans="3:55" x14ac:dyDescent="0.45">
      <c r="C979">
        <v>79.760000000000005</v>
      </c>
      <c r="D979">
        <v>5.39</v>
      </c>
      <c r="E979">
        <v>4.95</v>
      </c>
      <c r="F979">
        <v>3.9</v>
      </c>
      <c r="G979">
        <v>0</v>
      </c>
      <c r="H979">
        <v>0</v>
      </c>
      <c r="I979">
        <v>0</v>
      </c>
      <c r="J979">
        <v>1.0900000000000001</v>
      </c>
      <c r="K979">
        <v>0</v>
      </c>
      <c r="L979">
        <v>4.8</v>
      </c>
      <c r="M979">
        <v>0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0</v>
      </c>
      <c r="X979">
        <v>0</v>
      </c>
      <c r="Y979">
        <v>1</v>
      </c>
      <c r="Z979">
        <v>0</v>
      </c>
      <c r="AA979">
        <v>0</v>
      </c>
      <c r="AB979">
        <v>0</v>
      </c>
      <c r="AC979">
        <v>900</v>
      </c>
      <c r="AD979">
        <v>1.5</v>
      </c>
      <c r="AE979">
        <v>0</v>
      </c>
      <c r="AF979">
        <v>1</v>
      </c>
      <c r="AG979">
        <v>0</v>
      </c>
      <c r="AH979">
        <v>620</v>
      </c>
      <c r="AI979">
        <v>10</v>
      </c>
      <c r="AJ979">
        <v>0</v>
      </c>
      <c r="AK979">
        <v>1</v>
      </c>
      <c r="AL979">
        <v>0</v>
      </c>
      <c r="AM979">
        <v>0</v>
      </c>
      <c r="AN979">
        <v>0</v>
      </c>
      <c r="AO979">
        <v>0</v>
      </c>
      <c r="AP979">
        <v>0</v>
      </c>
      <c r="AQ979">
        <v>0</v>
      </c>
      <c r="AR979">
        <v>0</v>
      </c>
      <c r="AS979">
        <v>0</v>
      </c>
      <c r="AT979">
        <f t="shared" si="47"/>
        <v>8.9664999999999999</v>
      </c>
      <c r="AU979">
        <f t="shared" si="45"/>
        <v>5.5716666666666663</v>
      </c>
      <c r="AV979">
        <f t="shared" si="46"/>
        <v>734.59799999999996</v>
      </c>
      <c r="AX979">
        <v>1133.33</v>
      </c>
      <c r="AY979">
        <v>1179.21</v>
      </c>
      <c r="BC979" t="s">
        <v>108</v>
      </c>
    </row>
    <row r="980" spans="3:55" x14ac:dyDescent="0.45">
      <c r="C980">
        <v>79.760000000000005</v>
      </c>
      <c r="D980">
        <v>5.39</v>
      </c>
      <c r="E980">
        <v>4.95</v>
      </c>
      <c r="F980">
        <v>3.9</v>
      </c>
      <c r="G980">
        <v>0</v>
      </c>
      <c r="H980">
        <v>0</v>
      </c>
      <c r="I980">
        <v>0</v>
      </c>
      <c r="J980">
        <v>1.0900000000000001</v>
      </c>
      <c r="K980">
        <v>0</v>
      </c>
      <c r="L980">
        <v>4.8</v>
      </c>
      <c r="M980">
        <v>0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1</v>
      </c>
      <c r="Z980">
        <v>0</v>
      </c>
      <c r="AA980">
        <v>0</v>
      </c>
      <c r="AB980">
        <v>0</v>
      </c>
      <c r="AC980">
        <v>900</v>
      </c>
      <c r="AD980">
        <v>1.5</v>
      </c>
      <c r="AE980">
        <v>0</v>
      </c>
      <c r="AF980">
        <v>1</v>
      </c>
      <c r="AG980">
        <v>0</v>
      </c>
      <c r="AH980">
        <v>640</v>
      </c>
      <c r="AI980">
        <v>9</v>
      </c>
      <c r="AJ980">
        <v>0</v>
      </c>
      <c r="AK980">
        <v>1</v>
      </c>
      <c r="AL980">
        <v>0</v>
      </c>
      <c r="AM980">
        <v>0</v>
      </c>
      <c r="AN980">
        <v>0</v>
      </c>
      <c r="AO980">
        <v>0</v>
      </c>
      <c r="AP980">
        <v>0</v>
      </c>
      <c r="AQ980">
        <v>0</v>
      </c>
      <c r="AR980">
        <v>0</v>
      </c>
      <c r="AS980">
        <v>0</v>
      </c>
      <c r="AT980">
        <f t="shared" si="47"/>
        <v>8.9664999999999999</v>
      </c>
      <c r="AU980">
        <f t="shared" si="45"/>
        <v>5.5716666666666663</v>
      </c>
      <c r="AV980">
        <f t="shared" si="46"/>
        <v>734.59799999999996</v>
      </c>
      <c r="AX980">
        <v>1173.0999999999999</v>
      </c>
      <c r="AY980">
        <v>1208.23</v>
      </c>
      <c r="BC980" t="s">
        <v>108</v>
      </c>
    </row>
    <row r="981" spans="3:55" x14ac:dyDescent="0.45">
      <c r="C981">
        <v>91.28</v>
      </c>
      <c r="D981">
        <v>4.95</v>
      </c>
      <c r="E981">
        <v>1</v>
      </c>
      <c r="F981">
        <v>0</v>
      </c>
      <c r="G981">
        <v>0</v>
      </c>
      <c r="H981">
        <v>0</v>
      </c>
      <c r="I981">
        <v>0</v>
      </c>
      <c r="J981">
        <v>1</v>
      </c>
      <c r="K981">
        <v>0</v>
      </c>
      <c r="L981">
        <v>0.78500000000000003</v>
      </c>
      <c r="M981">
        <v>0.98499999999999999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0</v>
      </c>
      <c r="Y981">
        <v>1</v>
      </c>
      <c r="Z981">
        <v>0</v>
      </c>
      <c r="AA981">
        <v>0</v>
      </c>
      <c r="AB981">
        <v>0</v>
      </c>
      <c r="AC981">
        <v>0</v>
      </c>
      <c r="AD981">
        <v>0</v>
      </c>
      <c r="AE981">
        <v>0</v>
      </c>
      <c r="AF981">
        <v>0</v>
      </c>
      <c r="AG981">
        <v>0</v>
      </c>
      <c r="AH981">
        <v>0</v>
      </c>
      <c r="AI981">
        <v>0</v>
      </c>
      <c r="AJ981">
        <v>0</v>
      </c>
      <c r="AK981">
        <v>0</v>
      </c>
      <c r="AL981">
        <v>0</v>
      </c>
      <c r="AM981">
        <v>0</v>
      </c>
      <c r="AN981">
        <v>0</v>
      </c>
      <c r="AO981">
        <v>0</v>
      </c>
      <c r="AP981">
        <v>0</v>
      </c>
      <c r="AQ981">
        <v>0</v>
      </c>
      <c r="AR981">
        <v>0</v>
      </c>
      <c r="AS981">
        <v>0</v>
      </c>
      <c r="AT981">
        <f t="shared" si="47"/>
        <v>-3.4950000000000001</v>
      </c>
      <c r="AU981">
        <f t="shared" si="45"/>
        <v>5.4450000000000003</v>
      </c>
      <c r="AV981">
        <f t="shared" si="46"/>
        <v>870.37450000000001</v>
      </c>
      <c r="AX981">
        <v>788.3</v>
      </c>
      <c r="AY981">
        <v>882.3</v>
      </c>
      <c r="AZ981">
        <v>12.8</v>
      </c>
      <c r="BC981" t="s">
        <v>200</v>
      </c>
    </row>
    <row r="982" spans="3:55" x14ac:dyDescent="0.45">
      <c r="C982">
        <v>91.28</v>
      </c>
      <c r="D982">
        <v>4.95</v>
      </c>
      <c r="E982">
        <v>1</v>
      </c>
      <c r="F982">
        <v>0</v>
      </c>
      <c r="G982">
        <v>0</v>
      </c>
      <c r="H982">
        <v>0</v>
      </c>
      <c r="I982">
        <v>0</v>
      </c>
      <c r="J982">
        <v>1</v>
      </c>
      <c r="K982">
        <v>0</v>
      </c>
      <c r="L982">
        <v>0.78500000000000003</v>
      </c>
      <c r="M982">
        <v>0.98499999999999999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0</v>
      </c>
      <c r="Y982">
        <v>1</v>
      </c>
      <c r="Z982">
        <v>0</v>
      </c>
      <c r="AA982">
        <v>0</v>
      </c>
      <c r="AB982">
        <v>0</v>
      </c>
      <c r="AC982">
        <v>900</v>
      </c>
      <c r="AD982">
        <v>1</v>
      </c>
      <c r="AE982">
        <v>0</v>
      </c>
      <c r="AF982">
        <v>1</v>
      </c>
      <c r="AG982">
        <v>0</v>
      </c>
      <c r="AH982">
        <v>0</v>
      </c>
      <c r="AI982">
        <v>0</v>
      </c>
      <c r="AJ982">
        <v>0</v>
      </c>
      <c r="AK982">
        <v>0</v>
      </c>
      <c r="AL982">
        <v>0</v>
      </c>
      <c r="AM982">
        <v>0</v>
      </c>
      <c r="AN982">
        <v>0</v>
      </c>
      <c r="AO982">
        <v>0</v>
      </c>
      <c r="AP982">
        <v>0</v>
      </c>
      <c r="AQ982">
        <v>0</v>
      </c>
      <c r="AR982">
        <v>0</v>
      </c>
      <c r="AS982">
        <v>0</v>
      </c>
      <c r="AT982">
        <f t="shared" si="47"/>
        <v>-3.4950000000000001</v>
      </c>
      <c r="AU982">
        <f t="shared" si="45"/>
        <v>5.4450000000000003</v>
      </c>
      <c r="AV982">
        <f t="shared" si="46"/>
        <v>870.37450000000001</v>
      </c>
      <c r="AX982">
        <v>740</v>
      </c>
      <c r="AY982">
        <v>853.6</v>
      </c>
      <c r="AZ982">
        <v>11.2</v>
      </c>
      <c r="BC982" t="s">
        <v>200</v>
      </c>
    </row>
    <row r="983" spans="3:55" x14ac:dyDescent="0.45">
      <c r="C983">
        <v>91.28</v>
      </c>
      <c r="D983">
        <v>4.95</v>
      </c>
      <c r="E983">
        <v>1</v>
      </c>
      <c r="F983">
        <v>0</v>
      </c>
      <c r="G983">
        <v>0</v>
      </c>
      <c r="H983">
        <v>0</v>
      </c>
      <c r="I983">
        <v>0</v>
      </c>
      <c r="J983">
        <v>1</v>
      </c>
      <c r="K983">
        <v>0</v>
      </c>
      <c r="L983">
        <v>0.78500000000000003</v>
      </c>
      <c r="M983">
        <v>0.98499999999999999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0</v>
      </c>
      <c r="Y983">
        <v>1</v>
      </c>
      <c r="Z983">
        <v>0</v>
      </c>
      <c r="AA983">
        <v>0</v>
      </c>
      <c r="AB983">
        <v>0</v>
      </c>
      <c r="AC983">
        <v>950</v>
      </c>
      <c r="AD983">
        <v>1</v>
      </c>
      <c r="AE983">
        <v>0</v>
      </c>
      <c r="AF983">
        <v>1</v>
      </c>
      <c r="AG983">
        <v>0</v>
      </c>
      <c r="AH983">
        <v>0</v>
      </c>
      <c r="AI983">
        <v>0</v>
      </c>
      <c r="AJ983">
        <v>0</v>
      </c>
      <c r="AK983">
        <v>0</v>
      </c>
      <c r="AL983">
        <v>0</v>
      </c>
      <c r="AM983">
        <v>0</v>
      </c>
      <c r="AN983">
        <v>0</v>
      </c>
      <c r="AO983">
        <v>0</v>
      </c>
      <c r="AP983">
        <v>0</v>
      </c>
      <c r="AQ983">
        <v>0</v>
      </c>
      <c r="AR983">
        <v>0</v>
      </c>
      <c r="AS983">
        <v>0</v>
      </c>
      <c r="AT983">
        <f t="shared" si="47"/>
        <v>-3.4950000000000001</v>
      </c>
      <c r="AU983">
        <f t="shared" si="45"/>
        <v>5.4450000000000003</v>
      </c>
      <c r="AV983">
        <f t="shared" si="46"/>
        <v>870.37450000000001</v>
      </c>
      <c r="AX983">
        <v>711.7</v>
      </c>
      <c r="AY983">
        <v>836</v>
      </c>
      <c r="AZ983">
        <v>14.1</v>
      </c>
      <c r="BC983" t="s">
        <v>200</v>
      </c>
    </row>
    <row r="984" spans="3:55" x14ac:dyDescent="0.45">
      <c r="C984">
        <v>87.6798</v>
      </c>
      <c r="D984">
        <v>6.04</v>
      </c>
      <c r="E984">
        <v>0</v>
      </c>
      <c r="F984">
        <v>0</v>
      </c>
      <c r="G984">
        <v>0</v>
      </c>
      <c r="H984">
        <v>0.1</v>
      </c>
      <c r="I984">
        <v>0</v>
      </c>
      <c r="J984">
        <v>2.0499999999999998</v>
      </c>
      <c r="K984">
        <v>3.05</v>
      </c>
      <c r="L984">
        <v>1.04</v>
      </c>
      <c r="M984">
        <v>0</v>
      </c>
      <c r="N984">
        <v>0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1</v>
      </c>
      <c r="W984">
        <v>0</v>
      </c>
      <c r="X984">
        <v>0</v>
      </c>
      <c r="Y984">
        <v>0</v>
      </c>
      <c r="Z984">
        <v>1</v>
      </c>
      <c r="AA984">
        <v>0</v>
      </c>
      <c r="AB984">
        <v>0</v>
      </c>
      <c r="AC984">
        <v>970</v>
      </c>
      <c r="AD984">
        <v>2</v>
      </c>
      <c r="AE984">
        <v>0</v>
      </c>
      <c r="AF984">
        <v>0</v>
      </c>
      <c r="AG984">
        <v>1</v>
      </c>
      <c r="AH984">
        <v>0</v>
      </c>
      <c r="AI984">
        <v>0</v>
      </c>
      <c r="AJ984">
        <v>0</v>
      </c>
      <c r="AK984">
        <v>0</v>
      </c>
      <c r="AL984">
        <v>0</v>
      </c>
      <c r="AM984">
        <v>0</v>
      </c>
      <c r="AN984">
        <v>0</v>
      </c>
      <c r="AO984">
        <v>0</v>
      </c>
      <c r="AP984">
        <v>0</v>
      </c>
      <c r="AQ984">
        <v>0</v>
      </c>
      <c r="AR984">
        <v>0</v>
      </c>
      <c r="AS984">
        <v>0</v>
      </c>
      <c r="AT984">
        <f t="shared" si="47"/>
        <v>-3.8559999999999999</v>
      </c>
      <c r="AU984">
        <f t="shared" si="45"/>
        <v>6.3816666666666668</v>
      </c>
      <c r="AV984">
        <f t="shared" si="46"/>
        <v>869.11900000000003</v>
      </c>
      <c r="AX984">
        <v>731</v>
      </c>
      <c r="AY984">
        <v>793</v>
      </c>
      <c r="AZ984">
        <v>14.5</v>
      </c>
      <c r="BC984" t="s">
        <v>201</v>
      </c>
    </row>
    <row r="985" spans="3:55" x14ac:dyDescent="0.45">
      <c r="C985">
        <v>87.6798</v>
      </c>
      <c r="D985">
        <v>6.04</v>
      </c>
      <c r="E985">
        <v>0</v>
      </c>
      <c r="F985">
        <v>0</v>
      </c>
      <c r="G985">
        <v>0</v>
      </c>
      <c r="H985">
        <v>0.1</v>
      </c>
      <c r="I985">
        <v>0</v>
      </c>
      <c r="J985">
        <v>2.0499999999999998</v>
      </c>
      <c r="K985">
        <v>3.05</v>
      </c>
      <c r="L985">
        <v>1.04</v>
      </c>
      <c r="M985">
        <v>0</v>
      </c>
      <c r="N985">
        <v>0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1</v>
      </c>
      <c r="W985">
        <v>0</v>
      </c>
      <c r="X985">
        <v>0</v>
      </c>
      <c r="Y985">
        <v>0</v>
      </c>
      <c r="Z985">
        <v>1</v>
      </c>
      <c r="AA985">
        <v>0</v>
      </c>
      <c r="AB985">
        <v>0</v>
      </c>
      <c r="AC985">
        <v>970</v>
      </c>
      <c r="AD985">
        <v>2</v>
      </c>
      <c r="AE985">
        <v>0</v>
      </c>
      <c r="AF985">
        <v>1</v>
      </c>
      <c r="AG985">
        <v>0</v>
      </c>
      <c r="AH985">
        <v>0</v>
      </c>
      <c r="AI985">
        <v>0</v>
      </c>
      <c r="AJ985">
        <v>0</v>
      </c>
      <c r="AK985">
        <v>0</v>
      </c>
      <c r="AL985">
        <v>0</v>
      </c>
      <c r="AM985">
        <v>0</v>
      </c>
      <c r="AN985">
        <v>0</v>
      </c>
      <c r="AO985">
        <v>0</v>
      </c>
      <c r="AP985">
        <v>0</v>
      </c>
      <c r="AQ985">
        <v>0</v>
      </c>
      <c r="AR985">
        <v>0</v>
      </c>
      <c r="AS985">
        <v>0</v>
      </c>
      <c r="AT985">
        <f t="shared" si="47"/>
        <v>-3.8559999999999999</v>
      </c>
      <c r="AU985">
        <f t="shared" si="45"/>
        <v>6.3816666666666668</v>
      </c>
      <c r="AV985">
        <f t="shared" si="46"/>
        <v>869.11900000000003</v>
      </c>
      <c r="AX985">
        <v>763</v>
      </c>
      <c r="AY985">
        <v>880</v>
      </c>
      <c r="AZ985">
        <v>12.6</v>
      </c>
      <c r="BC985" t="s">
        <v>201</v>
      </c>
    </row>
    <row r="986" spans="3:55" x14ac:dyDescent="0.45">
      <c r="C986">
        <v>87.6798</v>
      </c>
      <c r="D986">
        <v>6.04</v>
      </c>
      <c r="E986">
        <v>0</v>
      </c>
      <c r="F986">
        <v>0</v>
      </c>
      <c r="G986">
        <v>0</v>
      </c>
      <c r="H986">
        <v>0.1</v>
      </c>
      <c r="I986">
        <v>0</v>
      </c>
      <c r="J986">
        <v>2.0499999999999998</v>
      </c>
      <c r="K986">
        <v>3.05</v>
      </c>
      <c r="L986">
        <v>1.04</v>
      </c>
      <c r="M986">
        <v>0</v>
      </c>
      <c r="N986">
        <v>0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1</v>
      </c>
      <c r="W986">
        <v>0</v>
      </c>
      <c r="X986">
        <v>0</v>
      </c>
      <c r="Y986">
        <v>0</v>
      </c>
      <c r="Z986">
        <v>1</v>
      </c>
      <c r="AA986">
        <v>0</v>
      </c>
      <c r="AB986">
        <v>0</v>
      </c>
      <c r="AC986">
        <v>970</v>
      </c>
      <c r="AD986">
        <v>2</v>
      </c>
      <c r="AE986">
        <v>1</v>
      </c>
      <c r="AF986">
        <v>0</v>
      </c>
      <c r="AG986">
        <v>0</v>
      </c>
      <c r="AH986">
        <v>600</v>
      </c>
      <c r="AI986">
        <v>5</v>
      </c>
      <c r="AJ986">
        <v>0</v>
      </c>
      <c r="AK986">
        <v>1</v>
      </c>
      <c r="AL986">
        <v>0</v>
      </c>
      <c r="AM986">
        <v>0</v>
      </c>
      <c r="AN986">
        <v>0</v>
      </c>
      <c r="AO986">
        <v>0</v>
      </c>
      <c r="AP986">
        <v>0</v>
      </c>
      <c r="AQ986">
        <v>0</v>
      </c>
      <c r="AR986">
        <v>0</v>
      </c>
      <c r="AS986">
        <v>0</v>
      </c>
      <c r="AT986">
        <f t="shared" si="47"/>
        <v>-3.8559999999999999</v>
      </c>
      <c r="AU986">
        <f t="shared" si="45"/>
        <v>6.3816666666666668</v>
      </c>
      <c r="AV986">
        <f t="shared" si="46"/>
        <v>869.11900000000003</v>
      </c>
      <c r="AX986">
        <v>918</v>
      </c>
      <c r="AY986">
        <v>984</v>
      </c>
      <c r="AZ986">
        <v>10.1</v>
      </c>
      <c r="BC986" t="s">
        <v>201</v>
      </c>
    </row>
    <row r="987" spans="3:55" x14ac:dyDescent="0.45">
      <c r="C987">
        <v>80.722999999999999</v>
      </c>
      <c r="D987">
        <v>5.0599999999999996</v>
      </c>
      <c r="E987">
        <v>0</v>
      </c>
      <c r="F987">
        <v>3.62</v>
      </c>
      <c r="G987">
        <v>0</v>
      </c>
      <c r="H987">
        <v>0.47699999999999998</v>
      </c>
      <c r="I987">
        <v>0</v>
      </c>
      <c r="J987">
        <v>0</v>
      </c>
      <c r="K987">
        <v>2.9</v>
      </c>
      <c r="L987">
        <v>7</v>
      </c>
      <c r="M987">
        <v>0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1</v>
      </c>
      <c r="Z987">
        <v>0</v>
      </c>
      <c r="AA987">
        <v>0</v>
      </c>
      <c r="AB987">
        <v>0</v>
      </c>
      <c r="AC987">
        <v>910</v>
      </c>
      <c r="AD987">
        <v>0.5</v>
      </c>
      <c r="AE987">
        <v>1</v>
      </c>
      <c r="AF987">
        <v>0</v>
      </c>
      <c r="AG987">
        <v>0</v>
      </c>
      <c r="AH987">
        <v>0</v>
      </c>
      <c r="AI987">
        <v>0</v>
      </c>
      <c r="AJ987">
        <v>0</v>
      </c>
      <c r="AK987">
        <v>0</v>
      </c>
      <c r="AL987">
        <v>0</v>
      </c>
      <c r="AM987">
        <v>0</v>
      </c>
      <c r="AN987">
        <v>0</v>
      </c>
      <c r="AO987">
        <v>0</v>
      </c>
      <c r="AP987">
        <v>0</v>
      </c>
      <c r="AQ987">
        <v>0</v>
      </c>
      <c r="AR987">
        <v>0</v>
      </c>
      <c r="AS987">
        <v>0</v>
      </c>
      <c r="AT987">
        <f t="shared" si="47"/>
        <v>9.9273000000000025</v>
      </c>
      <c r="AU987">
        <f t="shared" si="45"/>
        <v>5.0599999999999996</v>
      </c>
      <c r="AV987">
        <f t="shared" si="46"/>
        <v>774.9781999999999</v>
      </c>
      <c r="AX987">
        <v>877</v>
      </c>
      <c r="AY987">
        <v>880</v>
      </c>
      <c r="AZ987">
        <v>13.6</v>
      </c>
      <c r="BC987" t="s">
        <v>108</v>
      </c>
    </row>
    <row r="988" spans="3:55" x14ac:dyDescent="0.45">
      <c r="C988">
        <v>80.722999999999999</v>
      </c>
      <c r="D988">
        <v>5.0599999999999996</v>
      </c>
      <c r="E988">
        <v>0</v>
      </c>
      <c r="F988">
        <v>3.62</v>
      </c>
      <c r="G988">
        <v>0</v>
      </c>
      <c r="H988">
        <v>0.47699999999999998</v>
      </c>
      <c r="I988">
        <v>0</v>
      </c>
      <c r="J988">
        <v>0</v>
      </c>
      <c r="K988">
        <v>2.9</v>
      </c>
      <c r="L988">
        <v>7</v>
      </c>
      <c r="M988">
        <v>0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1</v>
      </c>
      <c r="Z988">
        <v>0</v>
      </c>
      <c r="AA988">
        <v>0</v>
      </c>
      <c r="AB988">
        <v>0</v>
      </c>
      <c r="AC988">
        <v>850</v>
      </c>
      <c r="AD988">
        <v>0.5</v>
      </c>
      <c r="AE988">
        <v>1</v>
      </c>
      <c r="AF988">
        <v>0</v>
      </c>
      <c r="AG988">
        <v>0</v>
      </c>
      <c r="AH988">
        <v>0</v>
      </c>
      <c r="AI988">
        <v>0</v>
      </c>
      <c r="AJ988">
        <v>0</v>
      </c>
      <c r="AK988">
        <v>0</v>
      </c>
      <c r="AL988">
        <v>0</v>
      </c>
      <c r="AM988">
        <v>0</v>
      </c>
      <c r="AN988">
        <v>0</v>
      </c>
      <c r="AO988">
        <v>0</v>
      </c>
      <c r="AP988">
        <v>0</v>
      </c>
      <c r="AQ988">
        <v>0</v>
      </c>
      <c r="AR988">
        <v>0</v>
      </c>
      <c r="AS988">
        <v>0</v>
      </c>
      <c r="AT988">
        <f t="shared" si="47"/>
        <v>9.9273000000000025</v>
      </c>
      <c r="AU988">
        <f t="shared" si="45"/>
        <v>5.0599999999999996</v>
      </c>
      <c r="AV988">
        <f t="shared" si="46"/>
        <v>774.9781999999999</v>
      </c>
      <c r="AX988">
        <v>895</v>
      </c>
      <c r="AY988">
        <v>931</v>
      </c>
      <c r="AZ988">
        <v>8.1999999999999993</v>
      </c>
      <c r="BC988" t="s">
        <v>108</v>
      </c>
    </row>
    <row r="989" spans="3:55" x14ac:dyDescent="0.45">
      <c r="C989">
        <v>80.722999999999999</v>
      </c>
      <c r="D989">
        <v>5.0599999999999996</v>
      </c>
      <c r="E989">
        <v>0</v>
      </c>
      <c r="F989">
        <v>3.62</v>
      </c>
      <c r="G989">
        <v>0</v>
      </c>
      <c r="H989">
        <v>0.47699999999999998</v>
      </c>
      <c r="I989">
        <v>0</v>
      </c>
      <c r="J989">
        <v>0</v>
      </c>
      <c r="K989">
        <v>2.9</v>
      </c>
      <c r="L989">
        <v>7</v>
      </c>
      <c r="M989">
        <v>0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1</v>
      </c>
      <c r="Z989">
        <v>0</v>
      </c>
      <c r="AA989">
        <v>0</v>
      </c>
      <c r="AB989">
        <v>0</v>
      </c>
      <c r="AC989">
        <v>910</v>
      </c>
      <c r="AD989">
        <v>0.5</v>
      </c>
      <c r="AE989">
        <v>1</v>
      </c>
      <c r="AF989">
        <v>0</v>
      </c>
      <c r="AG989">
        <v>0</v>
      </c>
      <c r="AH989">
        <v>560</v>
      </c>
      <c r="AI989">
        <v>6</v>
      </c>
      <c r="AJ989">
        <v>0</v>
      </c>
      <c r="AK989">
        <v>1</v>
      </c>
      <c r="AL989">
        <v>0</v>
      </c>
      <c r="AM989">
        <v>0</v>
      </c>
      <c r="AN989">
        <v>0</v>
      </c>
      <c r="AO989">
        <v>0</v>
      </c>
      <c r="AP989">
        <v>0</v>
      </c>
      <c r="AQ989">
        <v>0</v>
      </c>
      <c r="AR989">
        <v>0</v>
      </c>
      <c r="AS989">
        <v>0</v>
      </c>
      <c r="AT989">
        <f t="shared" si="47"/>
        <v>9.9273000000000025</v>
      </c>
      <c r="AU989">
        <f t="shared" si="45"/>
        <v>5.0599999999999996</v>
      </c>
      <c r="AV989">
        <f t="shared" si="46"/>
        <v>774.9781999999999</v>
      </c>
      <c r="AX989">
        <v>1180</v>
      </c>
      <c r="AY989">
        <v>1417</v>
      </c>
      <c r="AZ989">
        <v>1.7</v>
      </c>
      <c r="BC989" t="s">
        <v>108</v>
      </c>
    </row>
    <row r="990" spans="3:55" x14ac:dyDescent="0.45">
      <c r="C990">
        <v>80.722999999999999</v>
      </c>
      <c r="D990">
        <v>5.0599999999999996</v>
      </c>
      <c r="E990">
        <v>0</v>
      </c>
      <c r="F990">
        <v>3.62</v>
      </c>
      <c r="G990">
        <v>0</v>
      </c>
      <c r="H990">
        <v>0.47699999999999998</v>
      </c>
      <c r="I990">
        <v>0</v>
      </c>
      <c r="J990">
        <v>0</v>
      </c>
      <c r="K990">
        <v>2.9</v>
      </c>
      <c r="L990">
        <v>7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1</v>
      </c>
      <c r="Z990">
        <v>0</v>
      </c>
      <c r="AA990">
        <v>0</v>
      </c>
      <c r="AB990">
        <v>0</v>
      </c>
      <c r="AC990">
        <v>850</v>
      </c>
      <c r="AD990">
        <v>0.5</v>
      </c>
      <c r="AE990">
        <v>1</v>
      </c>
      <c r="AF990">
        <v>0</v>
      </c>
      <c r="AG990">
        <v>0</v>
      </c>
      <c r="AH990">
        <v>560</v>
      </c>
      <c r="AI990">
        <v>6</v>
      </c>
      <c r="AJ990">
        <v>0</v>
      </c>
      <c r="AK990">
        <v>1</v>
      </c>
      <c r="AL990">
        <v>0</v>
      </c>
      <c r="AM990">
        <v>0</v>
      </c>
      <c r="AN990">
        <v>0</v>
      </c>
      <c r="AO990">
        <v>0</v>
      </c>
      <c r="AP990">
        <v>0</v>
      </c>
      <c r="AQ990">
        <v>0</v>
      </c>
      <c r="AR990">
        <v>0</v>
      </c>
      <c r="AS990">
        <v>0</v>
      </c>
      <c r="AT990">
        <f t="shared" si="47"/>
        <v>9.9273000000000025</v>
      </c>
      <c r="AU990">
        <f t="shared" si="45"/>
        <v>5.0599999999999996</v>
      </c>
      <c r="AV990">
        <f t="shared" si="46"/>
        <v>774.9781999999999</v>
      </c>
      <c r="AX990">
        <v>1105</v>
      </c>
      <c r="AY990">
        <v>1366</v>
      </c>
      <c r="AZ990">
        <v>4.5</v>
      </c>
      <c r="BC990" t="s">
        <v>108</v>
      </c>
    </row>
    <row r="991" spans="3:55" x14ac:dyDescent="0.45">
      <c r="C991">
        <v>79.95</v>
      </c>
      <c r="D991">
        <v>6</v>
      </c>
      <c r="E991">
        <v>0</v>
      </c>
      <c r="F991">
        <v>0</v>
      </c>
      <c r="G991">
        <v>0</v>
      </c>
      <c r="H991">
        <v>0</v>
      </c>
      <c r="I991">
        <v>0</v>
      </c>
      <c r="J991">
        <v>7</v>
      </c>
      <c r="K991">
        <v>1</v>
      </c>
      <c r="L991">
        <v>0.8</v>
      </c>
      <c r="M991">
        <v>4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1</v>
      </c>
      <c r="Z991">
        <v>0</v>
      </c>
      <c r="AA991">
        <v>0</v>
      </c>
      <c r="AB991">
        <v>0</v>
      </c>
      <c r="AC991">
        <v>0</v>
      </c>
      <c r="AD991">
        <v>0</v>
      </c>
      <c r="AE991">
        <v>0</v>
      </c>
      <c r="AF991">
        <v>0</v>
      </c>
      <c r="AG991">
        <v>0</v>
      </c>
      <c r="AH991">
        <v>0</v>
      </c>
      <c r="AI991">
        <v>0</v>
      </c>
      <c r="AJ991">
        <v>0</v>
      </c>
      <c r="AK991">
        <v>0</v>
      </c>
      <c r="AL991">
        <v>0</v>
      </c>
      <c r="AM991">
        <v>0</v>
      </c>
      <c r="AN991">
        <v>0</v>
      </c>
      <c r="AO991">
        <v>0</v>
      </c>
      <c r="AP991">
        <v>0</v>
      </c>
      <c r="AQ991">
        <v>0</v>
      </c>
      <c r="AR991">
        <v>0</v>
      </c>
      <c r="AS991">
        <v>0</v>
      </c>
      <c r="AT991">
        <f t="shared" si="47"/>
        <v>-4.92</v>
      </c>
      <c r="AU991">
        <f t="shared" si="45"/>
        <v>8.5</v>
      </c>
      <c r="AV991">
        <f t="shared" si="46"/>
        <v>855.5</v>
      </c>
      <c r="AX991">
        <v>1066</v>
      </c>
      <c r="AY991">
        <v>1130</v>
      </c>
      <c r="AZ991">
        <v>1.8</v>
      </c>
      <c r="BC991" t="s">
        <v>108</v>
      </c>
    </row>
    <row r="992" spans="3:55" x14ac:dyDescent="0.45">
      <c r="C992">
        <v>77.95</v>
      </c>
      <c r="D992">
        <v>6</v>
      </c>
      <c r="E992">
        <v>0</v>
      </c>
      <c r="F992">
        <v>0</v>
      </c>
      <c r="G992">
        <v>0</v>
      </c>
      <c r="H992">
        <v>0</v>
      </c>
      <c r="I992">
        <v>0</v>
      </c>
      <c r="J992">
        <v>9</v>
      </c>
      <c r="K992">
        <v>1</v>
      </c>
      <c r="L992">
        <v>0.8</v>
      </c>
      <c r="M992">
        <v>4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0</v>
      </c>
      <c r="T992">
        <v>0</v>
      </c>
      <c r="U992">
        <v>0</v>
      </c>
      <c r="V992">
        <v>0</v>
      </c>
      <c r="W992">
        <v>0</v>
      </c>
      <c r="X992">
        <v>0</v>
      </c>
      <c r="Y992">
        <v>1</v>
      </c>
      <c r="Z992">
        <v>0</v>
      </c>
      <c r="AA992">
        <v>0</v>
      </c>
      <c r="AB992">
        <v>0</v>
      </c>
      <c r="AC992">
        <v>0</v>
      </c>
      <c r="AD992">
        <v>0</v>
      </c>
      <c r="AE992">
        <v>0</v>
      </c>
      <c r="AF992">
        <v>0</v>
      </c>
      <c r="AG992">
        <v>0</v>
      </c>
      <c r="AH992">
        <v>0</v>
      </c>
      <c r="AI992">
        <v>0</v>
      </c>
      <c r="AJ992">
        <v>0</v>
      </c>
      <c r="AK992">
        <v>0</v>
      </c>
      <c r="AL992">
        <v>0</v>
      </c>
      <c r="AM992">
        <v>0</v>
      </c>
      <c r="AN992">
        <v>0</v>
      </c>
      <c r="AO992">
        <v>0</v>
      </c>
      <c r="AP992">
        <v>0</v>
      </c>
      <c r="AQ992">
        <v>0</v>
      </c>
      <c r="AR992">
        <v>0</v>
      </c>
      <c r="AS992">
        <v>0</v>
      </c>
      <c r="AT992">
        <f t="shared" si="47"/>
        <v>-4.92</v>
      </c>
      <c r="AU992">
        <f t="shared" si="45"/>
        <v>8.8333333333333339</v>
      </c>
      <c r="AV992">
        <f t="shared" si="46"/>
        <v>841.69999999999993</v>
      </c>
      <c r="AX992">
        <v>985</v>
      </c>
      <c r="AY992">
        <v>1068</v>
      </c>
      <c r="AZ992">
        <v>1.1399999999999999</v>
      </c>
      <c r="BC992" t="s">
        <v>108</v>
      </c>
    </row>
    <row r="993" spans="3:55" x14ac:dyDescent="0.45">
      <c r="C993">
        <v>75.95</v>
      </c>
      <c r="D993">
        <v>6</v>
      </c>
      <c r="E993">
        <v>0</v>
      </c>
      <c r="F993">
        <v>0</v>
      </c>
      <c r="G993">
        <v>0</v>
      </c>
      <c r="H993">
        <v>0</v>
      </c>
      <c r="I993">
        <v>0</v>
      </c>
      <c r="J993">
        <v>11</v>
      </c>
      <c r="K993">
        <v>1</v>
      </c>
      <c r="L993">
        <v>0.8</v>
      </c>
      <c r="M993">
        <v>4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1</v>
      </c>
      <c r="Z993">
        <v>0</v>
      </c>
      <c r="AA993">
        <v>0</v>
      </c>
      <c r="AB993">
        <v>0</v>
      </c>
      <c r="AC993">
        <v>0</v>
      </c>
      <c r="AD993">
        <v>0</v>
      </c>
      <c r="AE993">
        <v>0</v>
      </c>
      <c r="AF993">
        <v>0</v>
      </c>
      <c r="AG993">
        <v>0</v>
      </c>
      <c r="AH993">
        <v>0</v>
      </c>
      <c r="AI993">
        <v>0</v>
      </c>
      <c r="AJ993">
        <v>0</v>
      </c>
      <c r="AK993">
        <v>0</v>
      </c>
      <c r="AL993">
        <v>0</v>
      </c>
      <c r="AM993">
        <v>0</v>
      </c>
      <c r="AN993">
        <v>0</v>
      </c>
      <c r="AO993">
        <v>0</v>
      </c>
      <c r="AP993">
        <v>0</v>
      </c>
      <c r="AQ993">
        <v>0</v>
      </c>
      <c r="AR993">
        <v>0</v>
      </c>
      <c r="AS993">
        <v>0</v>
      </c>
      <c r="AT993">
        <f t="shared" si="47"/>
        <v>-4.92</v>
      </c>
      <c r="AU993">
        <f t="shared" si="45"/>
        <v>9.1666666666666661</v>
      </c>
      <c r="AV993">
        <f t="shared" si="46"/>
        <v>827.9</v>
      </c>
      <c r="AX993">
        <v>963</v>
      </c>
      <c r="AY993">
        <v>1050</v>
      </c>
      <c r="AZ993">
        <v>1.7</v>
      </c>
      <c r="BC993" t="s">
        <v>108</v>
      </c>
    </row>
    <row r="994" spans="3:55" x14ac:dyDescent="0.45">
      <c r="C994">
        <v>81.3</v>
      </c>
      <c r="D994">
        <v>0</v>
      </c>
      <c r="E994">
        <v>0</v>
      </c>
      <c r="F994">
        <v>0</v>
      </c>
      <c r="G994">
        <v>0</v>
      </c>
      <c r="H994">
        <v>0</v>
      </c>
      <c r="I994">
        <v>0</v>
      </c>
      <c r="J994">
        <v>6.3</v>
      </c>
      <c r="K994">
        <v>3.1</v>
      </c>
      <c r="L994">
        <v>3.1</v>
      </c>
      <c r="M994">
        <v>3.1</v>
      </c>
      <c r="N994">
        <v>0</v>
      </c>
      <c r="O994">
        <v>3.1</v>
      </c>
      <c r="P994">
        <v>0</v>
      </c>
      <c r="Q994">
        <v>0</v>
      </c>
      <c r="R994">
        <v>0</v>
      </c>
      <c r="S994">
        <v>0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1</v>
      </c>
      <c r="Z994">
        <v>0</v>
      </c>
      <c r="AA994">
        <v>0</v>
      </c>
      <c r="AB994">
        <v>0</v>
      </c>
      <c r="AC994">
        <v>0</v>
      </c>
      <c r="AD994">
        <v>0</v>
      </c>
      <c r="AE994">
        <v>0</v>
      </c>
      <c r="AF994">
        <v>0</v>
      </c>
      <c r="AG994">
        <v>0</v>
      </c>
      <c r="AH994">
        <v>0</v>
      </c>
      <c r="AI994">
        <v>0</v>
      </c>
      <c r="AJ994">
        <v>0</v>
      </c>
      <c r="AK994">
        <v>0</v>
      </c>
      <c r="AL994">
        <v>0</v>
      </c>
      <c r="AM994">
        <v>0</v>
      </c>
      <c r="AN994">
        <v>0</v>
      </c>
      <c r="AO994">
        <v>0</v>
      </c>
      <c r="AP994">
        <v>0</v>
      </c>
      <c r="AQ994">
        <v>0</v>
      </c>
      <c r="AR994">
        <v>0</v>
      </c>
      <c r="AS994">
        <v>0</v>
      </c>
      <c r="AT994">
        <f t="shared" si="47"/>
        <v>4.6500000000000004</v>
      </c>
      <c r="AU994">
        <f t="shared" si="45"/>
        <v>2.0833333333333335</v>
      </c>
      <c r="AV994">
        <f t="shared" si="46"/>
        <v>822.09999999999991</v>
      </c>
      <c r="AW994">
        <v>49</v>
      </c>
    </row>
    <row r="995" spans="3:55" x14ac:dyDescent="0.45">
      <c r="C995">
        <v>79.400000000000006</v>
      </c>
      <c r="D995">
        <v>0</v>
      </c>
      <c r="E995">
        <v>0</v>
      </c>
      <c r="F995">
        <v>0</v>
      </c>
      <c r="G995">
        <v>0</v>
      </c>
      <c r="H995">
        <v>0</v>
      </c>
      <c r="I995">
        <v>0</v>
      </c>
      <c r="J995">
        <v>2.9</v>
      </c>
      <c r="K995">
        <v>8.8000000000000007</v>
      </c>
      <c r="L995">
        <v>1.8</v>
      </c>
      <c r="M995">
        <v>4.2</v>
      </c>
      <c r="N995">
        <v>0</v>
      </c>
      <c r="O995">
        <v>2.9</v>
      </c>
      <c r="P995">
        <v>0</v>
      </c>
      <c r="Q995">
        <v>0</v>
      </c>
      <c r="R995">
        <v>0</v>
      </c>
      <c r="S995">
        <v>0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1</v>
      </c>
      <c r="Z995">
        <v>0</v>
      </c>
      <c r="AA995">
        <v>0</v>
      </c>
      <c r="AB995">
        <v>0</v>
      </c>
      <c r="AC995">
        <v>0</v>
      </c>
      <c r="AD995">
        <v>0</v>
      </c>
      <c r="AE995">
        <v>0</v>
      </c>
      <c r="AF995">
        <v>0</v>
      </c>
      <c r="AG995">
        <v>0</v>
      </c>
      <c r="AH995">
        <v>0</v>
      </c>
      <c r="AI995">
        <v>0</v>
      </c>
      <c r="AJ995">
        <v>0</v>
      </c>
      <c r="AK995">
        <v>0</v>
      </c>
      <c r="AL995">
        <v>0</v>
      </c>
      <c r="AM995">
        <v>0</v>
      </c>
      <c r="AN995">
        <v>0</v>
      </c>
      <c r="AO995">
        <v>0</v>
      </c>
      <c r="AP995">
        <v>0</v>
      </c>
      <c r="AQ995">
        <v>0</v>
      </c>
      <c r="AR995">
        <v>0</v>
      </c>
      <c r="AS995">
        <v>0</v>
      </c>
      <c r="AT995">
        <f t="shared" si="47"/>
        <v>4.9020000000000001</v>
      </c>
      <c r="AU995">
        <f t="shared" si="45"/>
        <v>1.8833333333333335</v>
      </c>
      <c r="AV995">
        <f t="shared" si="46"/>
        <v>862.53</v>
      </c>
      <c r="AW995">
        <v>46</v>
      </c>
    </row>
    <row r="996" spans="3:55" x14ac:dyDescent="0.45">
      <c r="C996">
        <v>78.2</v>
      </c>
      <c r="D996">
        <v>0</v>
      </c>
      <c r="E996">
        <v>0</v>
      </c>
      <c r="F996">
        <v>0</v>
      </c>
      <c r="G996">
        <v>0</v>
      </c>
      <c r="H996">
        <v>0</v>
      </c>
      <c r="I996">
        <v>0</v>
      </c>
      <c r="J996">
        <v>2.5</v>
      </c>
      <c r="K996">
        <v>16.399999999999999</v>
      </c>
      <c r="L996">
        <v>0.6</v>
      </c>
      <c r="M996">
        <v>2</v>
      </c>
      <c r="N996">
        <v>0</v>
      </c>
      <c r="O996">
        <v>0.3</v>
      </c>
      <c r="P996">
        <v>0</v>
      </c>
      <c r="Q996">
        <v>0</v>
      </c>
      <c r="R996">
        <v>0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1</v>
      </c>
      <c r="Z996">
        <v>0</v>
      </c>
      <c r="AA996">
        <v>0</v>
      </c>
      <c r="AB996">
        <v>0</v>
      </c>
      <c r="AC996">
        <v>0</v>
      </c>
      <c r="AD996">
        <v>0</v>
      </c>
      <c r="AE996">
        <v>0</v>
      </c>
      <c r="AF996">
        <v>0</v>
      </c>
      <c r="AG996">
        <v>0</v>
      </c>
      <c r="AH996">
        <v>0</v>
      </c>
      <c r="AI996">
        <v>0</v>
      </c>
      <c r="AJ996">
        <v>0</v>
      </c>
      <c r="AK996">
        <v>0</v>
      </c>
      <c r="AL996">
        <v>0</v>
      </c>
      <c r="AM996">
        <v>0</v>
      </c>
      <c r="AN996">
        <v>0</v>
      </c>
      <c r="AO996">
        <v>0</v>
      </c>
      <c r="AP996">
        <v>0</v>
      </c>
      <c r="AQ996">
        <v>0</v>
      </c>
      <c r="AR996">
        <v>0</v>
      </c>
      <c r="AS996">
        <v>0</v>
      </c>
      <c r="AT996">
        <f t="shared" si="47"/>
        <v>5.2579999999999991</v>
      </c>
      <c r="AU996">
        <f t="shared" si="45"/>
        <v>1.0833333333333333</v>
      </c>
      <c r="AV996">
        <f t="shared" si="46"/>
        <v>867.44999999999993</v>
      </c>
      <c r="AW996">
        <v>47.3</v>
      </c>
    </row>
    <row r="997" spans="3:55" x14ac:dyDescent="0.45">
      <c r="C997">
        <v>81.3</v>
      </c>
      <c r="D997">
        <v>0</v>
      </c>
      <c r="E997">
        <v>0</v>
      </c>
      <c r="F997">
        <v>0</v>
      </c>
      <c r="G997">
        <v>0</v>
      </c>
      <c r="H997">
        <v>0</v>
      </c>
      <c r="I997">
        <v>0</v>
      </c>
      <c r="J997">
        <v>6.3</v>
      </c>
      <c r="K997">
        <v>3.1</v>
      </c>
      <c r="L997">
        <v>3.1</v>
      </c>
      <c r="M997">
        <v>3.1</v>
      </c>
      <c r="N997">
        <v>0</v>
      </c>
      <c r="O997">
        <v>3.1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1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0</v>
      </c>
      <c r="AF997">
        <v>0</v>
      </c>
      <c r="AG997">
        <v>0</v>
      </c>
      <c r="AH997">
        <v>0</v>
      </c>
      <c r="AI997">
        <v>0</v>
      </c>
      <c r="AJ997">
        <v>0</v>
      </c>
      <c r="AK997">
        <v>0</v>
      </c>
      <c r="AL997">
        <v>0</v>
      </c>
      <c r="AM997">
        <v>0</v>
      </c>
      <c r="AN997">
        <v>0</v>
      </c>
      <c r="AO997">
        <v>0</v>
      </c>
      <c r="AP997">
        <v>0</v>
      </c>
      <c r="AQ997">
        <v>0</v>
      </c>
      <c r="AR997">
        <v>0</v>
      </c>
      <c r="AS997">
        <v>0</v>
      </c>
      <c r="AT997">
        <f t="shared" si="47"/>
        <v>4.6500000000000004</v>
      </c>
      <c r="AU997">
        <f t="shared" si="45"/>
        <v>2.0833333333333335</v>
      </c>
      <c r="AV997">
        <f t="shared" si="46"/>
        <v>822.09999999999991</v>
      </c>
      <c r="AW997">
        <v>49</v>
      </c>
    </row>
    <row r="998" spans="3:55" x14ac:dyDescent="0.45">
      <c r="C998">
        <v>79.400000000000006</v>
      </c>
      <c r="D998">
        <v>0</v>
      </c>
      <c r="E998">
        <v>0</v>
      </c>
      <c r="F998">
        <v>0</v>
      </c>
      <c r="G998">
        <v>0</v>
      </c>
      <c r="H998">
        <v>0</v>
      </c>
      <c r="I998">
        <v>0</v>
      </c>
      <c r="J998">
        <v>2.9</v>
      </c>
      <c r="K998">
        <v>8.8000000000000007</v>
      </c>
      <c r="L998">
        <v>1.8</v>
      </c>
      <c r="M998">
        <v>4.0999999999999996</v>
      </c>
      <c r="N998">
        <v>0</v>
      </c>
      <c r="O998">
        <v>2.9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1</v>
      </c>
      <c r="Z998">
        <v>0</v>
      </c>
      <c r="AA998">
        <v>0</v>
      </c>
      <c r="AB998">
        <v>0</v>
      </c>
      <c r="AC998">
        <v>0</v>
      </c>
      <c r="AD998">
        <v>0</v>
      </c>
      <c r="AE998">
        <v>0</v>
      </c>
      <c r="AF998">
        <v>0</v>
      </c>
      <c r="AG998">
        <v>0</v>
      </c>
      <c r="AH998">
        <v>0</v>
      </c>
      <c r="AI998">
        <v>0</v>
      </c>
      <c r="AJ998">
        <v>0</v>
      </c>
      <c r="AK998">
        <v>0</v>
      </c>
      <c r="AL998">
        <v>0</v>
      </c>
      <c r="AM998">
        <v>0</v>
      </c>
      <c r="AN998">
        <v>0</v>
      </c>
      <c r="AO998">
        <v>0</v>
      </c>
      <c r="AP998">
        <v>0</v>
      </c>
      <c r="AQ998">
        <v>0</v>
      </c>
      <c r="AR998">
        <v>0</v>
      </c>
      <c r="AS998">
        <v>0</v>
      </c>
      <c r="AT998">
        <f t="shared" si="47"/>
        <v>4.9020000000000001</v>
      </c>
      <c r="AU998">
        <f t="shared" si="45"/>
        <v>1.8499999999999999</v>
      </c>
      <c r="AV998">
        <f t="shared" si="46"/>
        <v>862.11</v>
      </c>
      <c r="AW998">
        <v>46</v>
      </c>
    </row>
    <row r="999" spans="3:55" x14ac:dyDescent="0.45">
      <c r="C999">
        <v>86.69</v>
      </c>
      <c r="D999">
        <v>6</v>
      </c>
      <c r="E999">
        <v>0</v>
      </c>
      <c r="F999">
        <v>0</v>
      </c>
      <c r="G999">
        <v>0</v>
      </c>
      <c r="H999">
        <v>0</v>
      </c>
      <c r="I999">
        <v>0</v>
      </c>
      <c r="J999">
        <v>3.6</v>
      </c>
      <c r="K999">
        <v>0.18</v>
      </c>
      <c r="L999">
        <v>0</v>
      </c>
      <c r="M999">
        <v>2.8</v>
      </c>
      <c r="N999">
        <v>0</v>
      </c>
      <c r="O999">
        <v>0.36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1</v>
      </c>
      <c r="Z999">
        <v>0</v>
      </c>
      <c r="AA999">
        <v>0</v>
      </c>
      <c r="AB999">
        <v>0</v>
      </c>
      <c r="AC999">
        <v>950</v>
      </c>
      <c r="AD999">
        <v>1</v>
      </c>
      <c r="AE999">
        <v>1</v>
      </c>
      <c r="AF999">
        <v>0</v>
      </c>
      <c r="AG999">
        <v>0</v>
      </c>
      <c r="AH999">
        <v>650</v>
      </c>
      <c r="AI999">
        <v>6</v>
      </c>
      <c r="AJ999">
        <v>0</v>
      </c>
      <c r="AK999">
        <v>1</v>
      </c>
      <c r="AL999">
        <v>0</v>
      </c>
      <c r="AM999">
        <v>0</v>
      </c>
      <c r="AN999">
        <v>0</v>
      </c>
      <c r="AO999">
        <v>0</v>
      </c>
      <c r="AP999">
        <v>0</v>
      </c>
      <c r="AQ999">
        <v>0</v>
      </c>
      <c r="AR999">
        <v>0</v>
      </c>
      <c r="AS999">
        <v>0</v>
      </c>
      <c r="AT999">
        <f t="shared" si="47"/>
        <v>-5.8704000000000001</v>
      </c>
      <c r="AU999">
        <f t="shared" si="45"/>
        <v>7.5333333333333332</v>
      </c>
      <c r="AV999">
        <f t="shared" si="46"/>
        <v>881.52</v>
      </c>
      <c r="AX999">
        <v>970</v>
      </c>
      <c r="AY999">
        <v>1032</v>
      </c>
      <c r="AZ999">
        <v>2.7</v>
      </c>
      <c r="BC999" t="s">
        <v>108</v>
      </c>
    </row>
    <row r="1000" spans="3:55" x14ac:dyDescent="0.45">
      <c r="C1000">
        <v>82.97</v>
      </c>
      <c r="D1000">
        <v>6.42</v>
      </c>
      <c r="E1000">
        <v>0</v>
      </c>
      <c r="F1000">
        <v>1.26</v>
      </c>
      <c r="G1000">
        <v>0</v>
      </c>
      <c r="H1000">
        <v>0</v>
      </c>
      <c r="I1000">
        <v>0</v>
      </c>
      <c r="J1000">
        <v>2.25</v>
      </c>
      <c r="K1000">
        <v>1.93</v>
      </c>
      <c r="L1000">
        <v>3.05</v>
      </c>
      <c r="M1000">
        <v>2.12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1</v>
      </c>
      <c r="Z1000">
        <v>0</v>
      </c>
      <c r="AA1000">
        <v>0</v>
      </c>
      <c r="AB1000">
        <v>0</v>
      </c>
      <c r="AC1000">
        <v>0</v>
      </c>
      <c r="AD1000">
        <v>0</v>
      </c>
      <c r="AE1000">
        <v>0</v>
      </c>
      <c r="AF1000">
        <v>0</v>
      </c>
      <c r="AG1000">
        <v>0</v>
      </c>
      <c r="AH1000">
        <v>0</v>
      </c>
      <c r="AI1000">
        <v>0</v>
      </c>
      <c r="AJ1000">
        <v>0</v>
      </c>
      <c r="AK1000">
        <v>0</v>
      </c>
      <c r="AL1000">
        <v>0</v>
      </c>
      <c r="AM1000">
        <v>0</v>
      </c>
      <c r="AN1000">
        <v>0</v>
      </c>
      <c r="AO1000">
        <v>0</v>
      </c>
      <c r="AP1000">
        <v>0</v>
      </c>
      <c r="AQ1000">
        <v>0</v>
      </c>
      <c r="AR1000">
        <v>0</v>
      </c>
      <c r="AS1000">
        <v>0</v>
      </c>
      <c r="AT1000">
        <f t="shared" si="47"/>
        <v>-0.8136000000000001</v>
      </c>
      <c r="AU1000">
        <f t="shared" si="45"/>
        <v>7.5016666666666669</v>
      </c>
      <c r="AV1000">
        <f t="shared" si="46"/>
        <v>844.64</v>
      </c>
      <c r="AX1000">
        <v>908</v>
      </c>
      <c r="AY1000">
        <v>1043</v>
      </c>
      <c r="AZ1000">
        <v>9.4</v>
      </c>
      <c r="BC1000" t="s">
        <v>204</v>
      </c>
    </row>
    <row r="1001" spans="3:55" x14ac:dyDescent="0.45">
      <c r="C1001">
        <v>82.97</v>
      </c>
      <c r="D1001">
        <v>6.42</v>
      </c>
      <c r="E1001">
        <v>0</v>
      </c>
      <c r="F1001">
        <v>1.26</v>
      </c>
      <c r="G1001">
        <v>0</v>
      </c>
      <c r="H1001">
        <v>0</v>
      </c>
      <c r="I1001">
        <v>0</v>
      </c>
      <c r="J1001">
        <v>2.25</v>
      </c>
      <c r="K1001">
        <v>1.93</v>
      </c>
      <c r="L1001">
        <v>3.05</v>
      </c>
      <c r="M1001">
        <v>2.12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1</v>
      </c>
      <c r="Z1001">
        <v>0</v>
      </c>
      <c r="AA1001">
        <v>0</v>
      </c>
      <c r="AB1001">
        <v>0</v>
      </c>
      <c r="AC1001">
        <v>900</v>
      </c>
      <c r="AD1001">
        <v>2</v>
      </c>
      <c r="AE1001">
        <v>0</v>
      </c>
      <c r="AF1001">
        <v>1</v>
      </c>
      <c r="AG1001">
        <v>0</v>
      </c>
      <c r="AH1001">
        <v>590</v>
      </c>
      <c r="AI1001">
        <v>4</v>
      </c>
      <c r="AJ1001">
        <v>0</v>
      </c>
      <c r="AK1001">
        <v>1</v>
      </c>
      <c r="AL1001">
        <v>0</v>
      </c>
      <c r="AM1001">
        <v>0</v>
      </c>
      <c r="AN1001">
        <v>0</v>
      </c>
      <c r="AO1001">
        <v>0</v>
      </c>
      <c r="AP1001">
        <v>0</v>
      </c>
      <c r="AQ1001">
        <v>0</v>
      </c>
      <c r="AR1001">
        <v>0</v>
      </c>
      <c r="AS1001">
        <v>0</v>
      </c>
      <c r="AT1001">
        <f t="shared" si="47"/>
        <v>-0.8136000000000001</v>
      </c>
      <c r="AU1001">
        <f t="shared" si="45"/>
        <v>7.5016666666666669</v>
      </c>
      <c r="AV1001">
        <f t="shared" si="46"/>
        <v>844.64</v>
      </c>
      <c r="AX1001">
        <v>1063</v>
      </c>
      <c r="AY1001">
        <v>1181</v>
      </c>
      <c r="AZ1001">
        <v>6.6</v>
      </c>
      <c r="BC1001" t="s">
        <v>204</v>
      </c>
    </row>
    <row r="1002" spans="3:55" x14ac:dyDescent="0.45">
      <c r="C1002">
        <v>82.97</v>
      </c>
      <c r="D1002">
        <v>6.42</v>
      </c>
      <c r="E1002">
        <v>0</v>
      </c>
      <c r="F1002">
        <v>1.26</v>
      </c>
      <c r="G1002">
        <v>0</v>
      </c>
      <c r="H1002">
        <v>0</v>
      </c>
      <c r="I1002">
        <v>0</v>
      </c>
      <c r="J1002">
        <v>2.25</v>
      </c>
      <c r="K1002">
        <v>1.93</v>
      </c>
      <c r="L1002">
        <v>3.05</v>
      </c>
      <c r="M1002">
        <v>2.12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1</v>
      </c>
      <c r="Z1002">
        <v>0</v>
      </c>
      <c r="AA1002">
        <v>0</v>
      </c>
      <c r="AB1002">
        <v>0</v>
      </c>
      <c r="AC1002">
        <v>915</v>
      </c>
      <c r="AD1002">
        <v>2</v>
      </c>
      <c r="AE1002">
        <v>0</v>
      </c>
      <c r="AF1002">
        <v>1</v>
      </c>
      <c r="AG1002">
        <v>0</v>
      </c>
      <c r="AH1002">
        <v>590</v>
      </c>
      <c r="AI1002">
        <v>4</v>
      </c>
      <c r="AJ1002">
        <v>0</v>
      </c>
      <c r="AK1002">
        <v>1</v>
      </c>
      <c r="AL1002">
        <v>0</v>
      </c>
      <c r="AM1002">
        <v>0</v>
      </c>
      <c r="AN1002">
        <v>0</v>
      </c>
      <c r="AO1002">
        <v>0</v>
      </c>
      <c r="AP1002">
        <v>0</v>
      </c>
      <c r="AQ1002">
        <v>0</v>
      </c>
      <c r="AR1002">
        <v>0</v>
      </c>
      <c r="AS1002">
        <v>0</v>
      </c>
      <c r="AT1002">
        <f t="shared" si="47"/>
        <v>-0.8136000000000001</v>
      </c>
      <c r="AU1002">
        <f t="shared" si="45"/>
        <v>7.5016666666666669</v>
      </c>
      <c r="AV1002">
        <f t="shared" si="46"/>
        <v>844.64</v>
      </c>
      <c r="AX1002">
        <v>1086</v>
      </c>
      <c r="AY1002">
        <v>1213</v>
      </c>
      <c r="AZ1002">
        <v>5.6</v>
      </c>
      <c r="BC1002" t="s">
        <v>204</v>
      </c>
    </row>
    <row r="1003" spans="3:55" x14ac:dyDescent="0.45">
      <c r="C1003">
        <v>82.97</v>
      </c>
      <c r="D1003">
        <v>6.42</v>
      </c>
      <c r="E1003">
        <v>0</v>
      </c>
      <c r="F1003">
        <v>1.26</v>
      </c>
      <c r="G1003">
        <v>0</v>
      </c>
      <c r="H1003">
        <v>0</v>
      </c>
      <c r="I1003">
        <v>0</v>
      </c>
      <c r="J1003">
        <v>2.25</v>
      </c>
      <c r="K1003">
        <v>1.93</v>
      </c>
      <c r="L1003">
        <v>3.05</v>
      </c>
      <c r="M1003">
        <v>2.12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1</v>
      </c>
      <c r="Z1003">
        <v>0</v>
      </c>
      <c r="AA1003">
        <v>0</v>
      </c>
      <c r="AB1003">
        <v>0</v>
      </c>
      <c r="AC1003">
        <v>930</v>
      </c>
      <c r="AD1003">
        <v>2</v>
      </c>
      <c r="AE1003">
        <v>0</v>
      </c>
      <c r="AF1003">
        <v>1</v>
      </c>
      <c r="AG1003">
        <v>0</v>
      </c>
      <c r="AH1003">
        <v>590</v>
      </c>
      <c r="AI1003">
        <v>4</v>
      </c>
      <c r="AJ1003">
        <v>0</v>
      </c>
      <c r="AK1003">
        <v>1</v>
      </c>
      <c r="AL1003">
        <v>0</v>
      </c>
      <c r="AM1003">
        <v>0</v>
      </c>
      <c r="AN1003">
        <v>0</v>
      </c>
      <c r="AO1003">
        <v>0</v>
      </c>
      <c r="AP1003">
        <v>0</v>
      </c>
      <c r="AQ1003">
        <v>0</v>
      </c>
      <c r="AR1003">
        <v>0</v>
      </c>
      <c r="AS1003">
        <v>0</v>
      </c>
      <c r="AT1003">
        <f t="shared" si="47"/>
        <v>-0.8136000000000001</v>
      </c>
      <c r="AU1003">
        <f t="shared" si="45"/>
        <v>7.5016666666666669</v>
      </c>
      <c r="AV1003">
        <f t="shared" si="46"/>
        <v>844.64</v>
      </c>
      <c r="AX1003">
        <v>1101</v>
      </c>
      <c r="AY1003">
        <v>1244</v>
      </c>
      <c r="AZ1003">
        <v>4.3</v>
      </c>
      <c r="BC1003" t="s">
        <v>204</v>
      </c>
    </row>
    <row r="1004" spans="3:55" x14ac:dyDescent="0.45">
      <c r="C1004">
        <v>82.97</v>
      </c>
      <c r="D1004">
        <v>6.42</v>
      </c>
      <c r="E1004">
        <v>0</v>
      </c>
      <c r="F1004">
        <v>1.26</v>
      </c>
      <c r="G1004">
        <v>0</v>
      </c>
      <c r="H1004">
        <v>0</v>
      </c>
      <c r="I1004">
        <v>0</v>
      </c>
      <c r="J1004">
        <v>2.25</v>
      </c>
      <c r="K1004">
        <v>1.93</v>
      </c>
      <c r="L1004">
        <v>3.05</v>
      </c>
      <c r="M1004">
        <v>2.12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1</v>
      </c>
      <c r="Z1004">
        <v>0</v>
      </c>
      <c r="AA1004">
        <v>0</v>
      </c>
      <c r="AB1004">
        <v>0</v>
      </c>
      <c r="AC1004">
        <v>945</v>
      </c>
      <c r="AD1004">
        <v>2</v>
      </c>
      <c r="AE1004">
        <v>0</v>
      </c>
      <c r="AF1004">
        <v>1</v>
      </c>
      <c r="AG1004">
        <v>0</v>
      </c>
      <c r="AH1004">
        <v>590</v>
      </c>
      <c r="AI1004">
        <v>4</v>
      </c>
      <c r="AJ1004">
        <v>0</v>
      </c>
      <c r="AK1004">
        <v>1</v>
      </c>
      <c r="AL1004">
        <v>0</v>
      </c>
      <c r="AM1004">
        <v>0</v>
      </c>
      <c r="AN1004">
        <v>0</v>
      </c>
      <c r="AO1004">
        <v>0</v>
      </c>
      <c r="AP1004">
        <v>0</v>
      </c>
      <c r="AQ1004">
        <v>0</v>
      </c>
      <c r="AR1004">
        <v>0</v>
      </c>
      <c r="AS1004">
        <v>0</v>
      </c>
      <c r="AT1004">
        <f t="shared" si="47"/>
        <v>-0.8136000000000001</v>
      </c>
      <c r="AU1004">
        <f t="shared" si="45"/>
        <v>7.5016666666666669</v>
      </c>
      <c r="AV1004">
        <f t="shared" si="46"/>
        <v>844.64</v>
      </c>
      <c r="AX1004">
        <v>1140</v>
      </c>
      <c r="AY1004">
        <v>1266</v>
      </c>
      <c r="AZ1004">
        <v>5.5</v>
      </c>
      <c r="BC1004" t="s">
        <v>204</v>
      </c>
    </row>
    <row r="1005" spans="3:55" x14ac:dyDescent="0.45">
      <c r="C1005">
        <v>82.97</v>
      </c>
      <c r="D1005">
        <v>6.42</v>
      </c>
      <c r="E1005">
        <v>0</v>
      </c>
      <c r="F1005">
        <v>1.26</v>
      </c>
      <c r="G1005">
        <v>0</v>
      </c>
      <c r="H1005">
        <v>0</v>
      </c>
      <c r="I1005">
        <v>0</v>
      </c>
      <c r="J1005">
        <v>2.25</v>
      </c>
      <c r="K1005">
        <v>1.93</v>
      </c>
      <c r="L1005">
        <v>3.05</v>
      </c>
      <c r="M1005">
        <v>2.12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1</v>
      </c>
      <c r="Z1005">
        <v>0</v>
      </c>
      <c r="AA1005">
        <v>0</v>
      </c>
      <c r="AB1005">
        <v>0</v>
      </c>
      <c r="AC1005">
        <v>930</v>
      </c>
      <c r="AD1005">
        <v>2</v>
      </c>
      <c r="AE1005">
        <v>0</v>
      </c>
      <c r="AF1005">
        <v>1</v>
      </c>
      <c r="AG1005">
        <v>0</v>
      </c>
      <c r="AH1005">
        <v>590</v>
      </c>
      <c r="AI1005">
        <v>2</v>
      </c>
      <c r="AJ1005">
        <v>0</v>
      </c>
      <c r="AK1005">
        <v>1</v>
      </c>
      <c r="AL1005">
        <v>0</v>
      </c>
      <c r="AM1005">
        <v>0</v>
      </c>
      <c r="AN1005">
        <v>0</v>
      </c>
      <c r="AO1005">
        <v>0</v>
      </c>
      <c r="AP1005">
        <v>0</v>
      </c>
      <c r="AQ1005">
        <v>0</v>
      </c>
      <c r="AR1005">
        <v>0</v>
      </c>
      <c r="AS1005">
        <v>0</v>
      </c>
      <c r="AT1005">
        <f t="shared" si="47"/>
        <v>-0.8136000000000001</v>
      </c>
      <c r="AU1005">
        <f t="shared" si="45"/>
        <v>7.5016666666666669</v>
      </c>
      <c r="AV1005">
        <f t="shared" si="46"/>
        <v>844.64</v>
      </c>
      <c r="AX1005">
        <v>1107.5999999999999</v>
      </c>
      <c r="AY1005">
        <v>1237.8</v>
      </c>
      <c r="AZ1005">
        <v>3.74</v>
      </c>
      <c r="BC1005" t="s">
        <v>204</v>
      </c>
    </row>
    <row r="1006" spans="3:55" x14ac:dyDescent="0.45">
      <c r="C1006">
        <v>82.97</v>
      </c>
      <c r="D1006">
        <v>6.42</v>
      </c>
      <c r="E1006">
        <v>0</v>
      </c>
      <c r="F1006">
        <v>1.26</v>
      </c>
      <c r="G1006">
        <v>0</v>
      </c>
      <c r="H1006">
        <v>0</v>
      </c>
      <c r="I1006">
        <v>0</v>
      </c>
      <c r="J1006">
        <v>2.25</v>
      </c>
      <c r="K1006">
        <v>1.93</v>
      </c>
      <c r="L1006">
        <v>3.05</v>
      </c>
      <c r="M1006">
        <v>2.12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1</v>
      </c>
      <c r="Z1006">
        <v>0</v>
      </c>
      <c r="AA1006">
        <v>0</v>
      </c>
      <c r="AB1006">
        <v>0</v>
      </c>
      <c r="AC1006">
        <v>930</v>
      </c>
      <c r="AD1006">
        <v>2</v>
      </c>
      <c r="AE1006">
        <v>0</v>
      </c>
      <c r="AF1006">
        <v>1</v>
      </c>
      <c r="AG1006">
        <v>0</v>
      </c>
      <c r="AH1006">
        <v>590</v>
      </c>
      <c r="AI1006">
        <v>4</v>
      </c>
      <c r="AJ1006">
        <v>0</v>
      </c>
      <c r="AK1006">
        <v>1</v>
      </c>
      <c r="AL1006">
        <v>0</v>
      </c>
      <c r="AM1006">
        <v>0</v>
      </c>
      <c r="AN1006">
        <v>0</v>
      </c>
      <c r="AO1006">
        <v>0</v>
      </c>
      <c r="AP1006">
        <v>0</v>
      </c>
      <c r="AQ1006">
        <v>0</v>
      </c>
      <c r="AR1006">
        <v>0</v>
      </c>
      <c r="AS1006">
        <v>0</v>
      </c>
      <c r="AT1006">
        <f t="shared" si="47"/>
        <v>-0.8136000000000001</v>
      </c>
      <c r="AU1006">
        <f t="shared" si="45"/>
        <v>7.5016666666666669</v>
      </c>
      <c r="AV1006">
        <f t="shared" si="46"/>
        <v>844.64</v>
      </c>
      <c r="AX1006">
        <v>1094.4000000000001</v>
      </c>
      <c r="AY1006">
        <v>1237</v>
      </c>
      <c r="AZ1006">
        <v>4.3</v>
      </c>
      <c r="BC1006" t="s">
        <v>204</v>
      </c>
    </row>
    <row r="1007" spans="3:55" x14ac:dyDescent="0.45">
      <c r="C1007">
        <v>82.97</v>
      </c>
      <c r="D1007">
        <v>6.42</v>
      </c>
      <c r="E1007">
        <v>0</v>
      </c>
      <c r="F1007">
        <v>1.26</v>
      </c>
      <c r="G1007">
        <v>0</v>
      </c>
      <c r="H1007">
        <v>0</v>
      </c>
      <c r="I1007">
        <v>0</v>
      </c>
      <c r="J1007">
        <v>2.25</v>
      </c>
      <c r="K1007">
        <v>1.93</v>
      </c>
      <c r="L1007">
        <v>3.05</v>
      </c>
      <c r="M1007">
        <v>2.12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1</v>
      </c>
      <c r="Z1007">
        <v>0</v>
      </c>
      <c r="AA1007">
        <v>0</v>
      </c>
      <c r="AB1007">
        <v>0</v>
      </c>
      <c r="AC1007">
        <v>930</v>
      </c>
      <c r="AD1007">
        <v>2</v>
      </c>
      <c r="AE1007">
        <v>0</v>
      </c>
      <c r="AF1007">
        <v>1</v>
      </c>
      <c r="AG1007">
        <v>0</v>
      </c>
      <c r="AH1007">
        <v>590</v>
      </c>
      <c r="AI1007">
        <v>6</v>
      </c>
      <c r="AJ1007">
        <v>0</v>
      </c>
      <c r="AK1007">
        <v>1</v>
      </c>
      <c r="AL1007">
        <v>0</v>
      </c>
      <c r="AM1007">
        <v>0</v>
      </c>
      <c r="AN1007">
        <v>0</v>
      </c>
      <c r="AO1007">
        <v>0</v>
      </c>
      <c r="AP1007">
        <v>0</v>
      </c>
      <c r="AQ1007">
        <v>0</v>
      </c>
      <c r="AR1007">
        <v>0</v>
      </c>
      <c r="AS1007">
        <v>0</v>
      </c>
      <c r="AT1007">
        <f t="shared" si="47"/>
        <v>-0.8136000000000001</v>
      </c>
      <c r="AU1007">
        <f t="shared" si="45"/>
        <v>7.5016666666666669</v>
      </c>
      <c r="AV1007">
        <f t="shared" si="46"/>
        <v>844.64</v>
      </c>
      <c r="AX1007">
        <v>1123</v>
      </c>
      <c r="AY1007">
        <v>1248.5999999999999</v>
      </c>
      <c r="AZ1007">
        <v>5.55</v>
      </c>
      <c r="BC1007" t="s">
        <v>204</v>
      </c>
    </row>
    <row r="1008" spans="3:55" x14ac:dyDescent="0.45">
      <c r="C1008">
        <v>82.97</v>
      </c>
      <c r="D1008">
        <v>6.42</v>
      </c>
      <c r="E1008">
        <v>0</v>
      </c>
      <c r="F1008">
        <v>1.26</v>
      </c>
      <c r="G1008">
        <v>0</v>
      </c>
      <c r="H1008">
        <v>0</v>
      </c>
      <c r="I1008">
        <v>0</v>
      </c>
      <c r="J1008">
        <v>2.25</v>
      </c>
      <c r="K1008">
        <v>1.93</v>
      </c>
      <c r="L1008">
        <v>3.05</v>
      </c>
      <c r="M1008">
        <v>2.12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1</v>
      </c>
      <c r="Z1008">
        <v>0</v>
      </c>
      <c r="AA1008">
        <v>0</v>
      </c>
      <c r="AB1008">
        <v>0</v>
      </c>
      <c r="AC1008">
        <v>930</v>
      </c>
      <c r="AD1008">
        <v>2</v>
      </c>
      <c r="AE1008">
        <v>0</v>
      </c>
      <c r="AF1008">
        <v>1</v>
      </c>
      <c r="AG1008">
        <v>0</v>
      </c>
      <c r="AH1008">
        <v>590</v>
      </c>
      <c r="AI1008">
        <v>8</v>
      </c>
      <c r="AJ1008">
        <v>0</v>
      </c>
      <c r="AK1008">
        <v>1</v>
      </c>
      <c r="AL1008">
        <v>0</v>
      </c>
      <c r="AM1008">
        <v>0</v>
      </c>
      <c r="AN1008">
        <v>0</v>
      </c>
      <c r="AO1008">
        <v>0</v>
      </c>
      <c r="AP1008">
        <v>0</v>
      </c>
      <c r="AQ1008">
        <v>0</v>
      </c>
      <c r="AR1008">
        <v>0</v>
      </c>
      <c r="AS1008">
        <v>0</v>
      </c>
      <c r="AT1008">
        <f t="shared" si="47"/>
        <v>-0.8136000000000001</v>
      </c>
      <c r="AU1008">
        <f t="shared" si="45"/>
        <v>7.5016666666666669</v>
      </c>
      <c r="AV1008">
        <f t="shared" si="46"/>
        <v>844.64</v>
      </c>
      <c r="AX1008">
        <v>1119.2</v>
      </c>
      <c r="AY1008">
        <v>1226</v>
      </c>
      <c r="AZ1008">
        <v>4.13</v>
      </c>
      <c r="BC1008" t="s">
        <v>204</v>
      </c>
    </row>
    <row r="1009" spans="3:55" x14ac:dyDescent="0.45">
      <c r="C1009">
        <v>82.97</v>
      </c>
      <c r="D1009">
        <v>6.42</v>
      </c>
      <c r="E1009">
        <v>0</v>
      </c>
      <c r="F1009">
        <v>1.26</v>
      </c>
      <c r="G1009">
        <v>0</v>
      </c>
      <c r="H1009">
        <v>0</v>
      </c>
      <c r="I1009">
        <v>0</v>
      </c>
      <c r="J1009">
        <v>2.25</v>
      </c>
      <c r="K1009">
        <v>1.93</v>
      </c>
      <c r="L1009">
        <v>3.05</v>
      </c>
      <c r="M1009">
        <v>2.12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1</v>
      </c>
      <c r="Z1009">
        <v>0</v>
      </c>
      <c r="AA1009">
        <v>0</v>
      </c>
      <c r="AB1009">
        <v>0</v>
      </c>
      <c r="AC1009">
        <v>930</v>
      </c>
      <c r="AD1009">
        <v>2</v>
      </c>
      <c r="AE1009">
        <v>0</v>
      </c>
      <c r="AF1009">
        <v>1</v>
      </c>
      <c r="AG1009">
        <v>0</v>
      </c>
      <c r="AH1009">
        <v>500</v>
      </c>
      <c r="AI1009">
        <v>4</v>
      </c>
      <c r="AJ1009">
        <v>0</v>
      </c>
      <c r="AK1009">
        <v>1</v>
      </c>
      <c r="AL1009">
        <v>0</v>
      </c>
      <c r="AM1009">
        <v>0</v>
      </c>
      <c r="AN1009">
        <v>0</v>
      </c>
      <c r="AO1009">
        <v>0</v>
      </c>
      <c r="AP1009">
        <v>0</v>
      </c>
      <c r="AQ1009">
        <v>0</v>
      </c>
      <c r="AR1009">
        <v>0</v>
      </c>
      <c r="AS1009">
        <v>0</v>
      </c>
      <c r="AT1009">
        <f t="shared" si="47"/>
        <v>-0.8136000000000001</v>
      </c>
      <c r="AU1009">
        <f t="shared" si="45"/>
        <v>7.5016666666666669</v>
      </c>
      <c r="AV1009">
        <f t="shared" si="46"/>
        <v>844.64</v>
      </c>
      <c r="AX1009">
        <v>1108</v>
      </c>
      <c r="AY1009">
        <v>1255</v>
      </c>
      <c r="AZ1009">
        <v>2.5</v>
      </c>
      <c r="BC1009" t="s">
        <v>204</v>
      </c>
    </row>
    <row r="1010" spans="3:55" x14ac:dyDescent="0.45">
      <c r="C1010">
        <v>82.97</v>
      </c>
      <c r="D1010">
        <v>6.42</v>
      </c>
      <c r="E1010">
        <v>0</v>
      </c>
      <c r="F1010">
        <v>1.26</v>
      </c>
      <c r="G1010">
        <v>0</v>
      </c>
      <c r="H1010">
        <v>0</v>
      </c>
      <c r="I1010">
        <v>0</v>
      </c>
      <c r="J1010">
        <v>2.25</v>
      </c>
      <c r="K1010">
        <v>1.93</v>
      </c>
      <c r="L1010">
        <v>3.05</v>
      </c>
      <c r="M1010">
        <v>2.12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0</v>
      </c>
      <c r="Y1010">
        <v>1</v>
      </c>
      <c r="Z1010">
        <v>0</v>
      </c>
      <c r="AA1010">
        <v>0</v>
      </c>
      <c r="AB1010">
        <v>0</v>
      </c>
      <c r="AC1010">
        <v>930</v>
      </c>
      <c r="AD1010">
        <v>2</v>
      </c>
      <c r="AE1010">
        <v>0</v>
      </c>
      <c r="AF1010">
        <v>1</v>
      </c>
      <c r="AG1010">
        <v>0</v>
      </c>
      <c r="AH1010">
        <v>530</v>
      </c>
      <c r="AI1010">
        <v>4</v>
      </c>
      <c r="AJ1010">
        <v>0</v>
      </c>
      <c r="AK1010">
        <v>1</v>
      </c>
      <c r="AL1010">
        <v>0</v>
      </c>
      <c r="AM1010">
        <v>0</v>
      </c>
      <c r="AN1010">
        <v>0</v>
      </c>
      <c r="AO1010">
        <v>0</v>
      </c>
      <c r="AP1010">
        <v>0</v>
      </c>
      <c r="AQ1010">
        <v>0</v>
      </c>
      <c r="AR1010">
        <v>0</v>
      </c>
      <c r="AS1010">
        <v>0</v>
      </c>
      <c r="AT1010">
        <f t="shared" si="47"/>
        <v>-0.8136000000000001</v>
      </c>
      <c r="AU1010">
        <f t="shared" si="45"/>
        <v>7.5016666666666669</v>
      </c>
      <c r="AV1010">
        <f t="shared" si="46"/>
        <v>844.64</v>
      </c>
      <c r="AX1010">
        <v>1109</v>
      </c>
      <c r="AY1010">
        <v>1261</v>
      </c>
      <c r="AZ1010">
        <v>5.35</v>
      </c>
      <c r="BC1010" t="s">
        <v>204</v>
      </c>
    </row>
    <row r="1011" spans="3:55" x14ac:dyDescent="0.45">
      <c r="C1011">
        <v>82.97</v>
      </c>
      <c r="D1011">
        <v>6.42</v>
      </c>
      <c r="E1011">
        <v>0</v>
      </c>
      <c r="F1011">
        <v>1.26</v>
      </c>
      <c r="G1011">
        <v>0</v>
      </c>
      <c r="H1011">
        <v>0</v>
      </c>
      <c r="I1011">
        <v>0</v>
      </c>
      <c r="J1011">
        <v>2.25</v>
      </c>
      <c r="K1011">
        <v>1.93</v>
      </c>
      <c r="L1011">
        <v>3.05</v>
      </c>
      <c r="M1011">
        <v>2.12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0</v>
      </c>
      <c r="Y1011">
        <v>1</v>
      </c>
      <c r="Z1011">
        <v>0</v>
      </c>
      <c r="AA1011">
        <v>0</v>
      </c>
      <c r="AB1011">
        <v>0</v>
      </c>
      <c r="AC1011">
        <v>930</v>
      </c>
      <c r="AD1011">
        <v>2</v>
      </c>
      <c r="AE1011">
        <v>0</v>
      </c>
      <c r="AF1011">
        <v>1</v>
      </c>
      <c r="AG1011">
        <v>0</v>
      </c>
      <c r="AH1011">
        <v>560</v>
      </c>
      <c r="AI1011">
        <v>4</v>
      </c>
      <c r="AJ1011">
        <v>0</v>
      </c>
      <c r="AK1011">
        <v>1</v>
      </c>
      <c r="AL1011">
        <v>0</v>
      </c>
      <c r="AM1011">
        <v>0</v>
      </c>
      <c r="AN1011">
        <v>0</v>
      </c>
      <c r="AO1011">
        <v>0</v>
      </c>
      <c r="AP1011">
        <v>0</v>
      </c>
      <c r="AQ1011">
        <v>0</v>
      </c>
      <c r="AR1011">
        <v>0</v>
      </c>
      <c r="AS1011">
        <v>0</v>
      </c>
      <c r="AT1011">
        <f t="shared" si="47"/>
        <v>-0.8136000000000001</v>
      </c>
      <c r="AU1011">
        <f t="shared" si="45"/>
        <v>7.5016666666666669</v>
      </c>
      <c r="AV1011">
        <f t="shared" si="46"/>
        <v>844.64</v>
      </c>
      <c r="AX1011">
        <v>1124</v>
      </c>
      <c r="AY1011">
        <v>1265</v>
      </c>
      <c r="AZ1011">
        <v>2.94</v>
      </c>
      <c r="BC1011" t="s">
        <v>204</v>
      </c>
    </row>
    <row r="1012" spans="3:55" x14ac:dyDescent="0.45">
      <c r="C1012">
        <v>82.97</v>
      </c>
      <c r="D1012">
        <v>6.42</v>
      </c>
      <c r="E1012">
        <v>0</v>
      </c>
      <c r="F1012">
        <v>1.26</v>
      </c>
      <c r="G1012">
        <v>0</v>
      </c>
      <c r="H1012">
        <v>0</v>
      </c>
      <c r="I1012">
        <v>0</v>
      </c>
      <c r="J1012">
        <v>2.25</v>
      </c>
      <c r="K1012">
        <v>1.93</v>
      </c>
      <c r="L1012">
        <v>3.05</v>
      </c>
      <c r="M1012">
        <v>2.12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0</v>
      </c>
      <c r="Y1012">
        <v>1</v>
      </c>
      <c r="Z1012">
        <v>0</v>
      </c>
      <c r="AA1012">
        <v>0</v>
      </c>
      <c r="AB1012">
        <v>0</v>
      </c>
      <c r="AC1012">
        <v>930</v>
      </c>
      <c r="AD1012">
        <v>2</v>
      </c>
      <c r="AE1012">
        <v>0</v>
      </c>
      <c r="AF1012">
        <v>1</v>
      </c>
      <c r="AG1012">
        <v>0</v>
      </c>
      <c r="AH1012">
        <v>590</v>
      </c>
      <c r="AI1012">
        <v>4</v>
      </c>
      <c r="AJ1012">
        <v>0</v>
      </c>
      <c r="AK1012">
        <v>1</v>
      </c>
      <c r="AL1012">
        <v>0</v>
      </c>
      <c r="AM1012">
        <v>0</v>
      </c>
      <c r="AN1012">
        <v>0</v>
      </c>
      <c r="AO1012">
        <v>0</v>
      </c>
      <c r="AP1012">
        <v>0</v>
      </c>
      <c r="AQ1012">
        <v>0</v>
      </c>
      <c r="AR1012">
        <v>0</v>
      </c>
      <c r="AS1012">
        <v>0</v>
      </c>
      <c r="AT1012">
        <f t="shared" si="47"/>
        <v>-0.8136000000000001</v>
      </c>
      <c r="AU1012">
        <f t="shared" si="45"/>
        <v>7.5016666666666669</v>
      </c>
      <c r="AV1012">
        <f t="shared" si="46"/>
        <v>844.64</v>
      </c>
      <c r="AX1012">
        <v>1095</v>
      </c>
      <c r="AY1012">
        <v>1238</v>
      </c>
      <c r="AZ1012">
        <v>4.3600000000000003</v>
      </c>
      <c r="BC1012" t="s">
        <v>204</v>
      </c>
    </row>
    <row r="1013" spans="3:55" x14ac:dyDescent="0.45">
      <c r="C1013">
        <v>83.4</v>
      </c>
      <c r="D1013">
        <v>6</v>
      </c>
      <c r="E1013">
        <v>0</v>
      </c>
      <c r="F1013">
        <v>1.5</v>
      </c>
      <c r="G1013">
        <v>0</v>
      </c>
      <c r="H1013">
        <v>0</v>
      </c>
      <c r="I1013">
        <v>0</v>
      </c>
      <c r="J1013">
        <v>2</v>
      </c>
      <c r="K1013">
        <v>2</v>
      </c>
      <c r="L1013">
        <v>3</v>
      </c>
      <c r="M1013">
        <v>2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0</v>
      </c>
      <c r="Y1013">
        <v>1</v>
      </c>
      <c r="Z1013">
        <v>0</v>
      </c>
      <c r="AA1013">
        <v>0</v>
      </c>
      <c r="AB1013">
        <v>0</v>
      </c>
      <c r="AC1013">
        <v>850</v>
      </c>
      <c r="AD1013">
        <v>1</v>
      </c>
      <c r="AE1013">
        <v>0</v>
      </c>
      <c r="AF1013">
        <v>1</v>
      </c>
      <c r="AG1013">
        <v>0</v>
      </c>
      <c r="AH1013">
        <v>600</v>
      </c>
      <c r="AI1013">
        <v>4</v>
      </c>
      <c r="AJ1013">
        <v>0</v>
      </c>
      <c r="AK1013">
        <v>1</v>
      </c>
      <c r="AL1013">
        <v>0</v>
      </c>
      <c r="AM1013">
        <v>0</v>
      </c>
      <c r="AN1013">
        <v>0</v>
      </c>
      <c r="AO1013">
        <v>0</v>
      </c>
      <c r="AP1013">
        <v>0</v>
      </c>
      <c r="AQ1013">
        <v>0</v>
      </c>
      <c r="AR1013">
        <v>0</v>
      </c>
      <c r="AS1013">
        <v>0</v>
      </c>
      <c r="AT1013">
        <f t="shared" si="47"/>
        <v>-3.9999999999999147E-2</v>
      </c>
      <c r="AU1013">
        <f t="shared" si="45"/>
        <v>7</v>
      </c>
      <c r="AV1013">
        <f t="shared" si="46"/>
        <v>842.55000000000007</v>
      </c>
      <c r="AX1013">
        <v>1136</v>
      </c>
      <c r="AY1013">
        <v>1213</v>
      </c>
      <c r="AZ1013">
        <v>10</v>
      </c>
      <c r="BC1013" t="s">
        <v>205</v>
      </c>
    </row>
    <row r="1014" spans="3:55" x14ac:dyDescent="0.45">
      <c r="C1014">
        <v>83.4</v>
      </c>
      <c r="D1014">
        <v>6</v>
      </c>
      <c r="E1014">
        <v>0</v>
      </c>
      <c r="F1014">
        <v>1.5</v>
      </c>
      <c r="G1014">
        <v>0</v>
      </c>
      <c r="H1014">
        <v>0</v>
      </c>
      <c r="I1014">
        <v>0</v>
      </c>
      <c r="J1014">
        <v>2</v>
      </c>
      <c r="K1014">
        <v>2</v>
      </c>
      <c r="L1014">
        <v>3</v>
      </c>
      <c r="M1014">
        <v>2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0</v>
      </c>
      <c r="Y1014">
        <v>1</v>
      </c>
      <c r="Z1014">
        <v>0</v>
      </c>
      <c r="AA1014">
        <v>0</v>
      </c>
      <c r="AB1014">
        <v>0</v>
      </c>
      <c r="AC1014">
        <v>900</v>
      </c>
      <c r="AD1014">
        <v>1</v>
      </c>
      <c r="AE1014">
        <v>0</v>
      </c>
      <c r="AF1014">
        <v>1</v>
      </c>
      <c r="AG1014">
        <v>0</v>
      </c>
      <c r="AH1014">
        <v>600</v>
      </c>
      <c r="AI1014">
        <v>4</v>
      </c>
      <c r="AJ1014">
        <v>0</v>
      </c>
      <c r="AK1014">
        <v>1</v>
      </c>
      <c r="AL1014">
        <v>0</v>
      </c>
      <c r="AM1014">
        <v>0</v>
      </c>
      <c r="AN1014">
        <v>0</v>
      </c>
      <c r="AO1014">
        <v>0</v>
      </c>
      <c r="AP1014">
        <v>0</v>
      </c>
      <c r="AQ1014">
        <v>0</v>
      </c>
      <c r="AR1014">
        <v>0</v>
      </c>
      <c r="AS1014">
        <v>0</v>
      </c>
      <c r="AT1014">
        <f t="shared" si="47"/>
        <v>-3.9999999999999147E-2</v>
      </c>
      <c r="AU1014">
        <f t="shared" si="45"/>
        <v>7</v>
      </c>
      <c r="AV1014">
        <f t="shared" si="46"/>
        <v>842.55000000000007</v>
      </c>
      <c r="AX1014">
        <v>1248</v>
      </c>
      <c r="AY1014">
        <v>1340</v>
      </c>
      <c r="AZ1014">
        <v>9</v>
      </c>
      <c r="BC1014" t="s">
        <v>205</v>
      </c>
    </row>
    <row r="1015" spans="3:55" x14ac:dyDescent="0.45">
      <c r="C1015">
        <v>83.4</v>
      </c>
      <c r="D1015">
        <v>6</v>
      </c>
      <c r="E1015">
        <v>0</v>
      </c>
      <c r="F1015">
        <v>1.5</v>
      </c>
      <c r="G1015">
        <v>0</v>
      </c>
      <c r="H1015">
        <v>0</v>
      </c>
      <c r="I1015">
        <v>0</v>
      </c>
      <c r="J1015">
        <v>2</v>
      </c>
      <c r="K1015">
        <v>2</v>
      </c>
      <c r="L1015">
        <v>3</v>
      </c>
      <c r="M1015">
        <v>2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0</v>
      </c>
      <c r="Y1015">
        <v>1</v>
      </c>
      <c r="Z1015">
        <v>0</v>
      </c>
      <c r="AA1015">
        <v>0</v>
      </c>
      <c r="AB1015">
        <v>0</v>
      </c>
      <c r="AC1015">
        <v>920</v>
      </c>
      <c r="AD1015">
        <v>1</v>
      </c>
      <c r="AE1015">
        <v>0</v>
      </c>
      <c r="AF1015">
        <v>1</v>
      </c>
      <c r="AG1015">
        <v>0</v>
      </c>
      <c r="AH1015">
        <v>600</v>
      </c>
      <c r="AI1015">
        <v>4</v>
      </c>
      <c r="AJ1015">
        <v>0</v>
      </c>
      <c r="AK1015">
        <v>1</v>
      </c>
      <c r="AL1015">
        <v>0</v>
      </c>
      <c r="AM1015">
        <v>0</v>
      </c>
      <c r="AN1015">
        <v>0</v>
      </c>
      <c r="AO1015">
        <v>0</v>
      </c>
      <c r="AP1015">
        <v>0</v>
      </c>
      <c r="AQ1015">
        <v>0</v>
      </c>
      <c r="AR1015">
        <v>0</v>
      </c>
      <c r="AS1015">
        <v>0</v>
      </c>
      <c r="AT1015">
        <f t="shared" si="47"/>
        <v>-3.9999999999999147E-2</v>
      </c>
      <c r="AU1015">
        <f t="shared" si="45"/>
        <v>7</v>
      </c>
      <c r="AV1015">
        <f t="shared" si="46"/>
        <v>842.55000000000007</v>
      </c>
      <c r="AX1015">
        <v>1175</v>
      </c>
      <c r="AY1015">
        <v>1259</v>
      </c>
      <c r="AZ1015">
        <v>8</v>
      </c>
      <c r="BC1015" t="s">
        <v>205</v>
      </c>
    </row>
    <row r="1016" spans="3:55" x14ac:dyDescent="0.45">
      <c r="C1016">
        <v>83.4</v>
      </c>
      <c r="D1016">
        <v>6</v>
      </c>
      <c r="E1016">
        <v>0</v>
      </c>
      <c r="F1016">
        <v>1.5</v>
      </c>
      <c r="G1016">
        <v>0</v>
      </c>
      <c r="H1016">
        <v>0</v>
      </c>
      <c r="I1016">
        <v>0</v>
      </c>
      <c r="J1016">
        <v>2</v>
      </c>
      <c r="K1016">
        <v>2</v>
      </c>
      <c r="L1016">
        <v>3</v>
      </c>
      <c r="M1016">
        <v>2</v>
      </c>
      <c r="N1016">
        <v>0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1</v>
      </c>
      <c r="Z1016">
        <v>0</v>
      </c>
      <c r="AA1016">
        <v>0</v>
      </c>
      <c r="AB1016">
        <v>0</v>
      </c>
      <c r="AC1016">
        <v>920</v>
      </c>
      <c r="AD1016">
        <v>1</v>
      </c>
      <c r="AE1016">
        <v>0</v>
      </c>
      <c r="AF1016">
        <v>0</v>
      </c>
      <c r="AG1016">
        <v>0</v>
      </c>
      <c r="AH1016">
        <v>0</v>
      </c>
      <c r="AI1016">
        <v>0</v>
      </c>
      <c r="AJ1016">
        <v>0</v>
      </c>
      <c r="AK1016">
        <v>0</v>
      </c>
      <c r="AL1016">
        <v>0</v>
      </c>
      <c r="AM1016">
        <v>0</v>
      </c>
      <c r="AN1016">
        <v>0</v>
      </c>
      <c r="AO1016">
        <v>0</v>
      </c>
      <c r="AP1016">
        <v>0</v>
      </c>
      <c r="AQ1016">
        <v>0</v>
      </c>
      <c r="AR1016">
        <v>0</v>
      </c>
      <c r="AS1016">
        <v>0</v>
      </c>
      <c r="AT1016">
        <f t="shared" si="47"/>
        <v>-3.9999999999999147E-2</v>
      </c>
      <c r="AU1016">
        <f t="shared" si="45"/>
        <v>7</v>
      </c>
      <c r="AV1016">
        <f t="shared" si="46"/>
        <v>842.55000000000007</v>
      </c>
      <c r="AX1016">
        <v>943</v>
      </c>
      <c r="AY1016">
        <v>1018</v>
      </c>
      <c r="AZ1016">
        <v>20</v>
      </c>
      <c r="BC1016" t="s">
        <v>205</v>
      </c>
    </row>
    <row r="1017" spans="3:55" x14ac:dyDescent="0.45">
      <c r="C1017">
        <v>83.4</v>
      </c>
      <c r="D1017">
        <v>6</v>
      </c>
      <c r="E1017">
        <v>0</v>
      </c>
      <c r="F1017">
        <v>1.5</v>
      </c>
      <c r="G1017">
        <v>0</v>
      </c>
      <c r="H1017">
        <v>0</v>
      </c>
      <c r="I1017">
        <v>0</v>
      </c>
      <c r="J1017">
        <v>2</v>
      </c>
      <c r="K1017">
        <v>2</v>
      </c>
      <c r="L1017">
        <v>3</v>
      </c>
      <c r="M1017">
        <v>2</v>
      </c>
      <c r="N1017">
        <v>0</v>
      </c>
      <c r="O1017">
        <v>0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1</v>
      </c>
      <c r="Z1017">
        <v>0</v>
      </c>
      <c r="AA1017">
        <v>0</v>
      </c>
      <c r="AB1017">
        <v>0</v>
      </c>
      <c r="AC1017">
        <v>970</v>
      </c>
      <c r="AD1017">
        <v>1</v>
      </c>
      <c r="AE1017">
        <v>0</v>
      </c>
      <c r="AF1017">
        <v>1</v>
      </c>
      <c r="AG1017">
        <v>0</v>
      </c>
      <c r="AH1017">
        <v>600</v>
      </c>
      <c r="AI1017">
        <v>4</v>
      </c>
      <c r="AJ1017">
        <v>0</v>
      </c>
      <c r="AK1017">
        <v>1</v>
      </c>
      <c r="AL1017">
        <v>0</v>
      </c>
      <c r="AM1017">
        <v>0</v>
      </c>
      <c r="AN1017">
        <v>0</v>
      </c>
      <c r="AO1017">
        <v>0</v>
      </c>
      <c r="AP1017">
        <v>0</v>
      </c>
      <c r="AQ1017">
        <v>0</v>
      </c>
      <c r="AR1017">
        <v>0</v>
      </c>
      <c r="AS1017">
        <v>0</v>
      </c>
      <c r="AT1017">
        <f t="shared" si="47"/>
        <v>-3.9999999999999147E-2</v>
      </c>
      <c r="AU1017">
        <f t="shared" si="45"/>
        <v>7</v>
      </c>
      <c r="AV1017">
        <f t="shared" si="46"/>
        <v>842.55000000000007</v>
      </c>
      <c r="AX1017">
        <v>1299</v>
      </c>
      <c r="AY1017">
        <v>1318</v>
      </c>
      <c r="AZ1017">
        <v>1</v>
      </c>
      <c r="BC1017" t="s">
        <v>205</v>
      </c>
    </row>
    <row r="1018" spans="3:55" x14ac:dyDescent="0.45">
      <c r="C1018">
        <v>83.4</v>
      </c>
      <c r="D1018">
        <v>6</v>
      </c>
      <c r="E1018">
        <v>0</v>
      </c>
      <c r="F1018">
        <v>1.5</v>
      </c>
      <c r="G1018">
        <v>0</v>
      </c>
      <c r="H1018">
        <v>0</v>
      </c>
      <c r="I1018">
        <v>0</v>
      </c>
      <c r="J1018">
        <v>2</v>
      </c>
      <c r="K1018">
        <v>2</v>
      </c>
      <c r="L1018">
        <v>3</v>
      </c>
      <c r="M1018">
        <v>2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1</v>
      </c>
      <c r="Z1018">
        <v>0</v>
      </c>
      <c r="AA1018">
        <v>0</v>
      </c>
      <c r="AB1018">
        <v>0</v>
      </c>
      <c r="AC1018">
        <v>970</v>
      </c>
      <c r="AD1018">
        <v>1</v>
      </c>
      <c r="AE1018">
        <v>0</v>
      </c>
      <c r="AF1018">
        <v>0</v>
      </c>
      <c r="AG1018">
        <v>0</v>
      </c>
      <c r="AH1018">
        <v>600</v>
      </c>
      <c r="AI1018">
        <v>4</v>
      </c>
      <c r="AJ1018">
        <v>0</v>
      </c>
      <c r="AK1018">
        <v>1</v>
      </c>
      <c r="AL1018">
        <v>0</v>
      </c>
      <c r="AM1018">
        <v>0</v>
      </c>
      <c r="AN1018">
        <v>0</v>
      </c>
      <c r="AO1018">
        <v>0</v>
      </c>
      <c r="AP1018">
        <v>0</v>
      </c>
      <c r="AQ1018">
        <v>0</v>
      </c>
      <c r="AR1018">
        <v>0</v>
      </c>
      <c r="AS1018">
        <v>0</v>
      </c>
      <c r="AT1018">
        <f t="shared" si="47"/>
        <v>-3.9999999999999147E-2</v>
      </c>
      <c r="AU1018">
        <f t="shared" si="45"/>
        <v>7</v>
      </c>
      <c r="AV1018">
        <f t="shared" si="46"/>
        <v>842.55000000000007</v>
      </c>
      <c r="AX1018">
        <v>938</v>
      </c>
      <c r="AY1018">
        <v>1064</v>
      </c>
      <c r="AZ1018">
        <v>9</v>
      </c>
      <c r="BB1018" t="s">
        <v>356</v>
      </c>
      <c r="BC1018" t="s">
        <v>205</v>
      </c>
    </row>
    <row r="1019" spans="3:55" x14ac:dyDescent="0.45">
      <c r="C1019">
        <v>83.4</v>
      </c>
      <c r="D1019">
        <v>6</v>
      </c>
      <c r="E1019">
        <v>0</v>
      </c>
      <c r="F1019">
        <v>1.5</v>
      </c>
      <c r="G1019">
        <v>0</v>
      </c>
      <c r="H1019">
        <v>0</v>
      </c>
      <c r="I1019">
        <v>0</v>
      </c>
      <c r="J1019">
        <v>2</v>
      </c>
      <c r="K1019">
        <v>2</v>
      </c>
      <c r="L1019">
        <v>3</v>
      </c>
      <c r="M1019">
        <v>2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1</v>
      </c>
      <c r="Z1019">
        <v>0</v>
      </c>
      <c r="AA1019">
        <v>0</v>
      </c>
      <c r="AB1019">
        <v>0</v>
      </c>
      <c r="AC1019">
        <v>970</v>
      </c>
      <c r="AD1019">
        <v>1</v>
      </c>
      <c r="AE1019">
        <v>0</v>
      </c>
      <c r="AF1019">
        <v>0</v>
      </c>
      <c r="AG1019">
        <v>0</v>
      </c>
      <c r="AH1019">
        <v>0</v>
      </c>
      <c r="AI1019">
        <v>0</v>
      </c>
      <c r="AJ1019">
        <v>0</v>
      </c>
      <c r="AK1019">
        <v>0</v>
      </c>
      <c r="AL1019">
        <v>0</v>
      </c>
      <c r="AM1019">
        <v>0</v>
      </c>
      <c r="AN1019">
        <v>0</v>
      </c>
      <c r="AO1019">
        <v>0</v>
      </c>
      <c r="AP1019">
        <v>0</v>
      </c>
      <c r="AQ1019">
        <v>0</v>
      </c>
      <c r="AR1019">
        <v>0</v>
      </c>
      <c r="AS1019">
        <v>0</v>
      </c>
      <c r="AT1019">
        <f t="shared" si="47"/>
        <v>-3.9999999999999147E-2</v>
      </c>
      <c r="AU1019">
        <f t="shared" si="45"/>
        <v>7</v>
      </c>
      <c r="AV1019">
        <f t="shared" si="46"/>
        <v>842.55000000000007</v>
      </c>
      <c r="AX1019">
        <v>950</v>
      </c>
      <c r="AY1019">
        <v>1059</v>
      </c>
      <c r="AZ1019">
        <v>10</v>
      </c>
      <c r="BB1019" t="s">
        <v>356</v>
      </c>
      <c r="BC1019" t="s">
        <v>205</v>
      </c>
    </row>
    <row r="1020" spans="3:55" x14ac:dyDescent="0.45">
      <c r="C1020">
        <v>82.817999999999998</v>
      </c>
      <c r="D1020">
        <v>6.28</v>
      </c>
      <c r="E1020">
        <v>0</v>
      </c>
      <c r="F1020">
        <v>1.61</v>
      </c>
      <c r="G1020">
        <v>0</v>
      </c>
      <c r="H1020">
        <v>0</v>
      </c>
      <c r="I1020">
        <v>0</v>
      </c>
      <c r="J1020">
        <v>2.1800000000000002</v>
      </c>
      <c r="K1020">
        <v>1.89</v>
      </c>
      <c r="L1020">
        <v>3.06</v>
      </c>
      <c r="M1020">
        <v>2.04</v>
      </c>
      <c r="N1020">
        <v>0</v>
      </c>
      <c r="O1020">
        <v>0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1</v>
      </c>
      <c r="Z1020">
        <v>0</v>
      </c>
      <c r="AA1020">
        <v>0</v>
      </c>
      <c r="AB1020">
        <v>0</v>
      </c>
      <c r="AC1020">
        <v>800</v>
      </c>
      <c r="AD1020">
        <v>1</v>
      </c>
      <c r="AE1020">
        <v>0</v>
      </c>
      <c r="AF1020">
        <v>1</v>
      </c>
      <c r="AG1020">
        <v>0</v>
      </c>
      <c r="AH1020">
        <v>0</v>
      </c>
      <c r="AI1020">
        <v>0</v>
      </c>
      <c r="AJ1020">
        <v>0</v>
      </c>
      <c r="AK1020">
        <v>0</v>
      </c>
      <c r="AL1020">
        <v>0</v>
      </c>
      <c r="AM1020">
        <v>0</v>
      </c>
      <c r="AN1020">
        <v>0</v>
      </c>
      <c r="AO1020">
        <v>0</v>
      </c>
      <c r="AP1020">
        <v>0</v>
      </c>
      <c r="AQ1020">
        <v>0</v>
      </c>
      <c r="AR1020">
        <v>0</v>
      </c>
      <c r="AS1020">
        <v>0</v>
      </c>
      <c r="AT1020">
        <f t="shared" si="47"/>
        <v>-0.11479999999999979</v>
      </c>
      <c r="AU1020">
        <f t="shared" si="45"/>
        <v>7.3233333333333333</v>
      </c>
      <c r="AV1020">
        <f t="shared" si="46"/>
        <v>840.1629999999999</v>
      </c>
      <c r="AX1020">
        <v>1010</v>
      </c>
      <c r="AY1020">
        <v>1184</v>
      </c>
      <c r="AZ1020">
        <v>19</v>
      </c>
      <c r="BB1020" t="s">
        <v>356</v>
      </c>
      <c r="BC1020" t="s">
        <v>108</v>
      </c>
    </row>
    <row r="1021" spans="3:55" x14ac:dyDescent="0.45">
      <c r="C1021">
        <v>82.817999999999998</v>
      </c>
      <c r="D1021">
        <v>6.28</v>
      </c>
      <c r="E1021">
        <v>0</v>
      </c>
      <c r="F1021">
        <v>1.61</v>
      </c>
      <c r="G1021">
        <v>0</v>
      </c>
      <c r="H1021">
        <v>0</v>
      </c>
      <c r="I1021">
        <v>0</v>
      </c>
      <c r="J1021">
        <v>2.1800000000000002</v>
      </c>
      <c r="K1021">
        <v>1.89</v>
      </c>
      <c r="L1021">
        <v>3.06</v>
      </c>
      <c r="M1021">
        <v>2.04</v>
      </c>
      <c r="N1021">
        <v>0</v>
      </c>
      <c r="O1021">
        <v>0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1</v>
      </c>
      <c r="Z1021">
        <v>0</v>
      </c>
      <c r="AA1021">
        <v>0</v>
      </c>
      <c r="AB1021">
        <v>0</v>
      </c>
      <c r="AC1021">
        <v>800</v>
      </c>
      <c r="AD1021">
        <v>3</v>
      </c>
      <c r="AE1021">
        <v>0</v>
      </c>
      <c r="AF1021">
        <v>1</v>
      </c>
      <c r="AG1021">
        <v>0</v>
      </c>
      <c r="AH1021">
        <v>0</v>
      </c>
      <c r="AI1021">
        <v>0</v>
      </c>
      <c r="AJ1021">
        <v>0</v>
      </c>
      <c r="AK1021">
        <v>0</v>
      </c>
      <c r="AL1021">
        <v>0</v>
      </c>
      <c r="AM1021">
        <v>0</v>
      </c>
      <c r="AN1021">
        <v>0</v>
      </c>
      <c r="AO1021">
        <v>0</v>
      </c>
      <c r="AP1021">
        <v>0</v>
      </c>
      <c r="AQ1021">
        <v>0</v>
      </c>
      <c r="AR1021">
        <v>0</v>
      </c>
      <c r="AS1021">
        <v>0</v>
      </c>
      <c r="AT1021">
        <f t="shared" si="47"/>
        <v>-0.11479999999999979</v>
      </c>
      <c r="AU1021">
        <f t="shared" si="45"/>
        <v>7.3233333333333333</v>
      </c>
      <c r="AV1021">
        <f t="shared" si="46"/>
        <v>840.1629999999999</v>
      </c>
      <c r="AX1021">
        <v>1002</v>
      </c>
      <c r="AY1021">
        <v>1177</v>
      </c>
      <c r="AZ1021">
        <v>19.3</v>
      </c>
      <c r="BB1021" t="s">
        <v>356</v>
      </c>
      <c r="BC1021" t="s">
        <v>108</v>
      </c>
    </row>
    <row r="1022" spans="3:55" x14ac:dyDescent="0.45">
      <c r="C1022">
        <v>82.817999999999998</v>
      </c>
      <c r="D1022">
        <v>6.28</v>
      </c>
      <c r="E1022">
        <v>0</v>
      </c>
      <c r="F1022">
        <v>1.61</v>
      </c>
      <c r="G1022">
        <v>0</v>
      </c>
      <c r="H1022">
        <v>0</v>
      </c>
      <c r="I1022">
        <v>0</v>
      </c>
      <c r="J1022">
        <v>2.1800000000000002</v>
      </c>
      <c r="K1022">
        <v>1.89</v>
      </c>
      <c r="L1022">
        <v>3.06</v>
      </c>
      <c r="M1022">
        <v>2.04</v>
      </c>
      <c r="N1022">
        <v>0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1</v>
      </c>
      <c r="Z1022">
        <v>0</v>
      </c>
      <c r="AA1022">
        <v>0</v>
      </c>
      <c r="AB1022">
        <v>0</v>
      </c>
      <c r="AC1022">
        <v>800</v>
      </c>
      <c r="AD1022">
        <v>6</v>
      </c>
      <c r="AE1022">
        <v>0</v>
      </c>
      <c r="AF1022">
        <v>1</v>
      </c>
      <c r="AG1022">
        <v>0</v>
      </c>
      <c r="AH1022">
        <v>0</v>
      </c>
      <c r="AI1022">
        <v>0</v>
      </c>
      <c r="AJ1022">
        <v>0</v>
      </c>
      <c r="AK1022">
        <v>0</v>
      </c>
      <c r="AL1022">
        <v>0</v>
      </c>
      <c r="AM1022">
        <v>0</v>
      </c>
      <c r="AN1022">
        <v>0</v>
      </c>
      <c r="AO1022">
        <v>0</v>
      </c>
      <c r="AP1022">
        <v>0</v>
      </c>
      <c r="AQ1022">
        <v>0</v>
      </c>
      <c r="AR1022">
        <v>0</v>
      </c>
      <c r="AS1022">
        <v>0</v>
      </c>
      <c r="AT1022">
        <f t="shared" si="47"/>
        <v>-0.11479999999999979</v>
      </c>
      <c r="AU1022">
        <f t="shared" si="45"/>
        <v>7.3233333333333333</v>
      </c>
      <c r="AV1022">
        <f t="shared" si="46"/>
        <v>840.1629999999999</v>
      </c>
      <c r="AX1022">
        <v>990</v>
      </c>
      <c r="AY1022">
        <v>1156</v>
      </c>
      <c r="AZ1022">
        <v>20.100000000000001</v>
      </c>
      <c r="BB1022" t="s">
        <v>356</v>
      </c>
      <c r="BC1022" t="s">
        <v>108</v>
      </c>
    </row>
    <row r="1023" spans="3:55" x14ac:dyDescent="0.45">
      <c r="C1023">
        <v>82.817999999999998</v>
      </c>
      <c r="D1023">
        <v>6.28</v>
      </c>
      <c r="E1023">
        <v>0</v>
      </c>
      <c r="F1023">
        <v>1.61</v>
      </c>
      <c r="G1023">
        <v>0</v>
      </c>
      <c r="H1023">
        <v>0</v>
      </c>
      <c r="I1023">
        <v>0</v>
      </c>
      <c r="J1023">
        <v>2.1800000000000002</v>
      </c>
      <c r="K1023">
        <v>1.89</v>
      </c>
      <c r="L1023">
        <v>3.06</v>
      </c>
      <c r="M1023">
        <v>2.04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1</v>
      </c>
      <c r="Z1023">
        <v>0</v>
      </c>
      <c r="AA1023">
        <v>0</v>
      </c>
      <c r="AB1023">
        <v>0</v>
      </c>
      <c r="AC1023">
        <v>880</v>
      </c>
      <c r="AD1023">
        <v>1</v>
      </c>
      <c r="AE1023">
        <v>0</v>
      </c>
      <c r="AF1023">
        <v>1</v>
      </c>
      <c r="AG1023">
        <v>0</v>
      </c>
      <c r="AH1023">
        <v>0</v>
      </c>
      <c r="AI1023">
        <v>0</v>
      </c>
      <c r="AJ1023">
        <v>0</v>
      </c>
      <c r="AK1023">
        <v>0</v>
      </c>
      <c r="AL1023">
        <v>0</v>
      </c>
      <c r="AM1023">
        <v>0</v>
      </c>
      <c r="AN1023">
        <v>0</v>
      </c>
      <c r="AO1023">
        <v>0</v>
      </c>
      <c r="AP1023">
        <v>0</v>
      </c>
      <c r="AQ1023">
        <v>0</v>
      </c>
      <c r="AR1023">
        <v>0</v>
      </c>
      <c r="AS1023">
        <v>0</v>
      </c>
      <c r="AT1023">
        <f t="shared" si="47"/>
        <v>-0.11479999999999979</v>
      </c>
      <c r="AU1023">
        <f t="shared" si="45"/>
        <v>7.3233333333333333</v>
      </c>
      <c r="AV1023">
        <f t="shared" si="46"/>
        <v>840.1629999999999</v>
      </c>
      <c r="AX1023">
        <v>695</v>
      </c>
      <c r="AY1023">
        <v>1340</v>
      </c>
      <c r="AZ1023">
        <v>20.3</v>
      </c>
      <c r="BB1023" t="s">
        <v>356</v>
      </c>
      <c r="BC1023" t="s">
        <v>108</v>
      </c>
    </row>
    <row r="1024" spans="3:55" x14ac:dyDescent="0.45">
      <c r="C1024">
        <v>82.817999999999998</v>
      </c>
      <c r="D1024">
        <v>6.28</v>
      </c>
      <c r="E1024">
        <v>0</v>
      </c>
      <c r="F1024">
        <v>1.61</v>
      </c>
      <c r="G1024">
        <v>0</v>
      </c>
      <c r="H1024">
        <v>0</v>
      </c>
      <c r="I1024">
        <v>0</v>
      </c>
      <c r="J1024">
        <v>2.1800000000000002</v>
      </c>
      <c r="K1024">
        <v>1.89</v>
      </c>
      <c r="L1024">
        <v>3.06</v>
      </c>
      <c r="M1024">
        <v>2.04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0</v>
      </c>
      <c r="X1024">
        <v>0</v>
      </c>
      <c r="Y1024">
        <v>1</v>
      </c>
      <c r="Z1024">
        <v>0</v>
      </c>
      <c r="AA1024">
        <v>0</v>
      </c>
      <c r="AB1024">
        <v>0</v>
      </c>
      <c r="AC1024">
        <v>880</v>
      </c>
      <c r="AD1024">
        <v>3</v>
      </c>
      <c r="AE1024">
        <v>0</v>
      </c>
      <c r="AF1024">
        <v>1</v>
      </c>
      <c r="AG1024">
        <v>0</v>
      </c>
      <c r="AH1024">
        <v>0</v>
      </c>
      <c r="AI1024">
        <v>0</v>
      </c>
      <c r="AJ1024">
        <v>0</v>
      </c>
      <c r="AK1024">
        <v>0</v>
      </c>
      <c r="AL1024">
        <v>0</v>
      </c>
      <c r="AM1024">
        <v>0</v>
      </c>
      <c r="AN1024">
        <v>0</v>
      </c>
      <c r="AO1024">
        <v>0</v>
      </c>
      <c r="AP1024">
        <v>0</v>
      </c>
      <c r="AQ1024">
        <v>0</v>
      </c>
      <c r="AR1024">
        <v>0</v>
      </c>
      <c r="AS1024">
        <v>0</v>
      </c>
      <c r="AT1024">
        <f t="shared" si="47"/>
        <v>-0.11479999999999979</v>
      </c>
      <c r="AU1024">
        <f t="shared" si="45"/>
        <v>7.3233333333333333</v>
      </c>
      <c r="AV1024">
        <f t="shared" si="46"/>
        <v>840.1629999999999</v>
      </c>
      <c r="AX1024">
        <v>674</v>
      </c>
      <c r="AY1024">
        <v>1333</v>
      </c>
      <c r="AZ1024">
        <v>20.399999999999999</v>
      </c>
      <c r="BC1024" t="s">
        <v>108</v>
      </c>
    </row>
    <row r="1025" spans="3:55" x14ac:dyDescent="0.45">
      <c r="C1025">
        <v>82.817999999999998</v>
      </c>
      <c r="D1025">
        <v>6.28</v>
      </c>
      <c r="E1025">
        <v>0</v>
      </c>
      <c r="F1025">
        <v>1.61</v>
      </c>
      <c r="G1025">
        <v>0</v>
      </c>
      <c r="H1025">
        <v>0</v>
      </c>
      <c r="I1025">
        <v>0</v>
      </c>
      <c r="J1025">
        <v>2.1800000000000002</v>
      </c>
      <c r="K1025">
        <v>1.89</v>
      </c>
      <c r="L1025">
        <v>3.06</v>
      </c>
      <c r="M1025">
        <v>2.04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0</v>
      </c>
      <c r="X1025">
        <v>0</v>
      </c>
      <c r="Y1025">
        <v>1</v>
      </c>
      <c r="Z1025">
        <v>0</v>
      </c>
      <c r="AA1025">
        <v>0</v>
      </c>
      <c r="AB1025">
        <v>0</v>
      </c>
      <c r="AC1025">
        <v>880</v>
      </c>
      <c r="AD1025">
        <v>6</v>
      </c>
      <c r="AE1025">
        <v>0</v>
      </c>
      <c r="AF1025">
        <v>1</v>
      </c>
      <c r="AG1025">
        <v>0</v>
      </c>
      <c r="AH1025">
        <v>0</v>
      </c>
      <c r="AI1025">
        <v>0</v>
      </c>
      <c r="AJ1025">
        <v>0</v>
      </c>
      <c r="AK1025">
        <v>0</v>
      </c>
      <c r="AL1025">
        <v>0</v>
      </c>
      <c r="AM1025">
        <v>0</v>
      </c>
      <c r="AN1025">
        <v>0</v>
      </c>
      <c r="AO1025">
        <v>0</v>
      </c>
      <c r="AP1025">
        <v>0</v>
      </c>
      <c r="AQ1025">
        <v>0</v>
      </c>
      <c r="AR1025">
        <v>0</v>
      </c>
      <c r="AS1025">
        <v>0</v>
      </c>
      <c r="AT1025">
        <f t="shared" si="47"/>
        <v>-0.11479999999999979</v>
      </c>
      <c r="AU1025">
        <f t="shared" si="45"/>
        <v>7.3233333333333333</v>
      </c>
      <c r="AV1025">
        <f t="shared" si="46"/>
        <v>840.1629999999999</v>
      </c>
      <c r="AX1025">
        <v>656</v>
      </c>
      <c r="AY1025">
        <v>1317</v>
      </c>
      <c r="AZ1025">
        <v>20.7</v>
      </c>
      <c r="BC1025" t="s">
        <v>108</v>
      </c>
    </row>
    <row r="1026" spans="3:55" x14ac:dyDescent="0.45">
      <c r="C1026">
        <v>82.817999999999998</v>
      </c>
      <c r="D1026">
        <v>6.28</v>
      </c>
      <c r="E1026">
        <v>0</v>
      </c>
      <c r="F1026">
        <v>1.61</v>
      </c>
      <c r="G1026">
        <v>0</v>
      </c>
      <c r="H1026">
        <v>0</v>
      </c>
      <c r="I1026">
        <v>0</v>
      </c>
      <c r="J1026">
        <v>2.1800000000000002</v>
      </c>
      <c r="K1026">
        <v>1.89</v>
      </c>
      <c r="L1026">
        <v>3.06</v>
      </c>
      <c r="M1026">
        <v>2.04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0</v>
      </c>
      <c r="W1026">
        <v>0</v>
      </c>
      <c r="X1026">
        <v>0</v>
      </c>
      <c r="Y1026">
        <v>1</v>
      </c>
      <c r="Z1026">
        <v>0</v>
      </c>
      <c r="AA1026">
        <v>0</v>
      </c>
      <c r="AB1026">
        <v>0</v>
      </c>
      <c r="AC1026">
        <v>920</v>
      </c>
      <c r="AD1026">
        <v>1</v>
      </c>
      <c r="AE1026">
        <v>0</v>
      </c>
      <c r="AF1026">
        <v>1</v>
      </c>
      <c r="AG1026">
        <v>0</v>
      </c>
      <c r="AH1026">
        <v>0</v>
      </c>
      <c r="AI1026">
        <v>0</v>
      </c>
      <c r="AJ1026">
        <v>0</v>
      </c>
      <c r="AK1026">
        <v>0</v>
      </c>
      <c r="AL1026">
        <v>0</v>
      </c>
      <c r="AM1026">
        <v>0</v>
      </c>
      <c r="AN1026">
        <v>0</v>
      </c>
      <c r="AO1026">
        <v>0</v>
      </c>
      <c r="AP1026">
        <v>0</v>
      </c>
      <c r="AQ1026">
        <v>0</v>
      </c>
      <c r="AR1026">
        <v>0</v>
      </c>
      <c r="AS1026">
        <v>0</v>
      </c>
      <c r="AT1026">
        <f t="shared" si="47"/>
        <v>-0.11479999999999979</v>
      </c>
      <c r="AU1026">
        <f t="shared" ref="AU1026:AU1066" si="48">D1026+J1026/6+M1026/3+(T1026+S1026)/10</f>
        <v>7.3233333333333333</v>
      </c>
      <c r="AV1026">
        <f t="shared" ref="AV1026:AV1089" si="49">882+2.1*D1026-9.5*L1026+4.2*M1026-6.9*J1026-11.8*E1026-12.1*F1026-15.4*H1026+23.3*Q1026+123*T1026</f>
        <v>840.1629999999999</v>
      </c>
      <c r="AX1026">
        <v>1126</v>
      </c>
      <c r="AY1026">
        <v>1582</v>
      </c>
      <c r="AZ1026">
        <v>10.1</v>
      </c>
      <c r="BC1026" t="s">
        <v>108</v>
      </c>
    </row>
    <row r="1027" spans="3:55" x14ac:dyDescent="0.45">
      <c r="C1027">
        <v>82.817999999999998</v>
      </c>
      <c r="D1027">
        <v>6.28</v>
      </c>
      <c r="E1027">
        <v>0</v>
      </c>
      <c r="F1027">
        <v>1.61</v>
      </c>
      <c r="G1027">
        <v>0</v>
      </c>
      <c r="H1027">
        <v>0</v>
      </c>
      <c r="I1027">
        <v>0</v>
      </c>
      <c r="J1027">
        <v>2.1800000000000002</v>
      </c>
      <c r="K1027">
        <v>1.89</v>
      </c>
      <c r="L1027">
        <v>3.06</v>
      </c>
      <c r="M1027">
        <v>2.04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0</v>
      </c>
      <c r="X1027">
        <v>0</v>
      </c>
      <c r="Y1027">
        <v>1</v>
      </c>
      <c r="Z1027">
        <v>0</v>
      </c>
      <c r="AA1027">
        <v>0</v>
      </c>
      <c r="AB1027">
        <v>0</v>
      </c>
      <c r="AC1027">
        <v>920</v>
      </c>
      <c r="AD1027">
        <v>3</v>
      </c>
      <c r="AE1027">
        <v>0</v>
      </c>
      <c r="AF1027">
        <v>1</v>
      </c>
      <c r="AG1027">
        <v>0</v>
      </c>
      <c r="AH1027">
        <v>0</v>
      </c>
      <c r="AI1027">
        <v>0</v>
      </c>
      <c r="AJ1027">
        <v>0</v>
      </c>
      <c r="AK1027">
        <v>0</v>
      </c>
      <c r="AL1027">
        <v>0</v>
      </c>
      <c r="AM1027">
        <v>0</v>
      </c>
      <c r="AN1027">
        <v>0</v>
      </c>
      <c r="AO1027">
        <v>0</v>
      </c>
      <c r="AP1027">
        <v>0</v>
      </c>
      <c r="AQ1027">
        <v>0</v>
      </c>
      <c r="AR1027">
        <v>0</v>
      </c>
      <c r="AS1027">
        <v>0</v>
      </c>
      <c r="AT1027">
        <f t="shared" ref="AT1027:AT1090" si="50">L1027+0.67*E1027+0.44*P1027+0.28*K1027+0.22*O1027+2.9*H1027+1.6*F1027+1.7*G1027-D1027</f>
        <v>-0.11479999999999979</v>
      </c>
      <c r="AU1027">
        <f t="shared" si="48"/>
        <v>7.3233333333333333</v>
      </c>
      <c r="AV1027">
        <f t="shared" si="49"/>
        <v>840.1629999999999</v>
      </c>
      <c r="AX1027">
        <v>1040</v>
      </c>
      <c r="AY1027">
        <v>1565</v>
      </c>
      <c r="AZ1027">
        <v>10.7</v>
      </c>
      <c r="BC1027" t="s">
        <v>108</v>
      </c>
    </row>
    <row r="1028" spans="3:55" x14ac:dyDescent="0.45">
      <c r="C1028">
        <v>82.817999999999998</v>
      </c>
      <c r="D1028">
        <v>6.28</v>
      </c>
      <c r="E1028">
        <v>0</v>
      </c>
      <c r="F1028">
        <v>1.61</v>
      </c>
      <c r="G1028">
        <v>0</v>
      </c>
      <c r="H1028">
        <v>0</v>
      </c>
      <c r="I1028">
        <v>0</v>
      </c>
      <c r="J1028">
        <v>2.1800000000000002</v>
      </c>
      <c r="K1028">
        <v>1.89</v>
      </c>
      <c r="L1028">
        <v>3.06</v>
      </c>
      <c r="M1028">
        <v>2.04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0</v>
      </c>
      <c r="X1028">
        <v>0</v>
      </c>
      <c r="Y1028">
        <v>1</v>
      </c>
      <c r="Z1028">
        <v>0</v>
      </c>
      <c r="AA1028">
        <v>0</v>
      </c>
      <c r="AB1028">
        <v>0</v>
      </c>
      <c r="AC1028">
        <v>920</v>
      </c>
      <c r="AD1028">
        <v>6</v>
      </c>
      <c r="AE1028">
        <v>0</v>
      </c>
      <c r="AF1028">
        <v>1</v>
      </c>
      <c r="AG1028">
        <v>0</v>
      </c>
      <c r="AH1028">
        <v>0</v>
      </c>
      <c r="AI1028">
        <v>0</v>
      </c>
      <c r="AJ1028">
        <v>0</v>
      </c>
      <c r="AK1028">
        <v>0</v>
      </c>
      <c r="AL1028">
        <v>0</v>
      </c>
      <c r="AM1028">
        <v>0</v>
      </c>
      <c r="AN1028">
        <v>0</v>
      </c>
      <c r="AO1028">
        <v>0</v>
      </c>
      <c r="AP1028">
        <v>0</v>
      </c>
      <c r="AQ1028">
        <v>0</v>
      </c>
      <c r="AR1028">
        <v>0</v>
      </c>
      <c r="AS1028">
        <v>0</v>
      </c>
      <c r="AT1028">
        <f t="shared" si="50"/>
        <v>-0.11479999999999979</v>
      </c>
      <c r="AU1028">
        <f t="shared" si="48"/>
        <v>7.3233333333333333</v>
      </c>
      <c r="AV1028">
        <f t="shared" si="49"/>
        <v>840.1629999999999</v>
      </c>
      <c r="AX1028">
        <v>1051</v>
      </c>
      <c r="AY1028">
        <v>1605</v>
      </c>
      <c r="AZ1028">
        <v>10.7</v>
      </c>
      <c r="BC1028" t="s">
        <v>108</v>
      </c>
    </row>
    <row r="1029" spans="3:55" x14ac:dyDescent="0.45">
      <c r="C1029">
        <v>83.5</v>
      </c>
      <c r="D1029">
        <v>6.17</v>
      </c>
      <c r="E1029">
        <v>0</v>
      </c>
      <c r="F1029">
        <v>1.41</v>
      </c>
      <c r="G1029">
        <v>0</v>
      </c>
      <c r="H1029">
        <v>0</v>
      </c>
      <c r="I1029">
        <v>0</v>
      </c>
      <c r="J1029">
        <v>1.93</v>
      </c>
      <c r="K1029">
        <v>2.0099999999999998</v>
      </c>
      <c r="L1029">
        <v>3.01</v>
      </c>
      <c r="M1029">
        <v>1.97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0</v>
      </c>
      <c r="Y1029">
        <v>1</v>
      </c>
      <c r="Z1029">
        <v>0</v>
      </c>
      <c r="AA1029">
        <v>0</v>
      </c>
      <c r="AB1029">
        <v>0</v>
      </c>
      <c r="AC1029">
        <v>0</v>
      </c>
      <c r="AD1029">
        <v>0</v>
      </c>
      <c r="AE1029">
        <v>0</v>
      </c>
      <c r="AF1029">
        <v>0</v>
      </c>
      <c r="AG1029">
        <v>0</v>
      </c>
      <c r="AH1029">
        <v>0</v>
      </c>
      <c r="AI1029">
        <v>0</v>
      </c>
      <c r="AJ1029">
        <v>0</v>
      </c>
      <c r="AK1029">
        <v>0</v>
      </c>
      <c r="AL1029">
        <v>0</v>
      </c>
      <c r="AM1029">
        <v>0</v>
      </c>
      <c r="AN1029">
        <v>0</v>
      </c>
      <c r="AO1029">
        <v>0</v>
      </c>
      <c r="AP1029">
        <v>0</v>
      </c>
      <c r="AQ1029">
        <v>0</v>
      </c>
      <c r="AR1029">
        <v>0</v>
      </c>
      <c r="AS1029">
        <v>0</v>
      </c>
      <c r="AT1029">
        <f t="shared" si="50"/>
        <v>-0.34120000000000061</v>
      </c>
      <c r="AU1029">
        <f t="shared" si="48"/>
        <v>7.1483333333333325</v>
      </c>
      <c r="AV1029">
        <f t="shared" si="49"/>
        <v>844.25799999999992</v>
      </c>
      <c r="AX1029">
        <v>1136</v>
      </c>
      <c r="AY1029">
        <v>1183</v>
      </c>
      <c r="AZ1029">
        <v>7.5</v>
      </c>
      <c r="BC1029" t="s">
        <v>206</v>
      </c>
    </row>
    <row r="1030" spans="3:55" x14ac:dyDescent="0.45">
      <c r="C1030">
        <v>83.5</v>
      </c>
      <c r="D1030">
        <v>6.17</v>
      </c>
      <c r="E1030">
        <v>0</v>
      </c>
      <c r="F1030">
        <v>1.41</v>
      </c>
      <c r="G1030">
        <v>0</v>
      </c>
      <c r="H1030">
        <v>0</v>
      </c>
      <c r="I1030">
        <v>0</v>
      </c>
      <c r="J1030">
        <v>1.93</v>
      </c>
      <c r="K1030">
        <v>2.0099999999999998</v>
      </c>
      <c r="L1030">
        <v>3.01</v>
      </c>
      <c r="M1030">
        <v>1.97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0</v>
      </c>
      <c r="Y1030">
        <v>1</v>
      </c>
      <c r="Z1030">
        <v>0</v>
      </c>
      <c r="AA1030">
        <v>0</v>
      </c>
      <c r="AB1030">
        <v>0</v>
      </c>
      <c r="AC1030">
        <v>880</v>
      </c>
      <c r="AD1030">
        <v>1</v>
      </c>
      <c r="AE1030">
        <v>0</v>
      </c>
      <c r="AF1030">
        <v>1</v>
      </c>
      <c r="AG1030">
        <v>0</v>
      </c>
      <c r="AH1030">
        <v>590</v>
      </c>
      <c r="AI1030">
        <v>2</v>
      </c>
      <c r="AJ1030">
        <v>0</v>
      </c>
      <c r="AK1030">
        <v>0</v>
      </c>
      <c r="AL1030">
        <v>0</v>
      </c>
      <c r="AM1030">
        <v>0</v>
      </c>
      <c r="AN1030">
        <v>0</v>
      </c>
      <c r="AO1030">
        <v>0</v>
      </c>
      <c r="AP1030">
        <v>0</v>
      </c>
      <c r="AQ1030">
        <v>0</v>
      </c>
      <c r="AR1030">
        <v>0</v>
      </c>
      <c r="AS1030">
        <v>0</v>
      </c>
      <c r="AT1030">
        <f t="shared" si="50"/>
        <v>-0.34120000000000061</v>
      </c>
      <c r="AU1030">
        <f t="shared" si="48"/>
        <v>7.1483333333333325</v>
      </c>
      <c r="AV1030">
        <f t="shared" si="49"/>
        <v>844.25799999999992</v>
      </c>
      <c r="AY1030">
        <v>1145</v>
      </c>
      <c r="AZ1030">
        <v>12.5</v>
      </c>
      <c r="BC1030" t="s">
        <v>206</v>
      </c>
    </row>
    <row r="1031" spans="3:55" x14ac:dyDescent="0.45">
      <c r="C1031">
        <v>80.63</v>
      </c>
      <c r="D1031">
        <v>5.21</v>
      </c>
      <c r="E1031">
        <v>4.91</v>
      </c>
      <c r="F1031">
        <v>2.76</v>
      </c>
      <c r="G1031">
        <v>0</v>
      </c>
      <c r="H1031">
        <v>0.39</v>
      </c>
      <c r="I1031">
        <v>0</v>
      </c>
      <c r="J1031">
        <v>1.1000000000000001</v>
      </c>
      <c r="K1031">
        <v>0</v>
      </c>
      <c r="L1031">
        <v>5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0</v>
      </c>
      <c r="X1031">
        <v>0</v>
      </c>
      <c r="Y1031">
        <v>1</v>
      </c>
      <c r="Z1031">
        <v>0</v>
      </c>
      <c r="AA1031">
        <v>0</v>
      </c>
      <c r="AB1031">
        <v>0</v>
      </c>
      <c r="AC1031">
        <v>840</v>
      </c>
      <c r="AD1031">
        <v>1.5</v>
      </c>
      <c r="AE1031">
        <v>0</v>
      </c>
      <c r="AF1031">
        <v>0</v>
      </c>
      <c r="AG1031">
        <v>1</v>
      </c>
      <c r="AH1031">
        <v>580</v>
      </c>
      <c r="AI1031">
        <v>8</v>
      </c>
      <c r="AJ1031">
        <v>0</v>
      </c>
      <c r="AK1031">
        <v>1</v>
      </c>
      <c r="AL1031">
        <v>0</v>
      </c>
      <c r="AM1031">
        <v>0</v>
      </c>
      <c r="AN1031">
        <v>0</v>
      </c>
      <c r="AO1031">
        <v>0</v>
      </c>
      <c r="AP1031">
        <v>0</v>
      </c>
      <c r="AQ1031">
        <v>0</v>
      </c>
      <c r="AR1031">
        <v>0</v>
      </c>
      <c r="AS1031">
        <v>0</v>
      </c>
      <c r="AT1031">
        <f t="shared" si="50"/>
        <v>8.6266999999999996</v>
      </c>
      <c r="AU1031">
        <f t="shared" si="48"/>
        <v>5.3933333333333335</v>
      </c>
      <c r="AV1031">
        <f t="shared" si="49"/>
        <v>740.51100000000008</v>
      </c>
      <c r="AY1031">
        <v>1154</v>
      </c>
      <c r="AZ1031">
        <v>16.899999999999999</v>
      </c>
      <c r="BC1031" t="s">
        <v>207</v>
      </c>
    </row>
    <row r="1032" spans="3:55" x14ac:dyDescent="0.45">
      <c r="C1032">
        <v>80.63</v>
      </c>
      <c r="D1032">
        <v>5.21</v>
      </c>
      <c r="E1032">
        <v>4.91</v>
      </c>
      <c r="F1032">
        <v>2.76</v>
      </c>
      <c r="G1032">
        <v>0</v>
      </c>
      <c r="H1032">
        <v>0.39</v>
      </c>
      <c r="I1032">
        <v>0</v>
      </c>
      <c r="J1032">
        <v>1.1000000000000001</v>
      </c>
      <c r="K1032">
        <v>0</v>
      </c>
      <c r="L1032">
        <v>5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1</v>
      </c>
      <c r="Z1032">
        <v>0</v>
      </c>
      <c r="AA1032">
        <v>0</v>
      </c>
      <c r="AB1032">
        <v>0</v>
      </c>
      <c r="AC1032">
        <v>860</v>
      </c>
      <c r="AD1032">
        <v>1.5</v>
      </c>
      <c r="AE1032">
        <v>0</v>
      </c>
      <c r="AF1032">
        <v>0</v>
      </c>
      <c r="AG1032">
        <v>1</v>
      </c>
      <c r="AH1032">
        <v>580</v>
      </c>
      <c r="AI1032">
        <v>8</v>
      </c>
      <c r="AJ1032">
        <v>0</v>
      </c>
      <c r="AK1032">
        <v>1</v>
      </c>
      <c r="AL1032">
        <v>0</v>
      </c>
      <c r="AM1032">
        <v>0</v>
      </c>
      <c r="AN1032">
        <v>0</v>
      </c>
      <c r="AO1032">
        <v>0</v>
      </c>
      <c r="AP1032">
        <v>0</v>
      </c>
      <c r="AQ1032">
        <v>0</v>
      </c>
      <c r="AR1032">
        <v>0</v>
      </c>
      <c r="AS1032">
        <v>0</v>
      </c>
      <c r="AT1032">
        <f t="shared" si="50"/>
        <v>8.6266999999999996</v>
      </c>
      <c r="AU1032">
        <f t="shared" si="48"/>
        <v>5.3933333333333335</v>
      </c>
      <c r="AV1032">
        <f t="shared" si="49"/>
        <v>740.51100000000008</v>
      </c>
      <c r="AY1032">
        <v>1158</v>
      </c>
      <c r="AZ1032">
        <v>17.3</v>
      </c>
      <c r="BC1032" t="s">
        <v>207</v>
      </c>
    </row>
    <row r="1033" spans="3:55" x14ac:dyDescent="0.45">
      <c r="C1033">
        <v>80.63</v>
      </c>
      <c r="D1033">
        <v>5.21</v>
      </c>
      <c r="E1033">
        <v>4.91</v>
      </c>
      <c r="F1033">
        <v>2.76</v>
      </c>
      <c r="G1033">
        <v>0</v>
      </c>
      <c r="H1033">
        <v>0.39</v>
      </c>
      <c r="I1033">
        <v>0</v>
      </c>
      <c r="J1033">
        <v>1.1000000000000001</v>
      </c>
      <c r="K1033">
        <v>0</v>
      </c>
      <c r="L1033">
        <v>5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0</v>
      </c>
      <c r="X1033">
        <v>0</v>
      </c>
      <c r="Y1033">
        <v>1</v>
      </c>
      <c r="Z1033">
        <v>0</v>
      </c>
      <c r="AA1033">
        <v>0</v>
      </c>
      <c r="AB1033">
        <v>0</v>
      </c>
      <c r="AC1033">
        <v>870</v>
      </c>
      <c r="AD1033">
        <v>1.5</v>
      </c>
      <c r="AE1033">
        <v>0</v>
      </c>
      <c r="AF1033">
        <v>0</v>
      </c>
      <c r="AG1033">
        <v>1</v>
      </c>
      <c r="AH1033">
        <v>580</v>
      </c>
      <c r="AI1033">
        <v>8</v>
      </c>
      <c r="AJ1033">
        <v>0</v>
      </c>
      <c r="AK1033">
        <v>1</v>
      </c>
      <c r="AL1033">
        <v>0</v>
      </c>
      <c r="AM1033">
        <v>0</v>
      </c>
      <c r="AN1033">
        <v>0</v>
      </c>
      <c r="AO1033">
        <v>0</v>
      </c>
      <c r="AP1033">
        <v>0</v>
      </c>
      <c r="AQ1033">
        <v>0</v>
      </c>
      <c r="AR1033">
        <v>0</v>
      </c>
      <c r="AS1033">
        <v>0</v>
      </c>
      <c r="AT1033">
        <f t="shared" si="50"/>
        <v>8.6266999999999996</v>
      </c>
      <c r="AU1033">
        <f t="shared" si="48"/>
        <v>5.3933333333333335</v>
      </c>
      <c r="AV1033">
        <f t="shared" si="49"/>
        <v>740.51100000000008</v>
      </c>
      <c r="AY1033">
        <v>1156</v>
      </c>
      <c r="AZ1033">
        <v>15.7</v>
      </c>
      <c r="BC1033" t="s">
        <v>207</v>
      </c>
    </row>
    <row r="1034" spans="3:55" x14ac:dyDescent="0.45">
      <c r="C1034">
        <v>80.63</v>
      </c>
      <c r="D1034">
        <v>5.21</v>
      </c>
      <c r="E1034">
        <v>4.91</v>
      </c>
      <c r="F1034">
        <v>2.76</v>
      </c>
      <c r="G1034">
        <v>0</v>
      </c>
      <c r="H1034">
        <v>0.39</v>
      </c>
      <c r="I1034">
        <v>0</v>
      </c>
      <c r="J1034">
        <v>1.1000000000000001</v>
      </c>
      <c r="K1034">
        <v>0</v>
      </c>
      <c r="L1034">
        <v>5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0</v>
      </c>
      <c r="X1034">
        <v>0</v>
      </c>
      <c r="Y1034">
        <v>1</v>
      </c>
      <c r="Z1034">
        <v>0</v>
      </c>
      <c r="AA1034">
        <v>0</v>
      </c>
      <c r="AB1034">
        <v>0</v>
      </c>
      <c r="AC1034">
        <v>880</v>
      </c>
      <c r="AD1034">
        <v>1.5</v>
      </c>
      <c r="AE1034">
        <v>0</v>
      </c>
      <c r="AF1034">
        <v>0</v>
      </c>
      <c r="AG1034">
        <v>1</v>
      </c>
      <c r="AH1034">
        <v>580</v>
      </c>
      <c r="AI1034">
        <v>8</v>
      </c>
      <c r="AJ1034">
        <v>0</v>
      </c>
      <c r="AK1034">
        <v>1</v>
      </c>
      <c r="AL1034">
        <v>0</v>
      </c>
      <c r="AM1034">
        <v>0</v>
      </c>
      <c r="AN1034">
        <v>0</v>
      </c>
      <c r="AO1034">
        <v>0</v>
      </c>
      <c r="AP1034">
        <v>0</v>
      </c>
      <c r="AQ1034">
        <v>0</v>
      </c>
      <c r="AR1034">
        <v>0</v>
      </c>
      <c r="AS1034">
        <v>0</v>
      </c>
      <c r="AT1034">
        <f t="shared" si="50"/>
        <v>8.6266999999999996</v>
      </c>
      <c r="AU1034">
        <f t="shared" si="48"/>
        <v>5.3933333333333335</v>
      </c>
      <c r="AV1034">
        <f t="shared" si="49"/>
        <v>740.51100000000008</v>
      </c>
      <c r="AY1034">
        <v>1150</v>
      </c>
      <c r="AZ1034">
        <v>14.9</v>
      </c>
      <c r="BC1034" t="s">
        <v>207</v>
      </c>
    </row>
    <row r="1035" spans="3:55" x14ac:dyDescent="0.45">
      <c r="C1035">
        <v>80.63</v>
      </c>
      <c r="D1035">
        <v>5.21</v>
      </c>
      <c r="E1035">
        <v>4.91</v>
      </c>
      <c r="F1035">
        <v>2.76</v>
      </c>
      <c r="G1035">
        <v>0</v>
      </c>
      <c r="H1035">
        <v>0.39</v>
      </c>
      <c r="I1035">
        <v>0</v>
      </c>
      <c r="J1035">
        <v>1.1000000000000001</v>
      </c>
      <c r="K1035">
        <v>0</v>
      </c>
      <c r="L1035">
        <v>5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1</v>
      </c>
      <c r="Z1035">
        <v>0</v>
      </c>
      <c r="AA1035">
        <v>0</v>
      </c>
      <c r="AB1035">
        <v>0</v>
      </c>
      <c r="AC1035">
        <v>900</v>
      </c>
      <c r="AD1035">
        <v>1.5</v>
      </c>
      <c r="AE1035">
        <v>0</v>
      </c>
      <c r="AF1035">
        <v>0</v>
      </c>
      <c r="AG1035">
        <v>1</v>
      </c>
      <c r="AH1035">
        <v>580</v>
      </c>
      <c r="AI1035">
        <v>8</v>
      </c>
      <c r="AJ1035">
        <v>0</v>
      </c>
      <c r="AK1035">
        <v>1</v>
      </c>
      <c r="AL1035">
        <v>0</v>
      </c>
      <c r="AM1035">
        <v>0</v>
      </c>
      <c r="AN1035">
        <v>0</v>
      </c>
      <c r="AO1035">
        <v>0</v>
      </c>
      <c r="AP1035">
        <v>0</v>
      </c>
      <c r="AQ1035">
        <v>0</v>
      </c>
      <c r="AR1035">
        <v>0</v>
      </c>
      <c r="AS1035">
        <v>0</v>
      </c>
      <c r="AT1035">
        <f t="shared" si="50"/>
        <v>8.6266999999999996</v>
      </c>
      <c r="AU1035">
        <f t="shared" si="48"/>
        <v>5.3933333333333335</v>
      </c>
      <c r="AV1035">
        <f t="shared" si="49"/>
        <v>740.51100000000008</v>
      </c>
      <c r="AY1035">
        <v>1176</v>
      </c>
      <c r="AZ1035">
        <v>13.8</v>
      </c>
      <c r="BC1035" t="s">
        <v>207</v>
      </c>
    </row>
    <row r="1036" spans="3:55" x14ac:dyDescent="0.45">
      <c r="C1036">
        <v>80.63</v>
      </c>
      <c r="D1036">
        <v>5.21</v>
      </c>
      <c r="E1036">
        <v>4.91</v>
      </c>
      <c r="F1036">
        <v>2.76</v>
      </c>
      <c r="G1036">
        <v>0</v>
      </c>
      <c r="H1036">
        <v>0.39</v>
      </c>
      <c r="I1036">
        <v>0</v>
      </c>
      <c r="J1036">
        <v>1.1000000000000001</v>
      </c>
      <c r="K1036">
        <v>0</v>
      </c>
      <c r="L1036">
        <v>5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0</v>
      </c>
      <c r="X1036">
        <v>0</v>
      </c>
      <c r="Y1036">
        <v>1</v>
      </c>
      <c r="Z1036">
        <v>0</v>
      </c>
      <c r="AA1036">
        <v>0</v>
      </c>
      <c r="AB1036">
        <v>0</v>
      </c>
      <c r="AC1036">
        <v>790</v>
      </c>
      <c r="AD1036">
        <v>1</v>
      </c>
      <c r="AE1036">
        <v>0</v>
      </c>
      <c r="AF1036">
        <v>1</v>
      </c>
      <c r="AG1036">
        <v>0</v>
      </c>
      <c r="AH1036">
        <v>580</v>
      </c>
      <c r="AI1036">
        <v>8</v>
      </c>
      <c r="AJ1036">
        <v>0</v>
      </c>
      <c r="AK1036">
        <v>1</v>
      </c>
      <c r="AL1036">
        <v>0</v>
      </c>
      <c r="AM1036">
        <v>0</v>
      </c>
      <c r="AN1036">
        <v>0</v>
      </c>
      <c r="AO1036">
        <v>0</v>
      </c>
      <c r="AP1036">
        <v>0</v>
      </c>
      <c r="AQ1036">
        <v>0</v>
      </c>
      <c r="AR1036">
        <v>0</v>
      </c>
      <c r="AS1036">
        <v>0</v>
      </c>
      <c r="AT1036">
        <f t="shared" si="50"/>
        <v>8.6266999999999996</v>
      </c>
      <c r="AU1036">
        <f t="shared" si="48"/>
        <v>5.3933333333333335</v>
      </c>
      <c r="AV1036">
        <f t="shared" si="49"/>
        <v>740.51100000000008</v>
      </c>
      <c r="AY1036">
        <v>1037</v>
      </c>
      <c r="AZ1036">
        <v>13.8</v>
      </c>
      <c r="BC1036" t="s">
        <v>207</v>
      </c>
    </row>
    <row r="1037" spans="3:55" x14ac:dyDescent="0.45">
      <c r="C1037">
        <v>80.63</v>
      </c>
      <c r="D1037">
        <v>5.21</v>
      </c>
      <c r="E1037">
        <v>4.91</v>
      </c>
      <c r="F1037">
        <v>2.76</v>
      </c>
      <c r="G1037">
        <v>0</v>
      </c>
      <c r="H1037">
        <v>0.39</v>
      </c>
      <c r="I1037">
        <v>0</v>
      </c>
      <c r="J1037">
        <v>1.1000000000000001</v>
      </c>
      <c r="K1037">
        <v>0</v>
      </c>
      <c r="L1037">
        <v>5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1</v>
      </c>
      <c r="Z1037">
        <v>0</v>
      </c>
      <c r="AA1037">
        <v>0</v>
      </c>
      <c r="AB1037">
        <v>0</v>
      </c>
      <c r="AC1037">
        <v>800</v>
      </c>
      <c r="AD1037">
        <v>1</v>
      </c>
      <c r="AE1037">
        <v>0</v>
      </c>
      <c r="AF1037">
        <v>1</v>
      </c>
      <c r="AG1037">
        <v>0</v>
      </c>
      <c r="AH1037">
        <v>580</v>
      </c>
      <c r="AI1037">
        <v>8</v>
      </c>
      <c r="AJ1037">
        <v>0</v>
      </c>
      <c r="AK1037">
        <v>1</v>
      </c>
      <c r="AL1037">
        <v>0</v>
      </c>
      <c r="AM1037">
        <v>0</v>
      </c>
      <c r="AN1037">
        <v>0</v>
      </c>
      <c r="AO1037">
        <v>0</v>
      </c>
      <c r="AP1037">
        <v>0</v>
      </c>
      <c r="AQ1037">
        <v>0</v>
      </c>
      <c r="AR1037">
        <v>0</v>
      </c>
      <c r="AS1037">
        <v>0</v>
      </c>
      <c r="AT1037">
        <f t="shared" si="50"/>
        <v>8.6266999999999996</v>
      </c>
      <c r="AU1037">
        <f t="shared" si="48"/>
        <v>5.3933333333333335</v>
      </c>
      <c r="AV1037">
        <f t="shared" si="49"/>
        <v>740.51100000000008</v>
      </c>
      <c r="AY1037">
        <v>1357</v>
      </c>
      <c r="AZ1037">
        <v>13.1</v>
      </c>
      <c r="BC1037" t="s">
        <v>207</v>
      </c>
    </row>
    <row r="1038" spans="3:55" x14ac:dyDescent="0.45">
      <c r="C1038">
        <v>80.63</v>
      </c>
      <c r="D1038">
        <v>5.21</v>
      </c>
      <c r="E1038">
        <v>4.91</v>
      </c>
      <c r="F1038">
        <v>2.76</v>
      </c>
      <c r="G1038">
        <v>0</v>
      </c>
      <c r="H1038">
        <v>0.39</v>
      </c>
      <c r="I1038">
        <v>0</v>
      </c>
      <c r="J1038">
        <v>1.1000000000000001</v>
      </c>
      <c r="K1038">
        <v>0</v>
      </c>
      <c r="L1038">
        <v>5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1</v>
      </c>
      <c r="Z1038">
        <v>0</v>
      </c>
      <c r="AA1038">
        <v>0</v>
      </c>
      <c r="AB1038">
        <v>0</v>
      </c>
      <c r="AC1038">
        <v>805</v>
      </c>
      <c r="AD1038">
        <v>1</v>
      </c>
      <c r="AE1038">
        <v>0</v>
      </c>
      <c r="AF1038">
        <v>1</v>
      </c>
      <c r="AG1038">
        <v>0</v>
      </c>
      <c r="AH1038">
        <v>580</v>
      </c>
      <c r="AI1038">
        <v>8</v>
      </c>
      <c r="AJ1038">
        <v>0</v>
      </c>
      <c r="AK1038">
        <v>1</v>
      </c>
      <c r="AL1038">
        <v>0</v>
      </c>
      <c r="AM1038">
        <v>0</v>
      </c>
      <c r="AN1038">
        <v>0</v>
      </c>
      <c r="AO1038">
        <v>0</v>
      </c>
      <c r="AP1038">
        <v>0</v>
      </c>
      <c r="AQ1038">
        <v>0</v>
      </c>
      <c r="AR1038">
        <v>0</v>
      </c>
      <c r="AS1038">
        <v>0</v>
      </c>
      <c r="AT1038">
        <f t="shared" si="50"/>
        <v>8.6266999999999996</v>
      </c>
      <c r="AU1038">
        <f t="shared" si="48"/>
        <v>5.3933333333333335</v>
      </c>
      <c r="AV1038">
        <f t="shared" si="49"/>
        <v>740.51100000000008</v>
      </c>
      <c r="AY1038">
        <v>1311</v>
      </c>
      <c r="AZ1038">
        <v>15.7</v>
      </c>
      <c r="BC1038" t="s">
        <v>207</v>
      </c>
    </row>
    <row r="1039" spans="3:55" x14ac:dyDescent="0.45">
      <c r="C1039">
        <v>80.63</v>
      </c>
      <c r="D1039">
        <v>5.21</v>
      </c>
      <c r="E1039">
        <v>4.91</v>
      </c>
      <c r="F1039">
        <v>2.76</v>
      </c>
      <c r="G1039">
        <v>0</v>
      </c>
      <c r="H1039">
        <v>0.39</v>
      </c>
      <c r="I1039">
        <v>0</v>
      </c>
      <c r="J1039">
        <v>1.1000000000000001</v>
      </c>
      <c r="K1039">
        <v>0</v>
      </c>
      <c r="L1039">
        <v>5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1</v>
      </c>
      <c r="Z1039">
        <v>0</v>
      </c>
      <c r="AA1039">
        <v>0</v>
      </c>
      <c r="AB1039">
        <v>0</v>
      </c>
      <c r="AC1039">
        <v>810</v>
      </c>
      <c r="AD1039">
        <v>1</v>
      </c>
      <c r="AE1039">
        <v>0</v>
      </c>
      <c r="AF1039">
        <v>1</v>
      </c>
      <c r="AG1039">
        <v>0</v>
      </c>
      <c r="AH1039">
        <v>580</v>
      </c>
      <c r="AI1039">
        <v>8</v>
      </c>
      <c r="AJ1039">
        <v>0</v>
      </c>
      <c r="AK1039">
        <v>1</v>
      </c>
      <c r="AL1039">
        <v>0</v>
      </c>
      <c r="AM1039">
        <v>0</v>
      </c>
      <c r="AN1039">
        <v>0</v>
      </c>
      <c r="AO1039">
        <v>0</v>
      </c>
      <c r="AP1039">
        <v>0</v>
      </c>
      <c r="AQ1039">
        <v>0</v>
      </c>
      <c r="AR1039">
        <v>0</v>
      </c>
      <c r="AS1039">
        <v>0</v>
      </c>
      <c r="AT1039">
        <f t="shared" si="50"/>
        <v>8.6266999999999996</v>
      </c>
      <c r="AU1039">
        <f t="shared" si="48"/>
        <v>5.3933333333333335</v>
      </c>
      <c r="AV1039">
        <f t="shared" si="49"/>
        <v>740.51100000000008</v>
      </c>
      <c r="AY1039">
        <v>1311</v>
      </c>
      <c r="AZ1039">
        <v>16.7</v>
      </c>
      <c r="BC1039" t="s">
        <v>207</v>
      </c>
    </row>
    <row r="1040" spans="3:55" x14ac:dyDescent="0.45">
      <c r="C1040">
        <v>80.63</v>
      </c>
      <c r="D1040">
        <v>5.21</v>
      </c>
      <c r="E1040">
        <v>4.91</v>
      </c>
      <c r="F1040">
        <v>2.76</v>
      </c>
      <c r="G1040">
        <v>0</v>
      </c>
      <c r="H1040">
        <v>0.39</v>
      </c>
      <c r="I1040">
        <v>0</v>
      </c>
      <c r="J1040">
        <v>1.1000000000000001</v>
      </c>
      <c r="K1040">
        <v>0</v>
      </c>
      <c r="L1040">
        <v>5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1</v>
      </c>
      <c r="Z1040">
        <v>0</v>
      </c>
      <c r="AA1040">
        <v>0</v>
      </c>
      <c r="AB1040">
        <v>0</v>
      </c>
      <c r="AC1040">
        <v>815</v>
      </c>
      <c r="AD1040">
        <v>1</v>
      </c>
      <c r="AE1040">
        <v>0</v>
      </c>
      <c r="AF1040">
        <v>1</v>
      </c>
      <c r="AG1040">
        <v>0</v>
      </c>
      <c r="AH1040">
        <v>580</v>
      </c>
      <c r="AI1040">
        <v>8</v>
      </c>
      <c r="AJ1040">
        <v>0</v>
      </c>
      <c r="AK1040">
        <v>1</v>
      </c>
      <c r="AL1040">
        <v>0</v>
      </c>
      <c r="AM1040">
        <v>0</v>
      </c>
      <c r="AN1040">
        <v>0</v>
      </c>
      <c r="AO1040">
        <v>0</v>
      </c>
      <c r="AP1040">
        <v>0</v>
      </c>
      <c r="AQ1040">
        <v>0</v>
      </c>
      <c r="AR1040">
        <v>0</v>
      </c>
      <c r="AS1040">
        <v>0</v>
      </c>
      <c r="AT1040">
        <f t="shared" si="50"/>
        <v>8.6266999999999996</v>
      </c>
      <c r="AU1040">
        <f t="shared" si="48"/>
        <v>5.3933333333333335</v>
      </c>
      <c r="AV1040">
        <f t="shared" si="49"/>
        <v>740.51100000000008</v>
      </c>
      <c r="AY1040">
        <v>1342</v>
      </c>
      <c r="AZ1040">
        <v>14</v>
      </c>
      <c r="BC1040" t="s">
        <v>207</v>
      </c>
    </row>
    <row r="1041" spans="3:55" x14ac:dyDescent="0.45">
      <c r="C1041">
        <v>80.63</v>
      </c>
      <c r="D1041">
        <v>5.21</v>
      </c>
      <c r="E1041">
        <v>4.91</v>
      </c>
      <c r="F1041">
        <v>2.76</v>
      </c>
      <c r="G1041">
        <v>0</v>
      </c>
      <c r="H1041">
        <v>0.39</v>
      </c>
      <c r="I1041">
        <v>0</v>
      </c>
      <c r="J1041">
        <v>1.1000000000000001</v>
      </c>
      <c r="K1041">
        <v>0</v>
      </c>
      <c r="L1041">
        <v>5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1</v>
      </c>
      <c r="Z1041">
        <v>0</v>
      </c>
      <c r="AA1041">
        <v>0</v>
      </c>
      <c r="AB1041">
        <v>0</v>
      </c>
      <c r="AC1041">
        <v>820</v>
      </c>
      <c r="AD1041">
        <v>1</v>
      </c>
      <c r="AE1041">
        <v>0</v>
      </c>
      <c r="AF1041">
        <v>1</v>
      </c>
      <c r="AG1041">
        <v>0</v>
      </c>
      <c r="AH1041">
        <v>580</v>
      </c>
      <c r="AI1041">
        <v>8</v>
      </c>
      <c r="AJ1041">
        <v>0</v>
      </c>
      <c r="AK1041">
        <v>1</v>
      </c>
      <c r="AL1041">
        <v>0</v>
      </c>
      <c r="AM1041">
        <v>0</v>
      </c>
      <c r="AN1041">
        <v>0</v>
      </c>
      <c r="AO1041">
        <v>0</v>
      </c>
      <c r="AP1041">
        <v>0</v>
      </c>
      <c r="AQ1041">
        <v>0</v>
      </c>
      <c r="AR1041">
        <v>0</v>
      </c>
      <c r="AS1041">
        <v>0</v>
      </c>
      <c r="AT1041">
        <f t="shared" si="50"/>
        <v>8.6266999999999996</v>
      </c>
      <c r="AU1041">
        <f t="shared" si="48"/>
        <v>5.3933333333333335</v>
      </c>
      <c r="AV1041">
        <f t="shared" si="49"/>
        <v>740.51100000000008</v>
      </c>
      <c r="AY1041">
        <v>1365</v>
      </c>
      <c r="AZ1041">
        <v>11.6</v>
      </c>
      <c r="BC1041" t="s">
        <v>207</v>
      </c>
    </row>
    <row r="1042" spans="3:55" x14ac:dyDescent="0.45">
      <c r="C1042">
        <v>80.63</v>
      </c>
      <c r="D1042">
        <v>5.21</v>
      </c>
      <c r="E1042">
        <v>4.91</v>
      </c>
      <c r="F1042">
        <v>2.76</v>
      </c>
      <c r="G1042">
        <v>0</v>
      </c>
      <c r="H1042">
        <v>0.39</v>
      </c>
      <c r="I1042">
        <v>0</v>
      </c>
      <c r="J1042">
        <v>1.1000000000000001</v>
      </c>
      <c r="K1042">
        <v>0</v>
      </c>
      <c r="L1042">
        <v>5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1</v>
      </c>
      <c r="Z1042">
        <v>0</v>
      </c>
      <c r="AA1042">
        <v>0</v>
      </c>
      <c r="AB1042">
        <v>0</v>
      </c>
      <c r="AC1042">
        <v>830</v>
      </c>
      <c r="AD1042">
        <v>1</v>
      </c>
      <c r="AE1042">
        <v>0</v>
      </c>
      <c r="AF1042">
        <v>1</v>
      </c>
      <c r="AG1042">
        <v>0</v>
      </c>
      <c r="AH1042">
        <v>580</v>
      </c>
      <c r="AI1042">
        <v>8</v>
      </c>
      <c r="AJ1042">
        <v>0</v>
      </c>
      <c r="AK1042">
        <v>1</v>
      </c>
      <c r="AL1042">
        <v>0</v>
      </c>
      <c r="AM1042">
        <v>0</v>
      </c>
      <c r="AN1042">
        <v>0</v>
      </c>
      <c r="AO1042">
        <v>0</v>
      </c>
      <c r="AP1042">
        <v>0</v>
      </c>
      <c r="AQ1042">
        <v>0</v>
      </c>
      <c r="AR1042">
        <v>0</v>
      </c>
      <c r="AS1042">
        <v>0</v>
      </c>
      <c r="AT1042">
        <f t="shared" si="50"/>
        <v>8.6266999999999996</v>
      </c>
      <c r="AU1042">
        <f t="shared" si="48"/>
        <v>5.3933333333333335</v>
      </c>
      <c r="AV1042">
        <f t="shared" si="49"/>
        <v>740.51100000000008</v>
      </c>
      <c r="AY1042">
        <v>1356</v>
      </c>
      <c r="AZ1042">
        <v>9.4</v>
      </c>
      <c r="BC1042" t="s">
        <v>207</v>
      </c>
    </row>
    <row r="1043" spans="3:55" x14ac:dyDescent="0.45">
      <c r="C1043">
        <v>86.125</v>
      </c>
      <c r="D1043">
        <v>4.8600000000000003</v>
      </c>
      <c r="E1043">
        <v>4.87</v>
      </c>
      <c r="F1043">
        <v>1.3</v>
      </c>
      <c r="G1043">
        <v>0</v>
      </c>
      <c r="H1043">
        <v>0.8</v>
      </c>
      <c r="I1043">
        <v>0</v>
      </c>
      <c r="J1043">
        <v>2.5000000000000001E-2</v>
      </c>
      <c r="K1043">
        <v>0</v>
      </c>
      <c r="L1043">
        <v>1.87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1</v>
      </c>
      <c r="Z1043">
        <v>0</v>
      </c>
      <c r="AA1043">
        <v>0</v>
      </c>
      <c r="AB1043">
        <v>0</v>
      </c>
      <c r="AC1043">
        <v>800</v>
      </c>
      <c r="AD1043">
        <v>1</v>
      </c>
      <c r="AE1043">
        <v>1</v>
      </c>
      <c r="AF1043">
        <v>0</v>
      </c>
      <c r="AG1043">
        <v>0</v>
      </c>
      <c r="AH1043">
        <v>0</v>
      </c>
      <c r="AI1043">
        <v>0</v>
      </c>
      <c r="AJ1043">
        <v>0</v>
      </c>
      <c r="AK1043">
        <v>0</v>
      </c>
      <c r="AL1043">
        <v>0</v>
      </c>
      <c r="AM1043">
        <v>0</v>
      </c>
      <c r="AN1043">
        <v>0</v>
      </c>
      <c r="AO1043">
        <v>0</v>
      </c>
      <c r="AP1043">
        <v>0</v>
      </c>
      <c r="AQ1043">
        <v>0</v>
      </c>
      <c r="AR1043">
        <v>0</v>
      </c>
      <c r="AS1043">
        <v>0</v>
      </c>
      <c r="AT1043">
        <f t="shared" si="50"/>
        <v>4.6728999999999994</v>
      </c>
      <c r="AU1043">
        <f t="shared" si="48"/>
        <v>4.8641666666666667</v>
      </c>
      <c r="AV1043">
        <f t="shared" si="49"/>
        <v>788.75249999999994</v>
      </c>
      <c r="AX1043">
        <v>870</v>
      </c>
      <c r="AY1043">
        <v>990</v>
      </c>
      <c r="AZ1043">
        <v>17</v>
      </c>
      <c r="BC1043" t="s">
        <v>209</v>
      </c>
    </row>
    <row r="1044" spans="3:55" x14ac:dyDescent="0.45">
      <c r="C1044">
        <v>86.125</v>
      </c>
      <c r="D1044">
        <v>4.8600000000000003</v>
      </c>
      <c r="E1044">
        <v>4.87</v>
      </c>
      <c r="F1044">
        <v>1.3</v>
      </c>
      <c r="G1044">
        <v>0</v>
      </c>
      <c r="H1044">
        <v>0.8</v>
      </c>
      <c r="I1044">
        <v>0</v>
      </c>
      <c r="J1044">
        <v>2.5000000000000001E-2</v>
      </c>
      <c r="K1044">
        <v>0</v>
      </c>
      <c r="L1044">
        <v>1.87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0</v>
      </c>
      <c r="W1044">
        <v>0</v>
      </c>
      <c r="X1044">
        <v>0</v>
      </c>
      <c r="Y1044">
        <v>1</v>
      </c>
      <c r="Z1044">
        <v>0</v>
      </c>
      <c r="AA1044">
        <v>0</v>
      </c>
      <c r="AB1044">
        <v>0</v>
      </c>
      <c r="AC1044">
        <v>860</v>
      </c>
      <c r="AD1044">
        <v>1</v>
      </c>
      <c r="AE1044">
        <v>1</v>
      </c>
      <c r="AF1044">
        <v>0</v>
      </c>
      <c r="AG1044">
        <v>0</v>
      </c>
      <c r="AH1044">
        <v>0</v>
      </c>
      <c r="AI1044">
        <v>0</v>
      </c>
      <c r="AJ1044">
        <v>0</v>
      </c>
      <c r="AK1044">
        <v>0</v>
      </c>
      <c r="AL1044">
        <v>0</v>
      </c>
      <c r="AM1044">
        <v>0</v>
      </c>
      <c r="AN1044">
        <v>0</v>
      </c>
      <c r="AO1044">
        <v>0</v>
      </c>
      <c r="AP1044">
        <v>0</v>
      </c>
      <c r="AQ1044">
        <v>0</v>
      </c>
      <c r="AR1044">
        <v>0</v>
      </c>
      <c r="AS1044">
        <v>0</v>
      </c>
      <c r="AT1044">
        <f t="shared" si="50"/>
        <v>4.6728999999999994</v>
      </c>
      <c r="AU1044">
        <f t="shared" si="48"/>
        <v>4.8641666666666667</v>
      </c>
      <c r="AV1044">
        <f t="shared" si="49"/>
        <v>788.75249999999994</v>
      </c>
      <c r="AX1044">
        <v>920</v>
      </c>
      <c r="AY1044">
        <v>1050</v>
      </c>
      <c r="AZ1044">
        <v>11</v>
      </c>
      <c r="BC1044" t="s">
        <v>209</v>
      </c>
    </row>
    <row r="1045" spans="3:55" x14ac:dyDescent="0.45">
      <c r="C1045">
        <v>82.14</v>
      </c>
      <c r="D1045">
        <v>5.0999999999999996</v>
      </c>
      <c r="E1045">
        <v>0</v>
      </c>
      <c r="F1045">
        <v>3.21</v>
      </c>
      <c r="G1045">
        <v>0</v>
      </c>
      <c r="H1045">
        <v>0.1</v>
      </c>
      <c r="I1045">
        <v>0</v>
      </c>
      <c r="J1045">
        <v>1.83</v>
      </c>
      <c r="K1045">
        <v>0</v>
      </c>
      <c r="L1045">
        <v>4.7</v>
      </c>
      <c r="M1045">
        <v>2.88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0</v>
      </c>
      <c r="W1045">
        <v>0</v>
      </c>
      <c r="X1045">
        <v>0</v>
      </c>
      <c r="Y1045">
        <v>1</v>
      </c>
      <c r="Z1045">
        <v>0</v>
      </c>
      <c r="AA1045">
        <v>0</v>
      </c>
      <c r="AB1045">
        <v>0</v>
      </c>
      <c r="AC1045">
        <v>0</v>
      </c>
      <c r="AD1045">
        <v>0</v>
      </c>
      <c r="AE1045">
        <v>0</v>
      </c>
      <c r="AF1045">
        <v>0</v>
      </c>
      <c r="AG1045">
        <v>0</v>
      </c>
      <c r="AH1045">
        <v>630</v>
      </c>
      <c r="AI1045">
        <v>8</v>
      </c>
      <c r="AJ1045">
        <v>0</v>
      </c>
      <c r="AK1045">
        <v>1</v>
      </c>
      <c r="AL1045">
        <v>0</v>
      </c>
      <c r="AM1045">
        <v>0</v>
      </c>
      <c r="AN1045">
        <v>0</v>
      </c>
      <c r="AO1045">
        <v>0</v>
      </c>
      <c r="AP1045">
        <v>0</v>
      </c>
      <c r="AQ1045">
        <v>0</v>
      </c>
      <c r="AR1045">
        <v>0</v>
      </c>
      <c r="AS1045">
        <v>0</v>
      </c>
      <c r="AT1045">
        <f t="shared" si="50"/>
        <v>5.0260000000000016</v>
      </c>
      <c r="AU1045">
        <f t="shared" si="48"/>
        <v>6.3649999999999993</v>
      </c>
      <c r="AV1045">
        <f t="shared" si="49"/>
        <v>807.14800000000014</v>
      </c>
      <c r="AX1045">
        <v>1030</v>
      </c>
      <c r="AY1045">
        <v>1120</v>
      </c>
      <c r="AZ1045">
        <v>7</v>
      </c>
      <c r="BC1045" t="s">
        <v>210</v>
      </c>
    </row>
    <row r="1046" spans="3:55" x14ac:dyDescent="0.45">
      <c r="C1046">
        <v>82.594999999999999</v>
      </c>
      <c r="D1046">
        <v>5.22</v>
      </c>
      <c r="E1046">
        <v>0</v>
      </c>
      <c r="F1046">
        <v>3.66</v>
      </c>
      <c r="G1046">
        <v>0</v>
      </c>
      <c r="H1046">
        <v>0.09</v>
      </c>
      <c r="I1046">
        <v>0</v>
      </c>
      <c r="J1046">
        <v>2.0499999999999998</v>
      </c>
      <c r="K1046">
        <v>0</v>
      </c>
      <c r="L1046">
        <v>4.12</v>
      </c>
      <c r="M1046">
        <v>2.15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0</v>
      </c>
      <c r="W1046">
        <v>0</v>
      </c>
      <c r="X1046">
        <v>0</v>
      </c>
      <c r="Y1046">
        <v>1</v>
      </c>
      <c r="Z1046">
        <v>0</v>
      </c>
      <c r="AA1046">
        <v>0</v>
      </c>
      <c r="AB1046">
        <v>0</v>
      </c>
      <c r="AC1046">
        <v>600</v>
      </c>
      <c r="AD1046">
        <v>8</v>
      </c>
      <c r="AE1046">
        <v>0</v>
      </c>
      <c r="AF1046">
        <v>1</v>
      </c>
      <c r="AG1046">
        <v>0</v>
      </c>
      <c r="AH1046">
        <v>0</v>
      </c>
      <c r="AI1046">
        <v>0</v>
      </c>
      <c r="AJ1046">
        <v>0</v>
      </c>
      <c r="AK1046">
        <v>0</v>
      </c>
      <c r="AL1046">
        <v>0</v>
      </c>
      <c r="AM1046">
        <v>0</v>
      </c>
      <c r="AN1046">
        <v>0</v>
      </c>
      <c r="AO1046">
        <v>0</v>
      </c>
      <c r="AP1046">
        <v>0</v>
      </c>
      <c r="AQ1046">
        <v>0</v>
      </c>
      <c r="AR1046">
        <v>0</v>
      </c>
      <c r="AS1046">
        <v>0</v>
      </c>
      <c r="AT1046">
        <f t="shared" si="50"/>
        <v>5.0170000000000021</v>
      </c>
      <c r="AU1046">
        <f t="shared" si="48"/>
        <v>6.2783333333333333</v>
      </c>
      <c r="AV1046">
        <f t="shared" si="49"/>
        <v>803.03500000000008</v>
      </c>
      <c r="BC1046" t="s">
        <v>212</v>
      </c>
    </row>
    <row r="1047" spans="3:55" x14ac:dyDescent="0.45">
      <c r="C1047">
        <v>82.594999999999999</v>
      </c>
      <c r="D1047">
        <v>5.22</v>
      </c>
      <c r="E1047">
        <v>0</v>
      </c>
      <c r="F1047">
        <v>3.66</v>
      </c>
      <c r="G1047">
        <v>0</v>
      </c>
      <c r="H1047">
        <v>0.09</v>
      </c>
      <c r="I1047">
        <v>0</v>
      </c>
      <c r="J1047">
        <v>2.0499999999999998</v>
      </c>
      <c r="K1047">
        <v>0</v>
      </c>
      <c r="L1047">
        <v>4.12</v>
      </c>
      <c r="M1047">
        <v>2.15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1</v>
      </c>
      <c r="W1047">
        <v>0</v>
      </c>
      <c r="X1047">
        <v>20</v>
      </c>
      <c r="Y1047">
        <v>0</v>
      </c>
      <c r="Z1047">
        <v>0</v>
      </c>
      <c r="AA1047">
        <v>0</v>
      </c>
      <c r="AB1047">
        <v>0</v>
      </c>
      <c r="AC1047">
        <v>601</v>
      </c>
      <c r="AD1047">
        <v>8.0166666666666693</v>
      </c>
      <c r="AE1047">
        <v>0</v>
      </c>
      <c r="AF1047">
        <v>1</v>
      </c>
      <c r="AG1047">
        <v>0</v>
      </c>
      <c r="AH1047">
        <v>0</v>
      </c>
      <c r="AI1047">
        <v>0</v>
      </c>
      <c r="AJ1047">
        <v>0</v>
      </c>
      <c r="AK1047">
        <v>0</v>
      </c>
      <c r="AL1047">
        <v>0</v>
      </c>
      <c r="AM1047">
        <v>0</v>
      </c>
      <c r="AN1047">
        <v>0</v>
      </c>
      <c r="AO1047">
        <v>0</v>
      </c>
      <c r="AP1047">
        <v>0</v>
      </c>
      <c r="AQ1047">
        <v>0</v>
      </c>
      <c r="AR1047">
        <v>0</v>
      </c>
      <c r="AS1047">
        <v>0</v>
      </c>
      <c r="AT1047">
        <f t="shared" si="50"/>
        <v>5.0170000000000021</v>
      </c>
      <c r="AU1047">
        <f t="shared" si="48"/>
        <v>6.2783333333333333</v>
      </c>
      <c r="AV1047">
        <f t="shared" si="49"/>
        <v>803.03500000000008</v>
      </c>
      <c r="BC1047" t="s">
        <v>212</v>
      </c>
    </row>
    <row r="1048" spans="3:55" x14ac:dyDescent="0.45">
      <c r="C1048">
        <v>82.594999999999999</v>
      </c>
      <c r="D1048">
        <v>5.22</v>
      </c>
      <c r="E1048">
        <v>0</v>
      </c>
      <c r="F1048">
        <v>3.66</v>
      </c>
      <c r="G1048">
        <v>0</v>
      </c>
      <c r="H1048">
        <v>0.09</v>
      </c>
      <c r="I1048">
        <v>0</v>
      </c>
      <c r="J1048">
        <v>2.0499999999999998</v>
      </c>
      <c r="K1048">
        <v>0</v>
      </c>
      <c r="L1048">
        <v>4.12</v>
      </c>
      <c r="M1048">
        <v>2.15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1</v>
      </c>
      <c r="W1048">
        <v>0</v>
      </c>
      <c r="X1048">
        <v>40</v>
      </c>
      <c r="Y1048">
        <v>0</v>
      </c>
      <c r="Z1048">
        <v>0</v>
      </c>
      <c r="AA1048">
        <v>0</v>
      </c>
      <c r="AB1048">
        <v>0</v>
      </c>
      <c r="AC1048">
        <v>602</v>
      </c>
      <c r="AD1048">
        <v>8.0333333333333297</v>
      </c>
      <c r="AE1048">
        <v>0</v>
      </c>
      <c r="AF1048">
        <v>1</v>
      </c>
      <c r="AG1048">
        <v>0</v>
      </c>
      <c r="AH1048">
        <v>0</v>
      </c>
      <c r="AI1048">
        <v>0</v>
      </c>
      <c r="AJ1048">
        <v>0</v>
      </c>
      <c r="AK1048">
        <v>0</v>
      </c>
      <c r="AL1048">
        <v>0</v>
      </c>
      <c r="AM1048">
        <v>0</v>
      </c>
      <c r="AN1048">
        <v>0</v>
      </c>
      <c r="AO1048">
        <v>0</v>
      </c>
      <c r="AP1048">
        <v>0</v>
      </c>
      <c r="AQ1048">
        <v>0</v>
      </c>
      <c r="AR1048">
        <v>0</v>
      </c>
      <c r="AS1048">
        <v>0</v>
      </c>
      <c r="AT1048">
        <f t="shared" si="50"/>
        <v>5.0170000000000021</v>
      </c>
      <c r="AU1048">
        <f t="shared" si="48"/>
        <v>6.2783333333333333</v>
      </c>
      <c r="AV1048">
        <f t="shared" si="49"/>
        <v>803.03500000000008</v>
      </c>
      <c r="BC1048" t="s">
        <v>212</v>
      </c>
    </row>
    <row r="1049" spans="3:55" x14ac:dyDescent="0.45">
      <c r="C1049">
        <v>82.594999999999999</v>
      </c>
      <c r="D1049">
        <v>5.22</v>
      </c>
      <c r="E1049">
        <v>0</v>
      </c>
      <c r="F1049">
        <v>3.66</v>
      </c>
      <c r="G1049">
        <v>0</v>
      </c>
      <c r="H1049">
        <v>0.09</v>
      </c>
      <c r="I1049">
        <v>0</v>
      </c>
      <c r="J1049">
        <v>2.0499999999999998</v>
      </c>
      <c r="K1049">
        <v>0</v>
      </c>
      <c r="L1049">
        <v>4.12</v>
      </c>
      <c r="M1049">
        <v>2.15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  <c r="V1049">
        <v>1</v>
      </c>
      <c r="W1049">
        <v>0</v>
      </c>
      <c r="X1049">
        <v>60</v>
      </c>
      <c r="Y1049">
        <v>0</v>
      </c>
      <c r="Z1049">
        <v>0</v>
      </c>
      <c r="AA1049">
        <v>0</v>
      </c>
      <c r="AB1049">
        <v>0</v>
      </c>
      <c r="AC1049">
        <v>603</v>
      </c>
      <c r="AD1049">
        <v>8.0500000000000007</v>
      </c>
      <c r="AE1049">
        <v>0</v>
      </c>
      <c r="AF1049">
        <v>1</v>
      </c>
      <c r="AG1049">
        <v>0</v>
      </c>
      <c r="AH1049">
        <v>0</v>
      </c>
      <c r="AI1049">
        <v>0</v>
      </c>
      <c r="AJ1049">
        <v>0</v>
      </c>
      <c r="AK1049">
        <v>0</v>
      </c>
      <c r="AL1049">
        <v>0</v>
      </c>
      <c r="AM1049">
        <v>0</v>
      </c>
      <c r="AN1049">
        <v>0</v>
      </c>
      <c r="AO1049">
        <v>0</v>
      </c>
      <c r="AP1049">
        <v>0</v>
      </c>
      <c r="AQ1049">
        <v>0</v>
      </c>
      <c r="AR1049">
        <v>0</v>
      </c>
      <c r="AS1049">
        <v>0</v>
      </c>
      <c r="AT1049">
        <f t="shared" si="50"/>
        <v>5.0170000000000021</v>
      </c>
      <c r="AU1049">
        <f t="shared" si="48"/>
        <v>6.2783333333333333</v>
      </c>
      <c r="AV1049">
        <f t="shared" si="49"/>
        <v>803.03500000000008</v>
      </c>
      <c r="BC1049" t="s">
        <v>212</v>
      </c>
    </row>
    <row r="1050" spans="3:55" x14ac:dyDescent="0.45">
      <c r="C1050">
        <v>83.978999999999999</v>
      </c>
      <c r="D1050">
        <v>5.93</v>
      </c>
      <c r="E1050">
        <v>1.99</v>
      </c>
      <c r="F1050">
        <v>2</v>
      </c>
      <c r="G1050">
        <v>0</v>
      </c>
      <c r="H1050">
        <v>0</v>
      </c>
      <c r="I1050">
        <v>0</v>
      </c>
      <c r="J1050">
        <v>2.0299999999999998</v>
      </c>
      <c r="K1050">
        <v>0</v>
      </c>
      <c r="L1050">
        <v>2.04</v>
      </c>
      <c r="M1050">
        <v>1.97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0</v>
      </c>
      <c r="W1050">
        <v>0</v>
      </c>
      <c r="X1050">
        <v>0</v>
      </c>
      <c r="Y1050">
        <v>1</v>
      </c>
      <c r="Z1050">
        <v>0</v>
      </c>
      <c r="AA1050">
        <v>0</v>
      </c>
      <c r="AB1050">
        <v>0</v>
      </c>
      <c r="AC1050">
        <v>0</v>
      </c>
      <c r="AD1050">
        <v>0</v>
      </c>
      <c r="AE1050">
        <v>0</v>
      </c>
      <c r="AF1050">
        <v>0</v>
      </c>
      <c r="AG1050">
        <v>0</v>
      </c>
      <c r="AH1050">
        <v>0</v>
      </c>
      <c r="AI1050">
        <v>0</v>
      </c>
      <c r="AJ1050">
        <v>0</v>
      </c>
      <c r="AK1050">
        <v>0</v>
      </c>
      <c r="AL1050">
        <v>0</v>
      </c>
      <c r="AM1050">
        <v>0</v>
      </c>
      <c r="AN1050">
        <v>0</v>
      </c>
      <c r="AO1050">
        <v>0</v>
      </c>
      <c r="AP1050">
        <v>0</v>
      </c>
      <c r="AQ1050">
        <v>0</v>
      </c>
      <c r="AR1050">
        <v>0</v>
      </c>
      <c r="AS1050">
        <v>0</v>
      </c>
      <c r="AT1050">
        <f t="shared" si="50"/>
        <v>0.64330000000000087</v>
      </c>
      <c r="AU1050">
        <f t="shared" si="48"/>
        <v>6.9249999999999989</v>
      </c>
      <c r="AV1050">
        <f t="shared" si="49"/>
        <v>821.65800000000002</v>
      </c>
      <c r="AX1050">
        <v>943</v>
      </c>
      <c r="AY1050">
        <v>1025</v>
      </c>
      <c r="AZ1050">
        <v>6</v>
      </c>
      <c r="BC1050" t="s">
        <v>213</v>
      </c>
    </row>
    <row r="1051" spans="3:55" x14ac:dyDescent="0.45">
      <c r="C1051">
        <v>83.978999999999999</v>
      </c>
      <c r="D1051">
        <v>5.93</v>
      </c>
      <c r="E1051">
        <v>1.99</v>
      </c>
      <c r="F1051">
        <v>2</v>
      </c>
      <c r="G1051">
        <v>0</v>
      </c>
      <c r="H1051">
        <v>0</v>
      </c>
      <c r="I1051">
        <v>0</v>
      </c>
      <c r="J1051">
        <v>2.0299999999999998</v>
      </c>
      <c r="K1051">
        <v>0</v>
      </c>
      <c r="L1051">
        <v>2.04</v>
      </c>
      <c r="M1051">
        <v>1.97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1</v>
      </c>
      <c r="Z1051">
        <v>0</v>
      </c>
      <c r="AA1051">
        <v>0</v>
      </c>
      <c r="AB1051">
        <v>0</v>
      </c>
      <c r="AC1051">
        <v>900</v>
      </c>
      <c r="AD1051">
        <v>2</v>
      </c>
      <c r="AE1051">
        <v>0</v>
      </c>
      <c r="AF1051">
        <v>1</v>
      </c>
      <c r="AG1051">
        <v>0</v>
      </c>
      <c r="AH1051">
        <v>0</v>
      </c>
      <c r="AI1051">
        <v>0</v>
      </c>
      <c r="AJ1051">
        <v>0</v>
      </c>
      <c r="AK1051">
        <v>0</v>
      </c>
      <c r="AL1051">
        <v>0</v>
      </c>
      <c r="AM1051">
        <v>0</v>
      </c>
      <c r="AN1051">
        <v>0</v>
      </c>
      <c r="AO1051">
        <v>0</v>
      </c>
      <c r="AP1051">
        <v>0</v>
      </c>
      <c r="AQ1051">
        <v>0</v>
      </c>
      <c r="AR1051">
        <v>0</v>
      </c>
      <c r="AS1051">
        <v>0</v>
      </c>
      <c r="AT1051">
        <f t="shared" si="50"/>
        <v>0.64330000000000087</v>
      </c>
      <c r="AU1051">
        <f t="shared" si="48"/>
        <v>6.9249999999999989</v>
      </c>
      <c r="AV1051">
        <f t="shared" si="49"/>
        <v>821.65800000000002</v>
      </c>
      <c r="BC1051" t="s">
        <v>213</v>
      </c>
    </row>
    <row r="1052" spans="3:55" x14ac:dyDescent="0.45">
      <c r="C1052">
        <v>83.978999999999999</v>
      </c>
      <c r="D1052">
        <v>5.93</v>
      </c>
      <c r="E1052">
        <v>1.99</v>
      </c>
      <c r="F1052">
        <v>2</v>
      </c>
      <c r="G1052">
        <v>0</v>
      </c>
      <c r="H1052">
        <v>0</v>
      </c>
      <c r="I1052">
        <v>0</v>
      </c>
      <c r="J1052">
        <v>2.0299999999999998</v>
      </c>
      <c r="K1052">
        <v>0</v>
      </c>
      <c r="L1052">
        <v>2.04</v>
      </c>
      <c r="M1052">
        <v>1.97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1</v>
      </c>
      <c r="Z1052">
        <v>0</v>
      </c>
      <c r="AA1052">
        <v>0</v>
      </c>
      <c r="AB1052">
        <v>0</v>
      </c>
      <c r="AC1052">
        <v>920</v>
      </c>
      <c r="AD1052">
        <v>2</v>
      </c>
      <c r="AE1052">
        <v>0</v>
      </c>
      <c r="AF1052">
        <v>1</v>
      </c>
      <c r="AG1052">
        <v>0</v>
      </c>
      <c r="AH1052">
        <v>540</v>
      </c>
      <c r="AI1052">
        <v>4</v>
      </c>
      <c r="AJ1052">
        <v>0</v>
      </c>
      <c r="AK1052">
        <v>1</v>
      </c>
      <c r="AL1052">
        <v>0</v>
      </c>
      <c r="AM1052">
        <v>0</v>
      </c>
      <c r="AN1052">
        <v>0</v>
      </c>
      <c r="AO1052">
        <v>0</v>
      </c>
      <c r="AP1052">
        <v>0</v>
      </c>
      <c r="AQ1052">
        <v>0</v>
      </c>
      <c r="AR1052">
        <v>0</v>
      </c>
      <c r="AS1052">
        <v>0</v>
      </c>
      <c r="AT1052">
        <f t="shared" si="50"/>
        <v>0.64330000000000087</v>
      </c>
      <c r="AU1052">
        <f t="shared" si="48"/>
        <v>6.9249999999999989</v>
      </c>
      <c r="AV1052">
        <f t="shared" si="49"/>
        <v>821.65800000000002</v>
      </c>
      <c r="BC1052" t="s">
        <v>213</v>
      </c>
    </row>
    <row r="1053" spans="3:55" x14ac:dyDescent="0.45">
      <c r="C1053">
        <v>83.978999999999999</v>
      </c>
      <c r="D1053">
        <v>5.93</v>
      </c>
      <c r="E1053">
        <v>1.99</v>
      </c>
      <c r="F1053">
        <v>2</v>
      </c>
      <c r="G1053">
        <v>0</v>
      </c>
      <c r="H1053">
        <v>0</v>
      </c>
      <c r="I1053">
        <v>0</v>
      </c>
      <c r="J1053">
        <v>2.0299999999999998</v>
      </c>
      <c r="K1053">
        <v>0</v>
      </c>
      <c r="L1053">
        <v>2.04</v>
      </c>
      <c r="M1053">
        <v>1.97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1</v>
      </c>
      <c r="Z1053">
        <v>0</v>
      </c>
      <c r="AA1053">
        <v>0</v>
      </c>
      <c r="AB1053">
        <v>0</v>
      </c>
      <c r="AC1053">
        <v>940</v>
      </c>
      <c r="AD1053">
        <v>2</v>
      </c>
      <c r="AE1053">
        <v>0</v>
      </c>
      <c r="AF1053">
        <v>1</v>
      </c>
      <c r="AG1053">
        <v>0</v>
      </c>
      <c r="AH1053">
        <v>0</v>
      </c>
      <c r="AI1053">
        <v>0</v>
      </c>
      <c r="AJ1053">
        <v>0</v>
      </c>
      <c r="AK1053">
        <v>0</v>
      </c>
      <c r="AL1053">
        <v>0</v>
      </c>
      <c r="AM1053">
        <v>0</v>
      </c>
      <c r="AN1053">
        <v>0</v>
      </c>
      <c r="AO1053">
        <v>0</v>
      </c>
      <c r="AP1053">
        <v>0</v>
      </c>
      <c r="AQ1053">
        <v>0</v>
      </c>
      <c r="AR1053">
        <v>0</v>
      </c>
      <c r="AS1053">
        <v>0</v>
      </c>
      <c r="AT1053">
        <f t="shared" si="50"/>
        <v>0.64330000000000087</v>
      </c>
      <c r="AU1053">
        <f t="shared" si="48"/>
        <v>6.9249999999999989</v>
      </c>
      <c r="AV1053">
        <f t="shared" si="49"/>
        <v>821.65800000000002</v>
      </c>
      <c r="AX1053">
        <v>1080.7</v>
      </c>
      <c r="AY1053">
        <v>1197.4000000000001</v>
      </c>
      <c r="AZ1053">
        <v>7.8</v>
      </c>
      <c r="BC1053" t="s">
        <v>213</v>
      </c>
    </row>
    <row r="1054" spans="3:55" x14ac:dyDescent="0.45">
      <c r="C1054">
        <v>86.74</v>
      </c>
      <c r="D1054">
        <v>6</v>
      </c>
      <c r="E1054">
        <v>0</v>
      </c>
      <c r="F1054">
        <v>0</v>
      </c>
      <c r="G1054">
        <v>0</v>
      </c>
      <c r="H1054">
        <v>0</v>
      </c>
      <c r="I1054">
        <v>0</v>
      </c>
      <c r="J1054">
        <v>3.6</v>
      </c>
      <c r="K1054">
        <v>0.12</v>
      </c>
      <c r="L1054">
        <v>0.13</v>
      </c>
      <c r="M1054">
        <v>2.8</v>
      </c>
      <c r="N1054">
        <v>0</v>
      </c>
      <c r="O1054">
        <v>0.24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1</v>
      </c>
      <c r="Z1054">
        <v>0</v>
      </c>
      <c r="AA1054">
        <v>0</v>
      </c>
      <c r="AB1054">
        <v>0</v>
      </c>
      <c r="AC1054">
        <v>950</v>
      </c>
      <c r="AD1054">
        <v>1</v>
      </c>
      <c r="AE1054">
        <v>1</v>
      </c>
      <c r="AF1054">
        <v>0</v>
      </c>
      <c r="AG1054">
        <v>0</v>
      </c>
      <c r="AH1054">
        <v>650</v>
      </c>
      <c r="AI1054">
        <v>6</v>
      </c>
      <c r="AJ1054">
        <v>0</v>
      </c>
      <c r="AK1054">
        <v>1</v>
      </c>
      <c r="AL1054">
        <v>0</v>
      </c>
      <c r="AM1054">
        <v>0</v>
      </c>
      <c r="AN1054">
        <v>0</v>
      </c>
      <c r="AO1054">
        <v>0</v>
      </c>
      <c r="AP1054">
        <v>0</v>
      </c>
      <c r="AQ1054">
        <v>0</v>
      </c>
      <c r="AR1054">
        <v>0</v>
      </c>
      <c r="AS1054">
        <v>0</v>
      </c>
      <c r="AT1054">
        <f t="shared" si="50"/>
        <v>-5.7835999999999999</v>
      </c>
      <c r="AU1054">
        <f t="shared" si="48"/>
        <v>7.5333333333333332</v>
      </c>
      <c r="AV1054">
        <f t="shared" si="49"/>
        <v>880.28499999999997</v>
      </c>
      <c r="AX1054">
        <v>883</v>
      </c>
      <c r="AY1054">
        <v>995</v>
      </c>
      <c r="AZ1054">
        <v>8.1</v>
      </c>
      <c r="BC1054" t="s">
        <v>108</v>
      </c>
    </row>
    <row r="1055" spans="3:55" x14ac:dyDescent="0.45">
      <c r="C1055">
        <v>82.465999999999994</v>
      </c>
      <c r="D1055">
        <v>5.0199999999999996</v>
      </c>
      <c r="E1055">
        <v>2.99</v>
      </c>
      <c r="F1055">
        <v>2.06</v>
      </c>
      <c r="G1055">
        <v>0</v>
      </c>
      <c r="H1055">
        <v>0.99</v>
      </c>
      <c r="I1055">
        <v>0</v>
      </c>
      <c r="J1055">
        <v>2.0099999999999998</v>
      </c>
      <c r="K1055">
        <v>1.37</v>
      </c>
      <c r="L1055">
        <v>3.03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1</v>
      </c>
      <c r="W1055">
        <v>0</v>
      </c>
      <c r="X1055">
        <v>0</v>
      </c>
      <c r="Y1055">
        <v>0</v>
      </c>
      <c r="Z1055">
        <v>1</v>
      </c>
      <c r="AA1055">
        <v>0</v>
      </c>
      <c r="AB1055">
        <v>0</v>
      </c>
      <c r="AC1055">
        <v>830</v>
      </c>
      <c r="AD1055">
        <v>1</v>
      </c>
      <c r="AE1055">
        <v>0</v>
      </c>
      <c r="AF1055">
        <v>1</v>
      </c>
      <c r="AG1055">
        <v>0</v>
      </c>
      <c r="AH1055">
        <v>570</v>
      </c>
      <c r="AI1055">
        <v>8</v>
      </c>
      <c r="AJ1055">
        <v>0</v>
      </c>
      <c r="AK1055">
        <v>1</v>
      </c>
      <c r="AL1055">
        <v>0</v>
      </c>
      <c r="AM1055">
        <v>0</v>
      </c>
      <c r="AN1055">
        <v>0</v>
      </c>
      <c r="AO1055">
        <v>0</v>
      </c>
      <c r="AP1055">
        <v>0</v>
      </c>
      <c r="AQ1055">
        <v>0</v>
      </c>
      <c r="AR1055">
        <v>0</v>
      </c>
      <c r="AS1055">
        <v>0</v>
      </c>
      <c r="AT1055">
        <f t="shared" si="50"/>
        <v>6.5639000000000003</v>
      </c>
      <c r="AU1055">
        <f t="shared" si="48"/>
        <v>5.3549999999999995</v>
      </c>
      <c r="AV1055">
        <f t="shared" si="49"/>
        <v>774.43399999999997</v>
      </c>
      <c r="AX1055">
        <v>1196</v>
      </c>
      <c r="AY1055">
        <v>1296</v>
      </c>
      <c r="AZ1055">
        <v>12.3</v>
      </c>
      <c r="BC1055" t="s">
        <v>214</v>
      </c>
    </row>
    <row r="1056" spans="3:55" x14ac:dyDescent="0.45">
      <c r="C1056">
        <v>82.465999999999994</v>
      </c>
      <c r="D1056">
        <v>5.0199999999999996</v>
      </c>
      <c r="E1056">
        <v>2.99</v>
      </c>
      <c r="F1056">
        <v>2.06</v>
      </c>
      <c r="G1056">
        <v>0</v>
      </c>
      <c r="H1056">
        <v>0.99</v>
      </c>
      <c r="I1056">
        <v>0</v>
      </c>
      <c r="J1056">
        <v>2.0099999999999998</v>
      </c>
      <c r="K1056">
        <v>1.37</v>
      </c>
      <c r="L1056">
        <v>3.03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1</v>
      </c>
      <c r="W1056">
        <v>0</v>
      </c>
      <c r="X1056">
        <v>0</v>
      </c>
      <c r="Y1056">
        <v>0</v>
      </c>
      <c r="Z1056">
        <v>1</v>
      </c>
      <c r="AA1056">
        <v>0</v>
      </c>
      <c r="AB1056">
        <v>0</v>
      </c>
      <c r="AC1056">
        <v>830</v>
      </c>
      <c r="AD1056">
        <v>1</v>
      </c>
      <c r="AE1056">
        <v>0</v>
      </c>
      <c r="AF1056">
        <v>0</v>
      </c>
      <c r="AG1056">
        <v>0</v>
      </c>
      <c r="AH1056">
        <v>570</v>
      </c>
      <c r="AI1056">
        <v>8</v>
      </c>
      <c r="AJ1056">
        <v>0</v>
      </c>
      <c r="AK1056">
        <v>1</v>
      </c>
      <c r="AL1056">
        <v>0</v>
      </c>
      <c r="AM1056">
        <v>0</v>
      </c>
      <c r="AN1056">
        <v>0</v>
      </c>
      <c r="AO1056">
        <v>0</v>
      </c>
      <c r="AP1056">
        <v>0</v>
      </c>
      <c r="AQ1056">
        <v>0</v>
      </c>
      <c r="AR1056">
        <v>0</v>
      </c>
      <c r="AS1056">
        <v>0</v>
      </c>
      <c r="AT1056">
        <f t="shared" si="50"/>
        <v>6.5639000000000003</v>
      </c>
      <c r="AU1056">
        <f t="shared" si="48"/>
        <v>5.3549999999999995</v>
      </c>
      <c r="AV1056">
        <f t="shared" si="49"/>
        <v>774.43399999999997</v>
      </c>
      <c r="AX1056">
        <v>969</v>
      </c>
      <c r="AY1056">
        <v>1060</v>
      </c>
      <c r="AZ1056">
        <v>20</v>
      </c>
      <c r="BC1056" t="s">
        <v>214</v>
      </c>
    </row>
    <row r="1057" spans="3:55" x14ac:dyDescent="0.45">
      <c r="C1057">
        <v>82.465999999999994</v>
      </c>
      <c r="D1057">
        <v>5.0199999999999996</v>
      </c>
      <c r="E1057">
        <v>2.99</v>
      </c>
      <c r="F1057">
        <v>2.06</v>
      </c>
      <c r="G1057">
        <v>0</v>
      </c>
      <c r="H1057">
        <v>0.99</v>
      </c>
      <c r="I1057">
        <v>0</v>
      </c>
      <c r="J1057">
        <v>2.0099999999999998</v>
      </c>
      <c r="K1057">
        <v>1.37</v>
      </c>
      <c r="L1057">
        <v>3.03</v>
      </c>
      <c r="M1057">
        <v>0</v>
      </c>
      <c r="N1057">
        <v>0</v>
      </c>
      <c r="O1057">
        <v>0</v>
      </c>
      <c r="P1057">
        <v>0</v>
      </c>
      <c r="Q1057">
        <v>0</v>
      </c>
      <c r="R1057">
        <v>0</v>
      </c>
      <c r="S1057">
        <v>0</v>
      </c>
      <c r="T1057">
        <v>0</v>
      </c>
      <c r="U1057">
        <v>0</v>
      </c>
      <c r="V1057">
        <v>1</v>
      </c>
      <c r="W1057">
        <v>0</v>
      </c>
      <c r="X1057">
        <v>0</v>
      </c>
      <c r="Y1057">
        <v>0</v>
      </c>
      <c r="Z1057">
        <v>1</v>
      </c>
      <c r="AA1057">
        <v>0</v>
      </c>
      <c r="AB1057">
        <v>0</v>
      </c>
      <c r="AC1057">
        <v>900</v>
      </c>
      <c r="AD1057">
        <v>1</v>
      </c>
      <c r="AE1057">
        <v>0</v>
      </c>
      <c r="AF1057">
        <v>0</v>
      </c>
      <c r="AG1057">
        <v>0</v>
      </c>
      <c r="AH1057">
        <v>570</v>
      </c>
      <c r="AI1057">
        <v>8</v>
      </c>
      <c r="AJ1057">
        <v>0</v>
      </c>
      <c r="AK1057">
        <v>1</v>
      </c>
      <c r="AL1057">
        <v>0</v>
      </c>
      <c r="AM1057">
        <v>0</v>
      </c>
      <c r="AN1057">
        <v>0</v>
      </c>
      <c r="AO1057">
        <v>0</v>
      </c>
      <c r="AP1057">
        <v>0</v>
      </c>
      <c r="AQ1057">
        <v>0</v>
      </c>
      <c r="AR1057">
        <v>0</v>
      </c>
      <c r="AS1057">
        <v>0</v>
      </c>
      <c r="AT1057">
        <f t="shared" si="50"/>
        <v>6.5639000000000003</v>
      </c>
      <c r="AU1057">
        <f t="shared" si="48"/>
        <v>5.3549999999999995</v>
      </c>
      <c r="AV1057">
        <f t="shared" si="49"/>
        <v>774.43399999999997</v>
      </c>
      <c r="AX1057">
        <v>915</v>
      </c>
      <c r="AY1057">
        <v>1052</v>
      </c>
      <c r="AZ1057">
        <v>14.5</v>
      </c>
      <c r="BC1057" t="s">
        <v>214</v>
      </c>
    </row>
    <row r="1058" spans="3:55" x14ac:dyDescent="0.45">
      <c r="C1058">
        <v>99.971000000000004</v>
      </c>
      <c r="D1058">
        <v>0</v>
      </c>
      <c r="E1058">
        <v>0</v>
      </c>
      <c r="F1058">
        <v>0</v>
      </c>
      <c r="G1058">
        <v>0</v>
      </c>
      <c r="H1058">
        <v>0</v>
      </c>
      <c r="I1058">
        <v>0</v>
      </c>
      <c r="J1058">
        <v>0</v>
      </c>
      <c r="K1058">
        <v>0</v>
      </c>
      <c r="L1058">
        <v>0</v>
      </c>
      <c r="M1058">
        <v>0</v>
      </c>
      <c r="N1058">
        <v>0</v>
      </c>
      <c r="O1058">
        <v>0</v>
      </c>
      <c r="P1058">
        <v>0</v>
      </c>
      <c r="Q1058">
        <v>0</v>
      </c>
      <c r="R1058">
        <v>0</v>
      </c>
      <c r="S1058">
        <v>0</v>
      </c>
      <c r="T1058">
        <v>0</v>
      </c>
      <c r="U1058">
        <v>0</v>
      </c>
      <c r="V1058">
        <v>1</v>
      </c>
      <c r="W1058">
        <v>1150</v>
      </c>
      <c r="X1058">
        <v>70</v>
      </c>
      <c r="Y1058">
        <v>0</v>
      </c>
      <c r="Z1058">
        <v>0</v>
      </c>
      <c r="AA1058">
        <v>1</v>
      </c>
      <c r="AB1058">
        <v>0</v>
      </c>
      <c r="AC1058">
        <v>800</v>
      </c>
      <c r="AD1058">
        <v>1</v>
      </c>
      <c r="AE1058">
        <v>0</v>
      </c>
      <c r="AF1058">
        <v>1</v>
      </c>
      <c r="AG1058">
        <v>0</v>
      </c>
      <c r="AH1058">
        <v>0</v>
      </c>
      <c r="AI1058">
        <v>0</v>
      </c>
      <c r="AJ1058">
        <v>0</v>
      </c>
      <c r="AK1058">
        <v>0</v>
      </c>
      <c r="AL1058">
        <v>0</v>
      </c>
      <c r="AM1058">
        <v>0</v>
      </c>
      <c r="AN1058">
        <v>0</v>
      </c>
      <c r="AO1058">
        <v>0</v>
      </c>
      <c r="AP1058">
        <v>0</v>
      </c>
      <c r="AQ1058">
        <v>0</v>
      </c>
      <c r="AR1058">
        <v>0</v>
      </c>
      <c r="AS1058">
        <v>0</v>
      </c>
      <c r="AT1058">
        <f t="shared" si="50"/>
        <v>0</v>
      </c>
      <c r="AU1058">
        <f t="shared" si="48"/>
        <v>0</v>
      </c>
      <c r="AV1058">
        <f t="shared" si="49"/>
        <v>882</v>
      </c>
      <c r="AY1058">
        <v>260</v>
      </c>
      <c r="AZ1058">
        <v>71.5</v>
      </c>
      <c r="BC1058" t="s">
        <v>50</v>
      </c>
    </row>
    <row r="1059" spans="3:55" x14ac:dyDescent="0.45">
      <c r="C1059">
        <v>96.141900000000007</v>
      </c>
      <c r="D1059">
        <v>0</v>
      </c>
      <c r="E1059">
        <v>0</v>
      </c>
      <c r="F1059">
        <v>0</v>
      </c>
      <c r="G1059">
        <v>0</v>
      </c>
      <c r="H1059">
        <v>0</v>
      </c>
      <c r="I1059">
        <v>0</v>
      </c>
      <c r="J1059">
        <v>0</v>
      </c>
      <c r="K1059">
        <v>3.73</v>
      </c>
      <c r="L1059">
        <v>0</v>
      </c>
      <c r="M1059">
        <v>0</v>
      </c>
      <c r="N1059">
        <v>0</v>
      </c>
      <c r="O1059">
        <v>0</v>
      </c>
      <c r="P1059">
        <v>0</v>
      </c>
      <c r="Q1059">
        <v>0</v>
      </c>
      <c r="R1059">
        <v>0</v>
      </c>
      <c r="S1059">
        <v>0</v>
      </c>
      <c r="T1059">
        <v>0</v>
      </c>
      <c r="U1059">
        <v>0</v>
      </c>
      <c r="V1059">
        <v>1</v>
      </c>
      <c r="W1059">
        <v>880</v>
      </c>
      <c r="X1059">
        <v>0</v>
      </c>
      <c r="Y1059">
        <v>0</v>
      </c>
      <c r="Z1059">
        <v>0</v>
      </c>
      <c r="AA1059">
        <v>1</v>
      </c>
      <c r="AB1059">
        <v>0</v>
      </c>
      <c r="AC1059">
        <v>0</v>
      </c>
      <c r="AD1059">
        <v>0</v>
      </c>
      <c r="AE1059">
        <v>0</v>
      </c>
      <c r="AF1059">
        <v>0</v>
      </c>
      <c r="AG1059">
        <v>0</v>
      </c>
      <c r="AH1059">
        <v>0</v>
      </c>
      <c r="AI1059">
        <v>0</v>
      </c>
      <c r="AJ1059">
        <v>0</v>
      </c>
      <c r="AK1059">
        <v>0</v>
      </c>
      <c r="AL1059">
        <v>0</v>
      </c>
      <c r="AM1059">
        <v>0</v>
      </c>
      <c r="AN1059">
        <v>0</v>
      </c>
      <c r="AO1059">
        <v>0</v>
      </c>
      <c r="AP1059">
        <v>0</v>
      </c>
      <c r="AQ1059">
        <v>0</v>
      </c>
      <c r="AR1059">
        <v>0</v>
      </c>
      <c r="AS1059">
        <v>0</v>
      </c>
      <c r="AT1059">
        <f t="shared" si="50"/>
        <v>1.0444</v>
      </c>
      <c r="AU1059">
        <f t="shared" si="48"/>
        <v>0</v>
      </c>
      <c r="AV1059">
        <f t="shared" si="49"/>
        <v>882</v>
      </c>
      <c r="BC1059" t="s">
        <v>59</v>
      </c>
    </row>
    <row r="1060" spans="3:55" x14ac:dyDescent="0.45">
      <c r="C1060">
        <v>96.222499999999997</v>
      </c>
      <c r="D1060">
        <v>0</v>
      </c>
      <c r="E1060">
        <v>0</v>
      </c>
      <c r="F1060">
        <v>0</v>
      </c>
      <c r="G1060">
        <v>0</v>
      </c>
      <c r="H1060">
        <v>0</v>
      </c>
      <c r="I1060">
        <v>0</v>
      </c>
      <c r="J1060">
        <v>0</v>
      </c>
      <c r="K1060">
        <v>3.66</v>
      </c>
      <c r="L1060">
        <v>0</v>
      </c>
      <c r="M1060">
        <v>0</v>
      </c>
      <c r="N1060">
        <v>0</v>
      </c>
      <c r="O1060">
        <v>0</v>
      </c>
      <c r="P1060">
        <v>0</v>
      </c>
      <c r="Q1060">
        <v>0</v>
      </c>
      <c r="R1060">
        <v>0</v>
      </c>
      <c r="S1060">
        <v>0</v>
      </c>
      <c r="T1060">
        <v>0</v>
      </c>
      <c r="U1060">
        <v>0</v>
      </c>
      <c r="V1060">
        <v>1</v>
      </c>
      <c r="W1060">
        <v>880</v>
      </c>
      <c r="X1060">
        <v>60</v>
      </c>
      <c r="Y1060">
        <v>0</v>
      </c>
      <c r="Z1060">
        <v>0</v>
      </c>
      <c r="AA1060">
        <v>1</v>
      </c>
      <c r="AB1060">
        <v>0</v>
      </c>
      <c r="AC1060">
        <v>750</v>
      </c>
      <c r="AD1060">
        <v>2</v>
      </c>
      <c r="AE1060">
        <v>0</v>
      </c>
      <c r="AF1060">
        <v>1</v>
      </c>
      <c r="AG1060">
        <v>0</v>
      </c>
      <c r="AH1060">
        <v>0</v>
      </c>
      <c r="AI1060">
        <v>0</v>
      </c>
      <c r="AJ1060">
        <v>0</v>
      </c>
      <c r="AK1060">
        <v>0</v>
      </c>
      <c r="AL1060">
        <v>0</v>
      </c>
      <c r="AM1060">
        <v>0</v>
      </c>
      <c r="AN1060">
        <v>0</v>
      </c>
      <c r="AO1060">
        <v>0</v>
      </c>
      <c r="AP1060">
        <v>0</v>
      </c>
      <c r="AQ1060">
        <v>0</v>
      </c>
      <c r="AR1060">
        <v>0</v>
      </c>
      <c r="AS1060">
        <v>0</v>
      </c>
      <c r="AT1060">
        <f t="shared" si="50"/>
        <v>1.0248000000000002</v>
      </c>
      <c r="AU1060">
        <f t="shared" si="48"/>
        <v>0</v>
      </c>
      <c r="AV1060">
        <f t="shared" si="49"/>
        <v>882</v>
      </c>
      <c r="AX1060">
        <v>387</v>
      </c>
      <c r="AY1060">
        <v>503</v>
      </c>
      <c r="AZ1060">
        <v>27</v>
      </c>
      <c r="BC1060" t="s">
        <v>59</v>
      </c>
    </row>
    <row r="1061" spans="3:55" x14ac:dyDescent="0.45">
      <c r="C1061">
        <v>96.298599999999993</v>
      </c>
      <c r="D1061">
        <v>0</v>
      </c>
      <c r="E1061">
        <v>0</v>
      </c>
      <c r="F1061">
        <v>0</v>
      </c>
      <c r="G1061">
        <v>0</v>
      </c>
      <c r="H1061">
        <v>0</v>
      </c>
      <c r="I1061">
        <v>0</v>
      </c>
      <c r="J1061">
        <v>0</v>
      </c>
      <c r="K1061">
        <v>3.57</v>
      </c>
      <c r="L1061">
        <v>0</v>
      </c>
      <c r="M1061">
        <v>0</v>
      </c>
      <c r="N1061">
        <v>0</v>
      </c>
      <c r="O1061">
        <v>0</v>
      </c>
      <c r="P1061">
        <v>0</v>
      </c>
      <c r="Q1061">
        <v>0</v>
      </c>
      <c r="R1061">
        <v>0</v>
      </c>
      <c r="S1061">
        <v>0</v>
      </c>
      <c r="T1061">
        <v>0</v>
      </c>
      <c r="U1061">
        <v>0</v>
      </c>
      <c r="V1061">
        <v>1</v>
      </c>
      <c r="W1061">
        <v>880</v>
      </c>
      <c r="X1061">
        <v>60</v>
      </c>
      <c r="Y1061">
        <v>0</v>
      </c>
      <c r="Z1061">
        <v>0</v>
      </c>
      <c r="AA1061">
        <v>1</v>
      </c>
      <c r="AB1061">
        <v>0</v>
      </c>
      <c r="AC1061">
        <v>800</v>
      </c>
      <c r="AD1061">
        <v>2</v>
      </c>
      <c r="AE1061">
        <v>0</v>
      </c>
      <c r="AF1061">
        <v>1</v>
      </c>
      <c r="AG1061">
        <v>0</v>
      </c>
      <c r="AH1061">
        <v>0</v>
      </c>
      <c r="AI1061">
        <v>0</v>
      </c>
      <c r="AJ1061">
        <v>0</v>
      </c>
      <c r="AK1061">
        <v>0</v>
      </c>
      <c r="AL1061">
        <v>0</v>
      </c>
      <c r="AM1061">
        <v>0</v>
      </c>
      <c r="AN1061">
        <v>0</v>
      </c>
      <c r="AO1061">
        <v>0</v>
      </c>
      <c r="AP1061">
        <v>0</v>
      </c>
      <c r="AQ1061">
        <v>0</v>
      </c>
      <c r="AR1061">
        <v>0</v>
      </c>
      <c r="AS1061">
        <v>0</v>
      </c>
      <c r="AT1061">
        <f t="shared" si="50"/>
        <v>0.99960000000000004</v>
      </c>
      <c r="AU1061">
        <f t="shared" si="48"/>
        <v>0</v>
      </c>
      <c r="AV1061">
        <f t="shared" si="49"/>
        <v>882</v>
      </c>
      <c r="AX1061">
        <v>372</v>
      </c>
      <c r="AY1061">
        <v>506</v>
      </c>
      <c r="AZ1061">
        <v>27</v>
      </c>
      <c r="BC1061" t="s">
        <v>59</v>
      </c>
    </row>
    <row r="1062" spans="3:55" x14ac:dyDescent="0.45">
      <c r="C1062">
        <v>96.221699999999998</v>
      </c>
      <c r="D1062">
        <v>0</v>
      </c>
      <c r="E1062">
        <v>0</v>
      </c>
      <c r="F1062">
        <v>0</v>
      </c>
      <c r="G1062">
        <v>0</v>
      </c>
      <c r="H1062">
        <v>0</v>
      </c>
      <c r="I1062">
        <v>0</v>
      </c>
      <c r="J1062">
        <v>0</v>
      </c>
      <c r="K1062">
        <v>3.66</v>
      </c>
      <c r="L1062">
        <v>0</v>
      </c>
      <c r="M1062">
        <v>0</v>
      </c>
      <c r="N1062">
        <v>0</v>
      </c>
      <c r="O1062">
        <v>0</v>
      </c>
      <c r="P1062">
        <v>0</v>
      </c>
      <c r="Q1062">
        <v>0</v>
      </c>
      <c r="R1062">
        <v>0</v>
      </c>
      <c r="S1062">
        <v>0</v>
      </c>
      <c r="T1062">
        <v>0</v>
      </c>
      <c r="U1062">
        <v>0</v>
      </c>
      <c r="V1062">
        <v>1</v>
      </c>
      <c r="W1062">
        <v>880</v>
      </c>
      <c r="X1062">
        <v>60</v>
      </c>
      <c r="Y1062">
        <v>0</v>
      </c>
      <c r="Z1062">
        <v>0</v>
      </c>
      <c r="AA1062">
        <v>1</v>
      </c>
      <c r="AB1062">
        <v>0</v>
      </c>
      <c r="AC1062">
        <v>830</v>
      </c>
      <c r="AD1062">
        <v>2</v>
      </c>
      <c r="AE1062">
        <v>0</v>
      </c>
      <c r="AF1062">
        <v>1</v>
      </c>
      <c r="AG1062">
        <v>0</v>
      </c>
      <c r="AH1062">
        <v>0</v>
      </c>
      <c r="AI1062">
        <v>0</v>
      </c>
      <c r="AJ1062">
        <v>0</v>
      </c>
      <c r="AK1062">
        <v>0</v>
      </c>
      <c r="AL1062">
        <v>0</v>
      </c>
      <c r="AM1062">
        <v>0</v>
      </c>
      <c r="AN1062">
        <v>0</v>
      </c>
      <c r="AO1062">
        <v>0</v>
      </c>
      <c r="AP1062">
        <v>0</v>
      </c>
      <c r="AQ1062">
        <v>0</v>
      </c>
      <c r="AR1062">
        <v>0</v>
      </c>
      <c r="AS1062">
        <v>0</v>
      </c>
      <c r="AT1062">
        <f t="shared" si="50"/>
        <v>1.0248000000000002</v>
      </c>
      <c r="AU1062">
        <f t="shared" si="48"/>
        <v>0</v>
      </c>
      <c r="AV1062">
        <f t="shared" si="49"/>
        <v>882</v>
      </c>
      <c r="AX1062">
        <v>347</v>
      </c>
      <c r="AY1062">
        <v>496</v>
      </c>
      <c r="AZ1062">
        <v>31</v>
      </c>
      <c r="BC1062" t="s">
        <v>59</v>
      </c>
    </row>
    <row r="1063" spans="3:55" x14ac:dyDescent="0.45">
      <c r="C1063">
        <v>85</v>
      </c>
      <c r="D1063">
        <v>0</v>
      </c>
      <c r="E1063">
        <v>0</v>
      </c>
      <c r="F1063">
        <v>0</v>
      </c>
      <c r="G1063">
        <v>0</v>
      </c>
      <c r="H1063">
        <v>0</v>
      </c>
      <c r="I1063">
        <v>0</v>
      </c>
      <c r="J1063">
        <v>0</v>
      </c>
      <c r="K1063">
        <v>0</v>
      </c>
      <c r="L1063">
        <v>15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1</v>
      </c>
      <c r="W1063">
        <v>0</v>
      </c>
      <c r="X1063">
        <v>0</v>
      </c>
      <c r="Y1063">
        <v>0</v>
      </c>
      <c r="Z1063">
        <v>0</v>
      </c>
      <c r="AA1063">
        <v>1</v>
      </c>
      <c r="AB1063">
        <v>0</v>
      </c>
      <c r="AC1063">
        <v>900</v>
      </c>
      <c r="AD1063">
        <v>1</v>
      </c>
      <c r="AE1063">
        <v>0</v>
      </c>
      <c r="AF1063">
        <v>0</v>
      </c>
      <c r="AG1063">
        <v>0</v>
      </c>
      <c r="AH1063">
        <v>0</v>
      </c>
      <c r="AI1063">
        <v>0</v>
      </c>
      <c r="AJ1063">
        <v>0</v>
      </c>
      <c r="AK1063">
        <v>0</v>
      </c>
      <c r="AL1063">
        <v>0</v>
      </c>
      <c r="AM1063">
        <v>0</v>
      </c>
      <c r="AN1063">
        <v>0</v>
      </c>
      <c r="AO1063">
        <v>0</v>
      </c>
      <c r="AP1063">
        <v>0</v>
      </c>
      <c r="AQ1063">
        <v>0</v>
      </c>
      <c r="AR1063">
        <v>0</v>
      </c>
      <c r="AS1063">
        <v>0</v>
      </c>
      <c r="AT1063">
        <f t="shared" si="50"/>
        <v>15</v>
      </c>
      <c r="AU1063">
        <f t="shared" si="48"/>
        <v>0</v>
      </c>
      <c r="AV1063">
        <f t="shared" si="49"/>
        <v>739.5</v>
      </c>
      <c r="AX1063">
        <v>440</v>
      </c>
      <c r="AY1063">
        <v>701</v>
      </c>
      <c r="AZ1063">
        <v>34</v>
      </c>
      <c r="BC1063" t="s">
        <v>70</v>
      </c>
    </row>
    <row r="1064" spans="3:55" x14ac:dyDescent="0.45">
      <c r="C1064">
        <v>94.129000000000005</v>
      </c>
      <c r="D1064">
        <v>5.73</v>
      </c>
      <c r="E1064">
        <v>0</v>
      </c>
      <c r="F1064">
        <v>0</v>
      </c>
      <c r="G1064">
        <v>0</v>
      </c>
      <c r="H1064">
        <v>0</v>
      </c>
      <c r="I1064">
        <v>0</v>
      </c>
      <c r="J1064">
        <v>0</v>
      </c>
      <c r="K1064">
        <v>0</v>
      </c>
      <c r="L1064">
        <v>0</v>
      </c>
      <c r="M1064">
        <v>0</v>
      </c>
      <c r="N1064">
        <v>0</v>
      </c>
      <c r="O1064">
        <v>0</v>
      </c>
      <c r="P1064">
        <v>0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1</v>
      </c>
      <c r="W1064">
        <v>0</v>
      </c>
      <c r="X1064">
        <v>0</v>
      </c>
      <c r="Y1064">
        <v>0</v>
      </c>
      <c r="Z1064">
        <v>0</v>
      </c>
      <c r="AA1064">
        <v>1</v>
      </c>
      <c r="AB1064">
        <v>0</v>
      </c>
      <c r="AC1064">
        <v>830</v>
      </c>
      <c r="AD1064">
        <v>2</v>
      </c>
      <c r="AE1064">
        <v>0</v>
      </c>
      <c r="AF1064">
        <v>1</v>
      </c>
      <c r="AG1064">
        <v>0</v>
      </c>
      <c r="AH1064">
        <v>0</v>
      </c>
      <c r="AI1064">
        <v>0</v>
      </c>
      <c r="AJ1064">
        <v>0</v>
      </c>
      <c r="AK1064">
        <v>0</v>
      </c>
      <c r="AL1064">
        <v>0</v>
      </c>
      <c r="AM1064">
        <v>0</v>
      </c>
      <c r="AN1064">
        <v>0</v>
      </c>
      <c r="AO1064">
        <v>0</v>
      </c>
      <c r="AP1064">
        <v>0</v>
      </c>
      <c r="AQ1064">
        <v>0</v>
      </c>
      <c r="AR1064">
        <v>0</v>
      </c>
      <c r="AS1064">
        <v>0</v>
      </c>
      <c r="AT1064">
        <f t="shared" si="50"/>
        <v>-5.73</v>
      </c>
      <c r="AU1064">
        <f t="shared" si="48"/>
        <v>5.73</v>
      </c>
      <c r="AV1064">
        <f t="shared" si="49"/>
        <v>894.03300000000002</v>
      </c>
      <c r="BC1064" t="s">
        <v>78</v>
      </c>
    </row>
    <row r="1065" spans="3:55" x14ac:dyDescent="0.45">
      <c r="C1065">
        <v>93.977000000000004</v>
      </c>
      <c r="D1065">
        <v>5.96</v>
      </c>
      <c r="E1065">
        <v>0</v>
      </c>
      <c r="F1065">
        <v>0</v>
      </c>
      <c r="G1065">
        <v>0</v>
      </c>
      <c r="H1065">
        <v>0</v>
      </c>
      <c r="I1065">
        <v>0</v>
      </c>
      <c r="J1065">
        <v>0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1</v>
      </c>
      <c r="W1065">
        <v>1150</v>
      </c>
      <c r="X1065">
        <v>70</v>
      </c>
      <c r="Y1065">
        <v>0</v>
      </c>
      <c r="Z1065">
        <v>0</v>
      </c>
      <c r="AA1065">
        <v>1</v>
      </c>
      <c r="AB1065">
        <v>0</v>
      </c>
      <c r="AC1065">
        <v>1000</v>
      </c>
      <c r="AD1065">
        <v>1</v>
      </c>
      <c r="AE1065">
        <v>0</v>
      </c>
      <c r="AF1065">
        <v>1</v>
      </c>
      <c r="AG1065">
        <v>0</v>
      </c>
      <c r="AH1065">
        <v>0</v>
      </c>
      <c r="AI1065">
        <v>0</v>
      </c>
      <c r="AJ1065">
        <v>0</v>
      </c>
      <c r="AK1065">
        <v>0</v>
      </c>
      <c r="AL1065">
        <v>0</v>
      </c>
      <c r="AM1065">
        <v>0</v>
      </c>
      <c r="AN1065">
        <v>0</v>
      </c>
      <c r="AO1065">
        <v>0</v>
      </c>
      <c r="AP1065">
        <v>0</v>
      </c>
      <c r="AQ1065">
        <v>0</v>
      </c>
      <c r="AR1065">
        <v>0</v>
      </c>
      <c r="AS1065">
        <v>0</v>
      </c>
      <c r="AT1065">
        <f t="shared" si="50"/>
        <v>-5.96</v>
      </c>
      <c r="AU1065">
        <f t="shared" si="48"/>
        <v>5.96</v>
      </c>
      <c r="AV1065">
        <f t="shared" si="49"/>
        <v>894.51599999999996</v>
      </c>
      <c r="AY1065">
        <v>684</v>
      </c>
      <c r="AZ1065">
        <v>19.5</v>
      </c>
      <c r="BC1065" t="s">
        <v>50</v>
      </c>
    </row>
    <row r="1066" spans="3:55" x14ac:dyDescent="0.45">
      <c r="C1066">
        <v>51.8</v>
      </c>
      <c r="D1066">
        <v>0</v>
      </c>
      <c r="E1066">
        <v>0</v>
      </c>
      <c r="F1066">
        <v>0</v>
      </c>
      <c r="G1066">
        <v>0</v>
      </c>
      <c r="H1066">
        <v>0</v>
      </c>
      <c r="I1066">
        <v>0</v>
      </c>
      <c r="J1066">
        <v>7.1</v>
      </c>
      <c r="K1066">
        <v>41.1</v>
      </c>
      <c r="L1066">
        <v>0</v>
      </c>
      <c r="M1066">
        <v>0</v>
      </c>
      <c r="N1066">
        <v>0</v>
      </c>
      <c r="O1066">
        <v>0</v>
      </c>
      <c r="P1066">
        <v>0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1</v>
      </c>
      <c r="W1066">
        <v>20</v>
      </c>
      <c r="X1066">
        <v>89</v>
      </c>
      <c r="Y1066">
        <v>0</v>
      </c>
      <c r="Z1066">
        <v>0</v>
      </c>
      <c r="AA1066">
        <v>1</v>
      </c>
      <c r="AB1066">
        <v>0</v>
      </c>
      <c r="AC1066">
        <v>1000</v>
      </c>
      <c r="AD1066">
        <v>2</v>
      </c>
      <c r="AE1066">
        <v>1</v>
      </c>
      <c r="AF1066">
        <v>0</v>
      </c>
      <c r="AG1066">
        <v>0</v>
      </c>
      <c r="AH1066">
        <v>1000</v>
      </c>
      <c r="AI1066">
        <v>2</v>
      </c>
      <c r="AJ1066">
        <v>1</v>
      </c>
      <c r="AK1066">
        <v>0</v>
      </c>
      <c r="AL1066">
        <v>0</v>
      </c>
      <c r="AM1066">
        <v>0</v>
      </c>
      <c r="AN1066">
        <v>0</v>
      </c>
      <c r="AO1066">
        <v>0</v>
      </c>
      <c r="AP1066">
        <v>0</v>
      </c>
      <c r="AQ1066">
        <v>0</v>
      </c>
      <c r="AR1066">
        <v>0</v>
      </c>
      <c r="AS1066">
        <v>0</v>
      </c>
      <c r="AT1066">
        <f t="shared" si="50"/>
        <v>11.508000000000001</v>
      </c>
      <c r="AU1066">
        <f t="shared" si="48"/>
        <v>1.1833333333333333</v>
      </c>
      <c r="AV1066">
        <f t="shared" si="49"/>
        <v>833.01</v>
      </c>
      <c r="AY1066">
        <v>490</v>
      </c>
      <c r="AZ1066">
        <v>16</v>
      </c>
      <c r="BB1066" t="s">
        <v>335</v>
      </c>
      <c r="BC1066" t="s">
        <v>84</v>
      </c>
    </row>
    <row r="1067" spans="3:55" x14ac:dyDescent="0.45">
      <c r="C1067">
        <v>75</v>
      </c>
      <c r="D1067">
        <v>0</v>
      </c>
      <c r="E1067">
        <v>0</v>
      </c>
      <c r="F1067">
        <v>0</v>
      </c>
      <c r="G1067">
        <v>0</v>
      </c>
      <c r="H1067">
        <v>0</v>
      </c>
      <c r="I1067">
        <v>0</v>
      </c>
      <c r="J1067">
        <v>0</v>
      </c>
      <c r="K1067">
        <v>13</v>
      </c>
      <c r="L1067">
        <v>12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0</v>
      </c>
      <c r="S1067">
        <v>0</v>
      </c>
      <c r="T1067">
        <v>0</v>
      </c>
      <c r="U1067">
        <v>0</v>
      </c>
      <c r="V1067">
        <v>1</v>
      </c>
      <c r="W1067">
        <v>900</v>
      </c>
      <c r="X1067">
        <v>80</v>
      </c>
      <c r="Y1067">
        <v>0</v>
      </c>
      <c r="Z1067">
        <v>0</v>
      </c>
      <c r="AA1067">
        <v>1</v>
      </c>
      <c r="AB1067">
        <v>0</v>
      </c>
      <c r="AC1067">
        <v>1000</v>
      </c>
      <c r="AD1067">
        <v>24</v>
      </c>
      <c r="AE1067">
        <v>1</v>
      </c>
      <c r="AF1067">
        <v>0</v>
      </c>
      <c r="AG1067">
        <v>0</v>
      </c>
      <c r="AH1067">
        <v>500</v>
      </c>
      <c r="AI1067">
        <v>24</v>
      </c>
      <c r="AJ1067">
        <v>1</v>
      </c>
      <c r="AK1067">
        <v>0</v>
      </c>
      <c r="AL1067">
        <v>0</v>
      </c>
      <c r="AM1067">
        <v>0</v>
      </c>
      <c r="AN1067">
        <v>0</v>
      </c>
      <c r="AO1067">
        <v>0</v>
      </c>
      <c r="AP1067">
        <v>0</v>
      </c>
      <c r="AQ1067">
        <v>0</v>
      </c>
      <c r="AR1067">
        <v>0</v>
      </c>
      <c r="AS1067">
        <v>0</v>
      </c>
      <c r="AT1067">
        <f t="shared" si="50"/>
        <v>15.64</v>
      </c>
      <c r="AU1067">
        <f t="shared" ref="AU1067:AU1130" si="51">D1067+J1067/6+M1067/3+(T1067+S1067)/10</f>
        <v>0</v>
      </c>
      <c r="AV1067">
        <f t="shared" si="49"/>
        <v>768</v>
      </c>
      <c r="AY1067">
        <v>1111</v>
      </c>
      <c r="AZ1067">
        <v>6.3</v>
      </c>
      <c r="BC1067" t="s">
        <v>113</v>
      </c>
    </row>
    <row r="1068" spans="3:55" x14ac:dyDescent="0.45">
      <c r="C1068">
        <v>80</v>
      </c>
      <c r="D1068">
        <v>0</v>
      </c>
      <c r="E1068">
        <v>0</v>
      </c>
      <c r="F1068">
        <v>0</v>
      </c>
      <c r="G1068">
        <v>0</v>
      </c>
      <c r="H1068">
        <v>0</v>
      </c>
      <c r="I1068">
        <v>0</v>
      </c>
      <c r="J1068">
        <v>0</v>
      </c>
      <c r="K1068">
        <v>8</v>
      </c>
      <c r="L1068">
        <v>12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0</v>
      </c>
      <c r="S1068">
        <v>0</v>
      </c>
      <c r="T1068">
        <v>0</v>
      </c>
      <c r="U1068">
        <v>0</v>
      </c>
      <c r="V1068">
        <v>1</v>
      </c>
      <c r="W1068">
        <v>780</v>
      </c>
      <c r="X1068">
        <v>80</v>
      </c>
      <c r="Y1068">
        <v>0</v>
      </c>
      <c r="Z1068">
        <v>0</v>
      </c>
      <c r="AA1068">
        <v>1</v>
      </c>
      <c r="AB1068">
        <v>0</v>
      </c>
      <c r="AC1068">
        <v>950</v>
      </c>
      <c r="AD1068">
        <v>1</v>
      </c>
      <c r="AE1068">
        <v>1</v>
      </c>
      <c r="AF1068">
        <v>0</v>
      </c>
      <c r="AG1068">
        <v>0</v>
      </c>
      <c r="AH1068">
        <v>0</v>
      </c>
      <c r="AI1068">
        <v>0</v>
      </c>
      <c r="AJ1068">
        <v>0</v>
      </c>
      <c r="AK1068">
        <v>0</v>
      </c>
      <c r="AL1068">
        <v>0</v>
      </c>
      <c r="AM1068">
        <v>0</v>
      </c>
      <c r="AN1068">
        <v>0</v>
      </c>
      <c r="AO1068">
        <v>0</v>
      </c>
      <c r="AP1068">
        <v>0</v>
      </c>
      <c r="AQ1068">
        <v>0</v>
      </c>
      <c r="AR1068">
        <v>0</v>
      </c>
      <c r="AS1068">
        <v>0</v>
      </c>
      <c r="AT1068">
        <f t="shared" si="50"/>
        <v>14.24</v>
      </c>
      <c r="AU1068">
        <f t="shared" si="51"/>
        <v>0</v>
      </c>
      <c r="AV1068">
        <f t="shared" si="49"/>
        <v>768</v>
      </c>
      <c r="AY1068">
        <v>716</v>
      </c>
      <c r="AZ1068">
        <v>33</v>
      </c>
      <c r="BC1068" t="s">
        <v>94</v>
      </c>
    </row>
    <row r="1069" spans="3:55" x14ac:dyDescent="0.45">
      <c r="C1069">
        <v>90.924999999999997</v>
      </c>
      <c r="D1069">
        <v>5.91</v>
      </c>
      <c r="E1069">
        <v>0</v>
      </c>
      <c r="F1069">
        <v>0</v>
      </c>
      <c r="G1069">
        <v>0</v>
      </c>
      <c r="H1069">
        <v>0</v>
      </c>
      <c r="I1069">
        <v>0</v>
      </c>
      <c r="J1069">
        <v>0</v>
      </c>
      <c r="K1069">
        <v>3.03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0</v>
      </c>
      <c r="S1069">
        <v>0</v>
      </c>
      <c r="T1069">
        <v>0</v>
      </c>
      <c r="U1069">
        <v>0</v>
      </c>
      <c r="V1069">
        <v>1</v>
      </c>
      <c r="W1069">
        <v>0</v>
      </c>
      <c r="X1069">
        <v>0</v>
      </c>
      <c r="Y1069">
        <v>0</v>
      </c>
      <c r="Z1069">
        <v>0</v>
      </c>
      <c r="AA1069">
        <v>1</v>
      </c>
      <c r="AB1069">
        <v>0</v>
      </c>
      <c r="AC1069">
        <v>830</v>
      </c>
      <c r="AD1069">
        <v>2</v>
      </c>
      <c r="AE1069">
        <v>0</v>
      </c>
      <c r="AF1069">
        <v>1</v>
      </c>
      <c r="AG1069">
        <v>0</v>
      </c>
      <c r="AH1069">
        <v>0</v>
      </c>
      <c r="AI1069">
        <v>0</v>
      </c>
      <c r="AJ1069">
        <v>0</v>
      </c>
      <c r="AK1069">
        <v>0</v>
      </c>
      <c r="AL1069">
        <v>0</v>
      </c>
      <c r="AM1069">
        <v>0</v>
      </c>
      <c r="AN1069">
        <v>0</v>
      </c>
      <c r="AO1069">
        <v>0</v>
      </c>
      <c r="AP1069">
        <v>0</v>
      </c>
      <c r="AQ1069">
        <v>0</v>
      </c>
      <c r="AR1069">
        <v>0</v>
      </c>
      <c r="AS1069">
        <v>0</v>
      </c>
      <c r="AT1069">
        <f t="shared" si="50"/>
        <v>-5.0616000000000003</v>
      </c>
      <c r="AU1069">
        <f t="shared" si="51"/>
        <v>5.91</v>
      </c>
      <c r="AV1069">
        <f t="shared" si="49"/>
        <v>894.41100000000006</v>
      </c>
      <c r="BC1069" t="s">
        <v>78</v>
      </c>
    </row>
    <row r="1070" spans="3:55" x14ac:dyDescent="0.45">
      <c r="C1070">
        <v>92.155000000000001</v>
      </c>
      <c r="D1070">
        <v>5.73</v>
      </c>
      <c r="E1070">
        <v>0</v>
      </c>
      <c r="F1070">
        <v>0</v>
      </c>
      <c r="G1070">
        <v>0</v>
      </c>
      <c r="H1070">
        <v>0</v>
      </c>
      <c r="I1070">
        <v>0</v>
      </c>
      <c r="J1070">
        <v>0</v>
      </c>
      <c r="K1070">
        <v>0</v>
      </c>
      <c r="L1070">
        <v>2</v>
      </c>
      <c r="M1070">
        <v>0</v>
      </c>
      <c r="N1070">
        <v>0</v>
      </c>
      <c r="O1070">
        <v>0</v>
      </c>
      <c r="P1070">
        <v>0</v>
      </c>
      <c r="Q1070">
        <v>0</v>
      </c>
      <c r="R1070">
        <v>0</v>
      </c>
      <c r="S1070">
        <v>0</v>
      </c>
      <c r="T1070">
        <v>0</v>
      </c>
      <c r="U1070">
        <v>0</v>
      </c>
      <c r="V1070">
        <v>1</v>
      </c>
      <c r="W1070">
        <v>0</v>
      </c>
      <c r="X1070">
        <v>0</v>
      </c>
      <c r="Y1070">
        <v>0</v>
      </c>
      <c r="Z1070">
        <v>0</v>
      </c>
      <c r="AA1070">
        <v>1</v>
      </c>
      <c r="AB1070">
        <v>0</v>
      </c>
      <c r="AC1070">
        <v>830</v>
      </c>
      <c r="AD1070">
        <v>2</v>
      </c>
      <c r="AE1070">
        <v>0</v>
      </c>
      <c r="AF1070">
        <v>1</v>
      </c>
      <c r="AG1070">
        <v>0</v>
      </c>
      <c r="AH1070">
        <v>0</v>
      </c>
      <c r="AI1070">
        <v>0</v>
      </c>
      <c r="AJ1070">
        <v>0</v>
      </c>
      <c r="AK1070">
        <v>0</v>
      </c>
      <c r="AL1070">
        <v>0</v>
      </c>
      <c r="AM1070">
        <v>0</v>
      </c>
      <c r="AN1070">
        <v>0</v>
      </c>
      <c r="AO1070">
        <v>0</v>
      </c>
      <c r="AP1070">
        <v>0</v>
      </c>
      <c r="AQ1070">
        <v>0</v>
      </c>
      <c r="AR1070">
        <v>0</v>
      </c>
      <c r="AS1070">
        <v>0</v>
      </c>
      <c r="AT1070">
        <f t="shared" si="50"/>
        <v>-3.7300000000000004</v>
      </c>
      <c r="AU1070">
        <f t="shared" si="51"/>
        <v>5.73</v>
      </c>
      <c r="AV1070">
        <f t="shared" si="49"/>
        <v>875.03300000000002</v>
      </c>
      <c r="BC1070" t="s">
        <v>78</v>
      </c>
    </row>
    <row r="1071" spans="3:55" x14ac:dyDescent="0.45">
      <c r="C1071">
        <v>84</v>
      </c>
      <c r="D1071">
        <v>0</v>
      </c>
      <c r="E1071">
        <v>0</v>
      </c>
      <c r="F1071">
        <v>0</v>
      </c>
      <c r="G1071">
        <v>0</v>
      </c>
      <c r="H1071">
        <v>1</v>
      </c>
      <c r="I1071">
        <v>0</v>
      </c>
      <c r="J1071">
        <v>0</v>
      </c>
      <c r="K1071">
        <v>0</v>
      </c>
      <c r="L1071">
        <v>15</v>
      </c>
      <c r="M1071">
        <v>0</v>
      </c>
      <c r="N1071">
        <v>0</v>
      </c>
      <c r="O1071">
        <v>0</v>
      </c>
      <c r="P1071">
        <v>0</v>
      </c>
      <c r="Q1071">
        <v>0</v>
      </c>
      <c r="R1071">
        <v>0</v>
      </c>
      <c r="S1071">
        <v>0</v>
      </c>
      <c r="T1071">
        <v>0</v>
      </c>
      <c r="U1071">
        <v>0</v>
      </c>
      <c r="V1071">
        <v>1</v>
      </c>
      <c r="W1071">
        <v>0</v>
      </c>
      <c r="X1071">
        <v>0</v>
      </c>
      <c r="Y1071">
        <v>0</v>
      </c>
      <c r="Z1071">
        <v>0</v>
      </c>
      <c r="AA1071">
        <v>1</v>
      </c>
      <c r="AB1071">
        <v>0</v>
      </c>
      <c r="AC1071">
        <v>900</v>
      </c>
      <c r="AD1071">
        <v>1</v>
      </c>
      <c r="AE1071">
        <v>0</v>
      </c>
      <c r="AF1071">
        <v>0</v>
      </c>
      <c r="AG1071">
        <v>0</v>
      </c>
      <c r="AH1071">
        <v>0</v>
      </c>
      <c r="AI1071">
        <v>0</v>
      </c>
      <c r="AJ1071">
        <v>0</v>
      </c>
      <c r="AK1071">
        <v>0</v>
      </c>
      <c r="AL1071">
        <v>0</v>
      </c>
      <c r="AM1071">
        <v>0</v>
      </c>
      <c r="AN1071">
        <v>0</v>
      </c>
      <c r="AO1071">
        <v>0</v>
      </c>
      <c r="AP1071">
        <v>0</v>
      </c>
      <c r="AQ1071">
        <v>0</v>
      </c>
      <c r="AR1071">
        <v>0</v>
      </c>
      <c r="AS1071">
        <v>0</v>
      </c>
      <c r="AT1071">
        <f t="shared" si="50"/>
        <v>17.899999999999999</v>
      </c>
      <c r="AU1071">
        <f t="shared" si="51"/>
        <v>0</v>
      </c>
      <c r="AV1071">
        <f t="shared" si="49"/>
        <v>724.1</v>
      </c>
      <c r="AX1071">
        <v>845</v>
      </c>
      <c r="BC1071" t="s">
        <v>70</v>
      </c>
    </row>
    <row r="1072" spans="3:55" x14ac:dyDescent="0.45">
      <c r="C1072">
        <v>52.5</v>
      </c>
      <c r="D1072">
        <v>0</v>
      </c>
      <c r="E1072">
        <v>0</v>
      </c>
      <c r="F1072">
        <v>0</v>
      </c>
      <c r="G1072">
        <v>0</v>
      </c>
      <c r="H1072">
        <v>0</v>
      </c>
      <c r="I1072">
        <v>0</v>
      </c>
      <c r="J1072">
        <v>7.1</v>
      </c>
      <c r="K1072">
        <v>35.299999999999997</v>
      </c>
      <c r="L1072">
        <v>0</v>
      </c>
      <c r="M1072">
        <v>0</v>
      </c>
      <c r="N1072">
        <v>0</v>
      </c>
      <c r="O1072">
        <v>5.0999999999999996</v>
      </c>
      <c r="P1072">
        <v>0</v>
      </c>
      <c r="Q1072">
        <v>0</v>
      </c>
      <c r="R1072">
        <v>0</v>
      </c>
      <c r="S1072">
        <v>0</v>
      </c>
      <c r="T1072">
        <v>0</v>
      </c>
      <c r="U1072">
        <v>0</v>
      </c>
      <c r="V1072">
        <v>1</v>
      </c>
      <c r="W1072">
        <v>20</v>
      </c>
      <c r="X1072">
        <v>89</v>
      </c>
      <c r="Y1072">
        <v>0</v>
      </c>
      <c r="Z1072">
        <v>0</v>
      </c>
      <c r="AA1072">
        <v>1</v>
      </c>
      <c r="AB1072">
        <v>0</v>
      </c>
      <c r="AC1072">
        <v>1000</v>
      </c>
      <c r="AD1072">
        <v>2</v>
      </c>
      <c r="AE1072">
        <v>1</v>
      </c>
      <c r="AF1072">
        <v>0</v>
      </c>
      <c r="AG1072">
        <v>0</v>
      </c>
      <c r="AH1072">
        <v>1000</v>
      </c>
      <c r="AI1072">
        <v>2</v>
      </c>
      <c r="AJ1072">
        <v>1</v>
      </c>
      <c r="AK1072">
        <v>0</v>
      </c>
      <c r="AL1072">
        <v>0</v>
      </c>
      <c r="AM1072">
        <v>0</v>
      </c>
      <c r="AN1072">
        <v>0</v>
      </c>
      <c r="AO1072">
        <v>0</v>
      </c>
      <c r="AP1072">
        <v>0</v>
      </c>
      <c r="AQ1072">
        <v>0</v>
      </c>
      <c r="AR1072">
        <v>0</v>
      </c>
      <c r="AS1072">
        <v>0</v>
      </c>
      <c r="AT1072">
        <f t="shared" si="50"/>
        <v>11.006</v>
      </c>
      <c r="AU1072">
        <f t="shared" si="51"/>
        <v>1.1833333333333333</v>
      </c>
      <c r="AV1072">
        <f t="shared" si="49"/>
        <v>833.01</v>
      </c>
      <c r="AY1072">
        <v>550</v>
      </c>
      <c r="AZ1072">
        <v>21</v>
      </c>
      <c r="BC1072" t="s">
        <v>84</v>
      </c>
    </row>
    <row r="1073" spans="3:55" x14ac:dyDescent="0.45">
      <c r="C1073">
        <v>89.566900000000004</v>
      </c>
      <c r="D1073">
        <v>6.12</v>
      </c>
      <c r="E1073">
        <v>4.0999999999999996</v>
      </c>
      <c r="F1073">
        <v>0</v>
      </c>
      <c r="G1073">
        <v>0</v>
      </c>
      <c r="H1073">
        <v>0.06</v>
      </c>
      <c r="I1073">
        <v>0</v>
      </c>
      <c r="J1073">
        <v>0</v>
      </c>
      <c r="K1073">
        <v>0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0</v>
      </c>
      <c r="S1073">
        <v>0</v>
      </c>
      <c r="T1073">
        <v>0</v>
      </c>
      <c r="U1073">
        <v>0</v>
      </c>
      <c r="V1073">
        <v>1</v>
      </c>
      <c r="W1073">
        <v>930</v>
      </c>
      <c r="X1073">
        <v>20</v>
      </c>
      <c r="Y1073">
        <v>0</v>
      </c>
      <c r="Z1073">
        <v>0</v>
      </c>
      <c r="AA1073">
        <v>1</v>
      </c>
      <c r="AB1073">
        <v>0</v>
      </c>
      <c r="AC1073">
        <v>600</v>
      </c>
      <c r="AD1073">
        <v>1</v>
      </c>
      <c r="AE1073">
        <v>0</v>
      </c>
      <c r="AF1073">
        <v>0</v>
      </c>
      <c r="AG1073">
        <v>1</v>
      </c>
      <c r="AH1073">
        <v>0</v>
      </c>
      <c r="AI1073">
        <v>0</v>
      </c>
      <c r="AJ1073">
        <v>0</v>
      </c>
      <c r="AK1073">
        <v>0</v>
      </c>
      <c r="AL1073">
        <v>0</v>
      </c>
      <c r="AM1073">
        <v>0</v>
      </c>
      <c r="AN1073">
        <v>0</v>
      </c>
      <c r="AO1073">
        <v>0</v>
      </c>
      <c r="AP1073">
        <v>0</v>
      </c>
      <c r="AQ1073">
        <v>0</v>
      </c>
      <c r="AR1073">
        <v>0</v>
      </c>
      <c r="AS1073">
        <v>0</v>
      </c>
      <c r="AT1073">
        <f t="shared" si="50"/>
        <v>-3.1990000000000003</v>
      </c>
      <c r="AU1073">
        <f t="shared" si="51"/>
        <v>6.12</v>
      </c>
      <c r="AV1073">
        <f t="shared" si="49"/>
        <v>845.548</v>
      </c>
      <c r="BC1073" t="s">
        <v>126</v>
      </c>
    </row>
    <row r="1074" spans="3:55" x14ac:dyDescent="0.45">
      <c r="C1074">
        <v>89.566900000000004</v>
      </c>
      <c r="D1074">
        <v>6.12</v>
      </c>
      <c r="E1074">
        <v>4.0999999999999996</v>
      </c>
      <c r="F1074">
        <v>0</v>
      </c>
      <c r="G1074">
        <v>0</v>
      </c>
      <c r="H1074">
        <v>0.06</v>
      </c>
      <c r="I1074">
        <v>0</v>
      </c>
      <c r="J1074">
        <v>0</v>
      </c>
      <c r="K1074">
        <v>0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0</v>
      </c>
      <c r="R1074">
        <v>0</v>
      </c>
      <c r="S1074">
        <v>0</v>
      </c>
      <c r="T1074">
        <v>0</v>
      </c>
      <c r="U1074">
        <v>0</v>
      </c>
      <c r="V1074">
        <v>1</v>
      </c>
      <c r="W1074">
        <v>950</v>
      </c>
      <c r="X1074">
        <v>20</v>
      </c>
      <c r="Y1074">
        <v>0</v>
      </c>
      <c r="Z1074">
        <v>0</v>
      </c>
      <c r="AA1074">
        <v>1</v>
      </c>
      <c r="AB1074">
        <v>0</v>
      </c>
      <c r="AC1074">
        <v>700</v>
      </c>
      <c r="AD1074">
        <v>1</v>
      </c>
      <c r="AE1074">
        <v>0</v>
      </c>
      <c r="AF1074">
        <v>0</v>
      </c>
      <c r="AG1074">
        <v>1</v>
      </c>
      <c r="AH1074">
        <v>0</v>
      </c>
      <c r="AI1074">
        <v>0</v>
      </c>
      <c r="AJ1074">
        <v>0</v>
      </c>
      <c r="AK1074">
        <v>0</v>
      </c>
      <c r="AL1074">
        <v>0</v>
      </c>
      <c r="AM1074">
        <v>0</v>
      </c>
      <c r="AN1074">
        <v>0</v>
      </c>
      <c r="AO1074">
        <v>0</v>
      </c>
      <c r="AP1074">
        <v>0</v>
      </c>
      <c r="AQ1074">
        <v>0</v>
      </c>
      <c r="AR1074">
        <v>0</v>
      </c>
      <c r="AS1074">
        <v>0</v>
      </c>
      <c r="AT1074">
        <f t="shared" si="50"/>
        <v>-3.1990000000000003</v>
      </c>
      <c r="AU1074">
        <f t="shared" si="51"/>
        <v>6.12</v>
      </c>
      <c r="AV1074">
        <f t="shared" si="49"/>
        <v>845.548</v>
      </c>
      <c r="BC1074" t="s">
        <v>126</v>
      </c>
    </row>
    <row r="1075" spans="3:55" x14ac:dyDescent="0.45">
      <c r="C1075">
        <v>89.566900000000004</v>
      </c>
      <c r="D1075">
        <v>6.12</v>
      </c>
      <c r="E1075">
        <v>4.0999999999999996</v>
      </c>
      <c r="F1075">
        <v>0</v>
      </c>
      <c r="G1075">
        <v>0</v>
      </c>
      <c r="H1075">
        <v>0.06</v>
      </c>
      <c r="I1075">
        <v>0</v>
      </c>
      <c r="J1075">
        <v>0</v>
      </c>
      <c r="K1075">
        <v>0</v>
      </c>
      <c r="L1075">
        <v>0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0</v>
      </c>
      <c r="S1075">
        <v>0</v>
      </c>
      <c r="T1075">
        <v>0</v>
      </c>
      <c r="U1075">
        <v>0</v>
      </c>
      <c r="V1075">
        <v>1</v>
      </c>
      <c r="W1075">
        <v>970</v>
      </c>
      <c r="X1075">
        <v>20</v>
      </c>
      <c r="Y1075">
        <v>0</v>
      </c>
      <c r="Z1075">
        <v>0</v>
      </c>
      <c r="AA1075">
        <v>1</v>
      </c>
      <c r="AB1075">
        <v>0</v>
      </c>
      <c r="AC1075">
        <v>800</v>
      </c>
      <c r="AD1075">
        <v>1</v>
      </c>
      <c r="AE1075">
        <v>0</v>
      </c>
      <c r="AF1075">
        <v>0</v>
      </c>
      <c r="AG1075">
        <v>1</v>
      </c>
      <c r="AH1075">
        <v>0</v>
      </c>
      <c r="AI1075">
        <v>0</v>
      </c>
      <c r="AJ1075">
        <v>0</v>
      </c>
      <c r="AK1075">
        <v>0</v>
      </c>
      <c r="AL1075">
        <v>0</v>
      </c>
      <c r="AM1075">
        <v>0</v>
      </c>
      <c r="AN1075">
        <v>0</v>
      </c>
      <c r="AO1075">
        <v>0</v>
      </c>
      <c r="AP1075">
        <v>0</v>
      </c>
      <c r="AQ1075">
        <v>0</v>
      </c>
      <c r="AR1075">
        <v>0</v>
      </c>
      <c r="AS1075">
        <v>0</v>
      </c>
      <c r="AT1075">
        <f t="shared" si="50"/>
        <v>-3.1990000000000003</v>
      </c>
      <c r="AU1075">
        <f t="shared" si="51"/>
        <v>6.12</v>
      </c>
      <c r="AV1075">
        <f t="shared" si="49"/>
        <v>845.548</v>
      </c>
      <c r="BC1075" t="s">
        <v>126</v>
      </c>
    </row>
    <row r="1076" spans="3:55" x14ac:dyDescent="0.45">
      <c r="C1076">
        <v>89.566900000000004</v>
      </c>
      <c r="D1076">
        <v>6.12</v>
      </c>
      <c r="E1076">
        <v>4.0999999999999996</v>
      </c>
      <c r="F1076">
        <v>0</v>
      </c>
      <c r="G1076">
        <v>0</v>
      </c>
      <c r="H1076">
        <v>0.06</v>
      </c>
      <c r="I1076">
        <v>0</v>
      </c>
      <c r="J1076">
        <v>0</v>
      </c>
      <c r="K1076">
        <v>0</v>
      </c>
      <c r="L1076">
        <v>0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0</v>
      </c>
      <c r="S1076">
        <v>0</v>
      </c>
      <c r="T1076">
        <v>0</v>
      </c>
      <c r="U1076">
        <v>0</v>
      </c>
      <c r="V1076">
        <v>1</v>
      </c>
      <c r="W1076">
        <v>930</v>
      </c>
      <c r="X1076">
        <v>50</v>
      </c>
      <c r="Y1076">
        <v>0</v>
      </c>
      <c r="Z1076">
        <v>0</v>
      </c>
      <c r="AA1076">
        <v>1</v>
      </c>
      <c r="AB1076">
        <v>0</v>
      </c>
      <c r="AC1076">
        <v>600</v>
      </c>
      <c r="AD1076">
        <v>1</v>
      </c>
      <c r="AE1076">
        <v>0</v>
      </c>
      <c r="AF1076">
        <v>0</v>
      </c>
      <c r="AG1076">
        <v>1</v>
      </c>
      <c r="AH1076">
        <v>0</v>
      </c>
      <c r="AI1076">
        <v>0</v>
      </c>
      <c r="AJ1076">
        <v>0</v>
      </c>
      <c r="AK1076">
        <v>0</v>
      </c>
      <c r="AL1076">
        <v>0</v>
      </c>
      <c r="AM1076">
        <v>0</v>
      </c>
      <c r="AN1076">
        <v>0</v>
      </c>
      <c r="AO1076">
        <v>0</v>
      </c>
      <c r="AP1076">
        <v>0</v>
      </c>
      <c r="AQ1076">
        <v>0</v>
      </c>
      <c r="AR1076">
        <v>0</v>
      </c>
      <c r="AS1076">
        <v>0</v>
      </c>
      <c r="AT1076">
        <f t="shared" si="50"/>
        <v>-3.1990000000000003</v>
      </c>
      <c r="AU1076">
        <f t="shared" si="51"/>
        <v>6.12</v>
      </c>
      <c r="AV1076">
        <f t="shared" si="49"/>
        <v>845.548</v>
      </c>
      <c r="BC1076" t="s">
        <v>126</v>
      </c>
    </row>
    <row r="1077" spans="3:55" x14ac:dyDescent="0.45">
      <c r="C1077">
        <v>89.566900000000004</v>
      </c>
      <c r="D1077">
        <v>6.12</v>
      </c>
      <c r="E1077">
        <v>4.0999999999999996</v>
      </c>
      <c r="F1077">
        <v>0</v>
      </c>
      <c r="G1077">
        <v>0</v>
      </c>
      <c r="H1077">
        <v>0.06</v>
      </c>
      <c r="I1077">
        <v>0</v>
      </c>
      <c r="J1077">
        <v>0</v>
      </c>
      <c r="K1077">
        <v>0</v>
      </c>
      <c r="L1077">
        <v>0</v>
      </c>
      <c r="M1077">
        <v>0</v>
      </c>
      <c r="N1077">
        <v>0</v>
      </c>
      <c r="O1077">
        <v>0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1</v>
      </c>
      <c r="W1077">
        <v>950</v>
      </c>
      <c r="X1077">
        <v>50</v>
      </c>
      <c r="Y1077">
        <v>0</v>
      </c>
      <c r="Z1077">
        <v>0</v>
      </c>
      <c r="AA1077">
        <v>1</v>
      </c>
      <c r="AB1077">
        <v>0</v>
      </c>
      <c r="AC1077">
        <v>700</v>
      </c>
      <c r="AD1077">
        <v>1</v>
      </c>
      <c r="AE1077">
        <v>0</v>
      </c>
      <c r="AF1077">
        <v>0</v>
      </c>
      <c r="AG1077">
        <v>1</v>
      </c>
      <c r="AH1077">
        <v>0</v>
      </c>
      <c r="AI1077">
        <v>0</v>
      </c>
      <c r="AJ1077">
        <v>0</v>
      </c>
      <c r="AK1077">
        <v>0</v>
      </c>
      <c r="AL1077">
        <v>0</v>
      </c>
      <c r="AM1077">
        <v>0</v>
      </c>
      <c r="AN1077">
        <v>0</v>
      </c>
      <c r="AO1077">
        <v>0</v>
      </c>
      <c r="AP1077">
        <v>0</v>
      </c>
      <c r="AQ1077">
        <v>0</v>
      </c>
      <c r="AR1077">
        <v>0</v>
      </c>
      <c r="AS1077">
        <v>0</v>
      </c>
      <c r="AT1077">
        <f t="shared" si="50"/>
        <v>-3.1990000000000003</v>
      </c>
      <c r="AU1077">
        <f t="shared" si="51"/>
        <v>6.12</v>
      </c>
      <c r="AV1077">
        <f t="shared" si="49"/>
        <v>845.548</v>
      </c>
      <c r="BC1077" t="s">
        <v>126</v>
      </c>
    </row>
    <row r="1078" spans="3:55" x14ac:dyDescent="0.45">
      <c r="C1078">
        <v>89.566900000000004</v>
      </c>
      <c r="D1078">
        <v>6.12</v>
      </c>
      <c r="E1078">
        <v>4.0999999999999996</v>
      </c>
      <c r="F1078">
        <v>0</v>
      </c>
      <c r="G1078">
        <v>0</v>
      </c>
      <c r="H1078">
        <v>0.06</v>
      </c>
      <c r="I1078">
        <v>0</v>
      </c>
      <c r="J1078">
        <v>0</v>
      </c>
      <c r="K1078">
        <v>0</v>
      </c>
      <c r="L1078">
        <v>0</v>
      </c>
      <c r="M1078">
        <v>0</v>
      </c>
      <c r="N1078">
        <v>0</v>
      </c>
      <c r="O1078">
        <v>0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1</v>
      </c>
      <c r="W1078">
        <v>970</v>
      </c>
      <c r="X1078">
        <v>50</v>
      </c>
      <c r="Y1078">
        <v>0</v>
      </c>
      <c r="Z1078">
        <v>0</v>
      </c>
      <c r="AA1078">
        <v>1</v>
      </c>
      <c r="AB1078">
        <v>0</v>
      </c>
      <c r="AC1078">
        <v>800</v>
      </c>
      <c r="AD1078">
        <v>1</v>
      </c>
      <c r="AE1078">
        <v>0</v>
      </c>
      <c r="AF1078">
        <v>0</v>
      </c>
      <c r="AG1078">
        <v>1</v>
      </c>
      <c r="AH1078">
        <v>0</v>
      </c>
      <c r="AI1078">
        <v>0</v>
      </c>
      <c r="AJ1078">
        <v>0</v>
      </c>
      <c r="AK1078">
        <v>0</v>
      </c>
      <c r="AL1078">
        <v>0</v>
      </c>
      <c r="AM1078">
        <v>0</v>
      </c>
      <c r="AN1078">
        <v>0</v>
      </c>
      <c r="AO1078">
        <v>0</v>
      </c>
      <c r="AP1078">
        <v>0</v>
      </c>
      <c r="AQ1078">
        <v>0</v>
      </c>
      <c r="AR1078">
        <v>0</v>
      </c>
      <c r="AS1078">
        <v>0</v>
      </c>
      <c r="AT1078">
        <f t="shared" si="50"/>
        <v>-3.1990000000000003</v>
      </c>
      <c r="AU1078">
        <f t="shared" si="51"/>
        <v>6.12</v>
      </c>
      <c r="AV1078">
        <f t="shared" si="49"/>
        <v>845.548</v>
      </c>
      <c r="AX1078">
        <v>798</v>
      </c>
      <c r="AY1078">
        <v>900</v>
      </c>
      <c r="AZ1078">
        <v>15.8</v>
      </c>
      <c r="BC1078" t="s">
        <v>126</v>
      </c>
    </row>
    <row r="1079" spans="3:55" x14ac:dyDescent="0.45">
      <c r="C1079">
        <v>89.566900000000004</v>
      </c>
      <c r="D1079">
        <v>6.12</v>
      </c>
      <c r="E1079">
        <v>4.0999999999999996</v>
      </c>
      <c r="F1079">
        <v>0</v>
      </c>
      <c r="G1079">
        <v>0</v>
      </c>
      <c r="H1079">
        <v>0.06</v>
      </c>
      <c r="I1079">
        <v>0</v>
      </c>
      <c r="J1079">
        <v>0</v>
      </c>
      <c r="K1079">
        <v>0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1</v>
      </c>
      <c r="W1079">
        <v>950</v>
      </c>
      <c r="X1079">
        <v>80</v>
      </c>
      <c r="Y1079">
        <v>0</v>
      </c>
      <c r="Z1079">
        <v>0</v>
      </c>
      <c r="AA1079">
        <v>1</v>
      </c>
      <c r="AB1079">
        <v>0</v>
      </c>
      <c r="AC1079">
        <v>600</v>
      </c>
      <c r="AD1079">
        <v>1</v>
      </c>
      <c r="AE1079">
        <v>0</v>
      </c>
      <c r="AF1079">
        <v>0</v>
      </c>
      <c r="AG1079">
        <v>1</v>
      </c>
      <c r="AH1079">
        <v>0</v>
      </c>
      <c r="AI1079">
        <v>0</v>
      </c>
      <c r="AJ1079">
        <v>0</v>
      </c>
      <c r="AK1079">
        <v>0</v>
      </c>
      <c r="AL1079">
        <v>0</v>
      </c>
      <c r="AM1079">
        <v>0</v>
      </c>
      <c r="AN1079">
        <v>0</v>
      </c>
      <c r="AO1079">
        <v>0</v>
      </c>
      <c r="AP1079">
        <v>0</v>
      </c>
      <c r="AQ1079">
        <v>0</v>
      </c>
      <c r="AR1079">
        <v>0</v>
      </c>
      <c r="AS1079">
        <v>0</v>
      </c>
      <c r="AT1079">
        <f t="shared" si="50"/>
        <v>-3.1990000000000003</v>
      </c>
      <c r="AU1079">
        <f t="shared" si="51"/>
        <v>6.12</v>
      </c>
      <c r="AV1079">
        <f t="shared" si="49"/>
        <v>845.548</v>
      </c>
      <c r="BC1079" t="s">
        <v>126</v>
      </c>
    </row>
    <row r="1080" spans="3:55" x14ac:dyDescent="0.45">
      <c r="C1080">
        <v>89.566900000000004</v>
      </c>
      <c r="D1080">
        <v>6.12</v>
      </c>
      <c r="E1080">
        <v>4.0999999999999996</v>
      </c>
      <c r="F1080">
        <v>0</v>
      </c>
      <c r="G1080">
        <v>0</v>
      </c>
      <c r="H1080">
        <v>0.06</v>
      </c>
      <c r="I1080">
        <v>0</v>
      </c>
      <c r="J1080">
        <v>0</v>
      </c>
      <c r="K1080">
        <v>0</v>
      </c>
      <c r="L1080">
        <v>0</v>
      </c>
      <c r="M1080">
        <v>0</v>
      </c>
      <c r="N1080">
        <v>0</v>
      </c>
      <c r="O1080">
        <v>0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1</v>
      </c>
      <c r="W1080">
        <v>970</v>
      </c>
      <c r="X1080">
        <v>80</v>
      </c>
      <c r="Y1080">
        <v>0</v>
      </c>
      <c r="Z1080">
        <v>0</v>
      </c>
      <c r="AA1080">
        <v>1</v>
      </c>
      <c r="AB1080">
        <v>0</v>
      </c>
      <c r="AC1080">
        <v>700</v>
      </c>
      <c r="AD1080">
        <v>1</v>
      </c>
      <c r="AE1080">
        <v>0</v>
      </c>
      <c r="AF1080">
        <v>0</v>
      </c>
      <c r="AG1080">
        <v>1</v>
      </c>
      <c r="AH1080">
        <v>0</v>
      </c>
      <c r="AI1080">
        <v>0</v>
      </c>
      <c r="AJ1080">
        <v>0</v>
      </c>
      <c r="AK1080">
        <v>0</v>
      </c>
      <c r="AL1080">
        <v>0</v>
      </c>
      <c r="AM1080">
        <v>0</v>
      </c>
      <c r="AN1080">
        <v>0</v>
      </c>
      <c r="AO1080">
        <v>0</v>
      </c>
      <c r="AP1080">
        <v>0</v>
      </c>
      <c r="AQ1080">
        <v>0</v>
      </c>
      <c r="AR1080">
        <v>0</v>
      </c>
      <c r="AS1080">
        <v>0</v>
      </c>
      <c r="AT1080">
        <f t="shared" si="50"/>
        <v>-3.1990000000000003</v>
      </c>
      <c r="AU1080">
        <f t="shared" si="51"/>
        <v>6.12</v>
      </c>
      <c r="AV1080">
        <f t="shared" si="49"/>
        <v>845.548</v>
      </c>
      <c r="BC1080" t="s">
        <v>126</v>
      </c>
    </row>
    <row r="1081" spans="3:55" x14ac:dyDescent="0.45">
      <c r="C1081">
        <v>89.566900000000004</v>
      </c>
      <c r="D1081">
        <v>6.12</v>
      </c>
      <c r="E1081">
        <v>4.0999999999999996</v>
      </c>
      <c r="F1081">
        <v>0</v>
      </c>
      <c r="G1081">
        <v>0</v>
      </c>
      <c r="H1081">
        <v>0.06</v>
      </c>
      <c r="I1081">
        <v>0</v>
      </c>
      <c r="J1081">
        <v>0</v>
      </c>
      <c r="K1081">
        <v>0</v>
      </c>
      <c r="L1081">
        <v>0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1</v>
      </c>
      <c r="W1081">
        <v>930</v>
      </c>
      <c r="X1081">
        <v>80</v>
      </c>
      <c r="Y1081">
        <v>0</v>
      </c>
      <c r="Z1081">
        <v>0</v>
      </c>
      <c r="AA1081">
        <v>1</v>
      </c>
      <c r="AB1081">
        <v>0</v>
      </c>
      <c r="AC1081">
        <v>800</v>
      </c>
      <c r="AD1081">
        <v>1</v>
      </c>
      <c r="AE1081">
        <v>0</v>
      </c>
      <c r="AF1081">
        <v>0</v>
      </c>
      <c r="AG1081">
        <v>1</v>
      </c>
      <c r="AH1081">
        <v>0</v>
      </c>
      <c r="AI1081">
        <v>0</v>
      </c>
      <c r="AJ1081">
        <v>0</v>
      </c>
      <c r="AK1081">
        <v>0</v>
      </c>
      <c r="AL1081">
        <v>0</v>
      </c>
      <c r="AM1081">
        <v>0</v>
      </c>
      <c r="AN1081">
        <v>0</v>
      </c>
      <c r="AO1081">
        <v>0</v>
      </c>
      <c r="AP1081">
        <v>0</v>
      </c>
      <c r="AQ1081">
        <v>0</v>
      </c>
      <c r="AR1081">
        <v>0</v>
      </c>
      <c r="AS1081">
        <v>0</v>
      </c>
      <c r="AT1081">
        <f t="shared" si="50"/>
        <v>-3.1990000000000003</v>
      </c>
      <c r="AU1081">
        <f t="shared" si="51"/>
        <v>6.12</v>
      </c>
      <c r="AV1081">
        <f t="shared" si="49"/>
        <v>845.548</v>
      </c>
      <c r="BC1081" t="s">
        <v>126</v>
      </c>
    </row>
    <row r="1082" spans="3:55" x14ac:dyDescent="0.45">
      <c r="C1082">
        <v>89.566900000000004</v>
      </c>
      <c r="D1082">
        <v>6.12</v>
      </c>
      <c r="E1082">
        <v>4.0999999999999996</v>
      </c>
      <c r="F1082">
        <v>0</v>
      </c>
      <c r="G1082">
        <v>0</v>
      </c>
      <c r="H1082">
        <v>0.06</v>
      </c>
      <c r="I1082">
        <v>0</v>
      </c>
      <c r="J1082">
        <v>0</v>
      </c>
      <c r="K1082">
        <v>0</v>
      </c>
      <c r="L1082">
        <v>0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1</v>
      </c>
      <c r="W1082">
        <v>970</v>
      </c>
      <c r="X1082">
        <v>20</v>
      </c>
      <c r="Y1082">
        <v>0</v>
      </c>
      <c r="Z1082">
        <v>0</v>
      </c>
      <c r="AA1082">
        <v>1</v>
      </c>
      <c r="AB1082">
        <v>0</v>
      </c>
      <c r="AC1082">
        <v>600</v>
      </c>
      <c r="AD1082">
        <v>2</v>
      </c>
      <c r="AE1082">
        <v>0</v>
      </c>
      <c r="AF1082">
        <v>0</v>
      </c>
      <c r="AG1082">
        <v>1</v>
      </c>
      <c r="AH1082">
        <v>0</v>
      </c>
      <c r="AI1082">
        <v>0</v>
      </c>
      <c r="AJ1082">
        <v>0</v>
      </c>
      <c r="AK1082">
        <v>0</v>
      </c>
      <c r="AL1082">
        <v>0</v>
      </c>
      <c r="AM1082">
        <v>0</v>
      </c>
      <c r="AN1082">
        <v>0</v>
      </c>
      <c r="AO1082">
        <v>0</v>
      </c>
      <c r="AP1082">
        <v>0</v>
      </c>
      <c r="AQ1082">
        <v>0</v>
      </c>
      <c r="AR1082">
        <v>0</v>
      </c>
      <c r="AS1082">
        <v>0</v>
      </c>
      <c r="AT1082">
        <f t="shared" si="50"/>
        <v>-3.1990000000000003</v>
      </c>
      <c r="AU1082">
        <f t="shared" si="51"/>
        <v>6.12</v>
      </c>
      <c r="AV1082">
        <f t="shared" si="49"/>
        <v>845.548</v>
      </c>
      <c r="BC1082" t="s">
        <v>126</v>
      </c>
    </row>
    <row r="1083" spans="3:55" x14ac:dyDescent="0.45">
      <c r="C1083">
        <v>89.566900000000004</v>
      </c>
      <c r="D1083">
        <v>6.12</v>
      </c>
      <c r="E1083">
        <v>4.0999999999999996</v>
      </c>
      <c r="F1083">
        <v>0</v>
      </c>
      <c r="G1083">
        <v>0</v>
      </c>
      <c r="H1083">
        <v>0.06</v>
      </c>
      <c r="I1083">
        <v>0</v>
      </c>
      <c r="J1083">
        <v>0</v>
      </c>
      <c r="K1083">
        <v>0</v>
      </c>
      <c r="L1083">
        <v>0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1</v>
      </c>
      <c r="W1083">
        <v>930</v>
      </c>
      <c r="X1083">
        <v>20</v>
      </c>
      <c r="Y1083">
        <v>0</v>
      </c>
      <c r="Z1083">
        <v>0</v>
      </c>
      <c r="AA1083">
        <v>1</v>
      </c>
      <c r="AB1083">
        <v>0</v>
      </c>
      <c r="AC1083">
        <v>700</v>
      </c>
      <c r="AD1083">
        <v>2</v>
      </c>
      <c r="AE1083">
        <v>0</v>
      </c>
      <c r="AF1083">
        <v>0</v>
      </c>
      <c r="AG1083">
        <v>1</v>
      </c>
      <c r="AH1083">
        <v>0</v>
      </c>
      <c r="AI1083">
        <v>0</v>
      </c>
      <c r="AJ1083">
        <v>0</v>
      </c>
      <c r="AK1083">
        <v>0</v>
      </c>
      <c r="AL1083">
        <v>0</v>
      </c>
      <c r="AM1083">
        <v>0</v>
      </c>
      <c r="AN1083">
        <v>0</v>
      </c>
      <c r="AO1083">
        <v>0</v>
      </c>
      <c r="AP1083">
        <v>0</v>
      </c>
      <c r="AQ1083">
        <v>0</v>
      </c>
      <c r="AR1083">
        <v>0</v>
      </c>
      <c r="AS1083">
        <v>0</v>
      </c>
      <c r="AT1083">
        <f t="shared" si="50"/>
        <v>-3.1990000000000003</v>
      </c>
      <c r="AU1083">
        <f t="shared" si="51"/>
        <v>6.12</v>
      </c>
      <c r="AV1083">
        <f t="shared" si="49"/>
        <v>845.548</v>
      </c>
      <c r="BC1083" t="s">
        <v>126</v>
      </c>
    </row>
    <row r="1084" spans="3:55" x14ac:dyDescent="0.45">
      <c r="C1084">
        <v>89.566900000000004</v>
      </c>
      <c r="D1084">
        <v>6.12</v>
      </c>
      <c r="E1084">
        <v>4.0999999999999996</v>
      </c>
      <c r="F1084">
        <v>0</v>
      </c>
      <c r="G1084">
        <v>0</v>
      </c>
      <c r="H1084">
        <v>0.06</v>
      </c>
      <c r="I1084">
        <v>0</v>
      </c>
      <c r="J1084">
        <v>0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1</v>
      </c>
      <c r="W1084">
        <v>950</v>
      </c>
      <c r="X1084">
        <v>20</v>
      </c>
      <c r="Y1084">
        <v>0</v>
      </c>
      <c r="Z1084">
        <v>0</v>
      </c>
      <c r="AA1084">
        <v>1</v>
      </c>
      <c r="AB1084">
        <v>0</v>
      </c>
      <c r="AC1084">
        <v>800</v>
      </c>
      <c r="AD1084">
        <v>2</v>
      </c>
      <c r="AE1084">
        <v>0</v>
      </c>
      <c r="AF1084">
        <v>0</v>
      </c>
      <c r="AG1084">
        <v>1</v>
      </c>
      <c r="AH1084">
        <v>0</v>
      </c>
      <c r="AI1084">
        <v>0</v>
      </c>
      <c r="AJ1084">
        <v>0</v>
      </c>
      <c r="AK1084">
        <v>0</v>
      </c>
      <c r="AL1084">
        <v>0</v>
      </c>
      <c r="AM1084">
        <v>0</v>
      </c>
      <c r="AN1084">
        <v>0</v>
      </c>
      <c r="AO1084">
        <v>0</v>
      </c>
      <c r="AP1084">
        <v>0</v>
      </c>
      <c r="AQ1084">
        <v>0</v>
      </c>
      <c r="AR1084">
        <v>0</v>
      </c>
      <c r="AS1084">
        <v>0</v>
      </c>
      <c r="AT1084">
        <f t="shared" si="50"/>
        <v>-3.1990000000000003</v>
      </c>
      <c r="AU1084">
        <f t="shared" si="51"/>
        <v>6.12</v>
      </c>
      <c r="AV1084">
        <f t="shared" si="49"/>
        <v>845.548</v>
      </c>
      <c r="BC1084" t="s">
        <v>126</v>
      </c>
    </row>
    <row r="1085" spans="3:55" x14ac:dyDescent="0.45">
      <c r="C1085">
        <v>89.566900000000004</v>
      </c>
      <c r="D1085">
        <v>6.12</v>
      </c>
      <c r="E1085">
        <v>4.0999999999999996</v>
      </c>
      <c r="F1085">
        <v>0</v>
      </c>
      <c r="G1085">
        <v>0</v>
      </c>
      <c r="H1085">
        <v>0.06</v>
      </c>
      <c r="I1085">
        <v>0</v>
      </c>
      <c r="J1085">
        <v>0</v>
      </c>
      <c r="K1085">
        <v>0</v>
      </c>
      <c r="L1085">
        <v>0</v>
      </c>
      <c r="M1085">
        <v>0</v>
      </c>
      <c r="N1085">
        <v>0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1</v>
      </c>
      <c r="W1085">
        <v>950</v>
      </c>
      <c r="X1085">
        <v>50</v>
      </c>
      <c r="Y1085">
        <v>0</v>
      </c>
      <c r="Z1085">
        <v>0</v>
      </c>
      <c r="AA1085">
        <v>1</v>
      </c>
      <c r="AB1085">
        <v>0</v>
      </c>
      <c r="AC1085">
        <v>600</v>
      </c>
      <c r="AD1085">
        <v>2</v>
      </c>
      <c r="AE1085">
        <v>0</v>
      </c>
      <c r="AF1085">
        <v>0</v>
      </c>
      <c r="AG1085">
        <v>1</v>
      </c>
      <c r="AH1085">
        <v>0</v>
      </c>
      <c r="AI1085">
        <v>0</v>
      </c>
      <c r="AJ1085">
        <v>0</v>
      </c>
      <c r="AK1085">
        <v>0</v>
      </c>
      <c r="AL1085">
        <v>0</v>
      </c>
      <c r="AM1085">
        <v>0</v>
      </c>
      <c r="AN1085">
        <v>0</v>
      </c>
      <c r="AO1085">
        <v>0</v>
      </c>
      <c r="AP1085">
        <v>0</v>
      </c>
      <c r="AQ1085">
        <v>0</v>
      </c>
      <c r="AR1085">
        <v>0</v>
      </c>
      <c r="AS1085">
        <v>0</v>
      </c>
      <c r="AT1085">
        <f t="shared" si="50"/>
        <v>-3.1990000000000003</v>
      </c>
      <c r="AU1085">
        <f t="shared" si="51"/>
        <v>6.12</v>
      </c>
      <c r="AV1085">
        <f t="shared" si="49"/>
        <v>845.548</v>
      </c>
      <c r="BC1085" t="s">
        <v>126</v>
      </c>
    </row>
    <row r="1086" spans="3:55" x14ac:dyDescent="0.45">
      <c r="C1086">
        <v>89.566900000000004</v>
      </c>
      <c r="D1086">
        <v>6.12</v>
      </c>
      <c r="E1086">
        <v>4.0999999999999996</v>
      </c>
      <c r="F1086">
        <v>0</v>
      </c>
      <c r="G1086">
        <v>0</v>
      </c>
      <c r="H1086">
        <v>0.06</v>
      </c>
      <c r="I1086">
        <v>0</v>
      </c>
      <c r="J1086">
        <v>0</v>
      </c>
      <c r="K1086">
        <v>0</v>
      </c>
      <c r="L1086">
        <v>0</v>
      </c>
      <c r="M1086">
        <v>0</v>
      </c>
      <c r="N1086">
        <v>0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1</v>
      </c>
      <c r="W1086">
        <v>970</v>
      </c>
      <c r="X1086">
        <v>50</v>
      </c>
      <c r="Y1086">
        <v>0</v>
      </c>
      <c r="Z1086">
        <v>0</v>
      </c>
      <c r="AA1086">
        <v>1</v>
      </c>
      <c r="AB1086">
        <v>0</v>
      </c>
      <c r="AC1086">
        <v>700</v>
      </c>
      <c r="AD1086">
        <v>2</v>
      </c>
      <c r="AE1086">
        <v>0</v>
      </c>
      <c r="AF1086">
        <v>0</v>
      </c>
      <c r="AG1086">
        <v>1</v>
      </c>
      <c r="AH1086">
        <v>0</v>
      </c>
      <c r="AI1086">
        <v>0</v>
      </c>
      <c r="AJ1086">
        <v>0</v>
      </c>
      <c r="AK1086">
        <v>0</v>
      </c>
      <c r="AL1086">
        <v>0</v>
      </c>
      <c r="AM1086">
        <v>0</v>
      </c>
      <c r="AN1086">
        <v>0</v>
      </c>
      <c r="AO1086">
        <v>0</v>
      </c>
      <c r="AP1086">
        <v>0</v>
      </c>
      <c r="AQ1086">
        <v>0</v>
      </c>
      <c r="AR1086">
        <v>0</v>
      </c>
      <c r="AS1086">
        <v>0</v>
      </c>
      <c r="AT1086">
        <f t="shared" si="50"/>
        <v>-3.1990000000000003</v>
      </c>
      <c r="AU1086">
        <f t="shared" si="51"/>
        <v>6.12</v>
      </c>
      <c r="AV1086">
        <f t="shared" si="49"/>
        <v>845.548</v>
      </c>
      <c r="BC1086" t="s">
        <v>126</v>
      </c>
    </row>
    <row r="1087" spans="3:55" x14ac:dyDescent="0.45">
      <c r="C1087">
        <v>89.566900000000004</v>
      </c>
      <c r="D1087">
        <v>6.12</v>
      </c>
      <c r="E1087">
        <v>4.0999999999999996</v>
      </c>
      <c r="F1087">
        <v>0</v>
      </c>
      <c r="G1087">
        <v>0</v>
      </c>
      <c r="H1087">
        <v>0.06</v>
      </c>
      <c r="I1087">
        <v>0</v>
      </c>
      <c r="J1087">
        <v>0</v>
      </c>
      <c r="K1087">
        <v>0</v>
      </c>
      <c r="L1087">
        <v>0</v>
      </c>
      <c r="M1087">
        <v>0</v>
      </c>
      <c r="N1087">
        <v>0</v>
      </c>
      <c r="O1087">
        <v>0</v>
      </c>
      <c r="P1087">
        <v>0</v>
      </c>
      <c r="Q1087">
        <v>0</v>
      </c>
      <c r="R1087">
        <v>0</v>
      </c>
      <c r="S1087">
        <v>0</v>
      </c>
      <c r="T1087">
        <v>0</v>
      </c>
      <c r="U1087">
        <v>0</v>
      </c>
      <c r="V1087">
        <v>1</v>
      </c>
      <c r="W1087">
        <v>930</v>
      </c>
      <c r="X1087">
        <v>50</v>
      </c>
      <c r="Y1087">
        <v>0</v>
      </c>
      <c r="Z1087">
        <v>0</v>
      </c>
      <c r="AA1087">
        <v>1</v>
      </c>
      <c r="AB1087">
        <v>0</v>
      </c>
      <c r="AC1087">
        <v>800</v>
      </c>
      <c r="AD1087">
        <v>2</v>
      </c>
      <c r="AE1087">
        <v>0</v>
      </c>
      <c r="AF1087">
        <v>0</v>
      </c>
      <c r="AG1087">
        <v>1</v>
      </c>
      <c r="AH1087">
        <v>0</v>
      </c>
      <c r="AI1087">
        <v>0</v>
      </c>
      <c r="AJ1087">
        <v>0</v>
      </c>
      <c r="AK1087">
        <v>0</v>
      </c>
      <c r="AL1087">
        <v>0</v>
      </c>
      <c r="AM1087">
        <v>0</v>
      </c>
      <c r="AN1087">
        <v>0</v>
      </c>
      <c r="AO1087">
        <v>0</v>
      </c>
      <c r="AP1087">
        <v>0</v>
      </c>
      <c r="AQ1087">
        <v>0</v>
      </c>
      <c r="AR1087">
        <v>0</v>
      </c>
      <c r="AS1087">
        <v>0</v>
      </c>
      <c r="AT1087">
        <f t="shared" si="50"/>
        <v>-3.1990000000000003</v>
      </c>
      <c r="AU1087">
        <f t="shared" si="51"/>
        <v>6.12</v>
      </c>
      <c r="AV1087">
        <f t="shared" si="49"/>
        <v>845.548</v>
      </c>
      <c r="BC1087" t="s">
        <v>126</v>
      </c>
    </row>
    <row r="1088" spans="3:55" x14ac:dyDescent="0.45">
      <c r="C1088">
        <v>89.566900000000004</v>
      </c>
      <c r="D1088">
        <v>6.12</v>
      </c>
      <c r="E1088">
        <v>4.0999999999999996</v>
      </c>
      <c r="F1088">
        <v>0</v>
      </c>
      <c r="G1088">
        <v>0</v>
      </c>
      <c r="H1088">
        <v>0.06</v>
      </c>
      <c r="I1088">
        <v>0</v>
      </c>
      <c r="J1088">
        <v>0</v>
      </c>
      <c r="K1088">
        <v>0</v>
      </c>
      <c r="L1088">
        <v>0</v>
      </c>
      <c r="M1088">
        <v>0</v>
      </c>
      <c r="N1088">
        <v>0</v>
      </c>
      <c r="O1088">
        <v>0</v>
      </c>
      <c r="P1088">
        <v>0</v>
      </c>
      <c r="Q1088">
        <v>0</v>
      </c>
      <c r="R1088">
        <v>0</v>
      </c>
      <c r="S1088">
        <v>0</v>
      </c>
      <c r="T1088">
        <v>0</v>
      </c>
      <c r="U1088">
        <v>0</v>
      </c>
      <c r="V1088">
        <v>1</v>
      </c>
      <c r="W1088">
        <v>970</v>
      </c>
      <c r="X1088">
        <v>80</v>
      </c>
      <c r="Y1088">
        <v>0</v>
      </c>
      <c r="Z1088">
        <v>0</v>
      </c>
      <c r="AA1088">
        <v>1</v>
      </c>
      <c r="AB1088">
        <v>0</v>
      </c>
      <c r="AC1088">
        <v>600</v>
      </c>
      <c r="AD1088">
        <v>2</v>
      </c>
      <c r="AE1088">
        <v>0</v>
      </c>
      <c r="AF1088">
        <v>0</v>
      </c>
      <c r="AG1088">
        <v>1</v>
      </c>
      <c r="AH1088">
        <v>0</v>
      </c>
      <c r="AI1088">
        <v>0</v>
      </c>
      <c r="AJ1088">
        <v>0</v>
      </c>
      <c r="AK1088">
        <v>0</v>
      </c>
      <c r="AL1088">
        <v>0</v>
      </c>
      <c r="AM1088">
        <v>0</v>
      </c>
      <c r="AN1088">
        <v>0</v>
      </c>
      <c r="AO1088">
        <v>0</v>
      </c>
      <c r="AP1088">
        <v>0</v>
      </c>
      <c r="AQ1088">
        <v>0</v>
      </c>
      <c r="AR1088">
        <v>0</v>
      </c>
      <c r="AS1088">
        <v>0</v>
      </c>
      <c r="AT1088">
        <f t="shared" si="50"/>
        <v>-3.1990000000000003</v>
      </c>
      <c r="AU1088">
        <f t="shared" si="51"/>
        <v>6.12</v>
      </c>
      <c r="AV1088">
        <f t="shared" si="49"/>
        <v>845.548</v>
      </c>
      <c r="BC1088" t="s">
        <v>126</v>
      </c>
    </row>
    <row r="1089" spans="3:55" x14ac:dyDescent="0.45">
      <c r="C1089">
        <v>89.566900000000004</v>
      </c>
      <c r="D1089">
        <v>6.12</v>
      </c>
      <c r="E1089">
        <v>4.0999999999999996</v>
      </c>
      <c r="F1089">
        <v>0</v>
      </c>
      <c r="G1089">
        <v>0</v>
      </c>
      <c r="H1089">
        <v>0.06</v>
      </c>
      <c r="I1089">
        <v>0</v>
      </c>
      <c r="J1089">
        <v>0</v>
      </c>
      <c r="K1089">
        <v>0</v>
      </c>
      <c r="L1089">
        <v>0</v>
      </c>
      <c r="M1089">
        <v>0</v>
      </c>
      <c r="N1089">
        <v>0</v>
      </c>
      <c r="O1089">
        <v>0</v>
      </c>
      <c r="P1089">
        <v>0</v>
      </c>
      <c r="Q1089">
        <v>0</v>
      </c>
      <c r="R1089">
        <v>0</v>
      </c>
      <c r="S1089">
        <v>0</v>
      </c>
      <c r="T1089">
        <v>0</v>
      </c>
      <c r="U1089">
        <v>0</v>
      </c>
      <c r="V1089">
        <v>1</v>
      </c>
      <c r="W1089">
        <v>930</v>
      </c>
      <c r="X1089">
        <v>80</v>
      </c>
      <c r="Y1089">
        <v>0</v>
      </c>
      <c r="Z1089">
        <v>0</v>
      </c>
      <c r="AA1089">
        <v>1</v>
      </c>
      <c r="AB1089">
        <v>0</v>
      </c>
      <c r="AC1089">
        <v>700</v>
      </c>
      <c r="AD1089">
        <v>2</v>
      </c>
      <c r="AE1089">
        <v>0</v>
      </c>
      <c r="AF1089">
        <v>0</v>
      </c>
      <c r="AG1089">
        <v>1</v>
      </c>
      <c r="AH1089">
        <v>0</v>
      </c>
      <c r="AI1089">
        <v>0</v>
      </c>
      <c r="AJ1089">
        <v>0</v>
      </c>
      <c r="AK1089">
        <v>0</v>
      </c>
      <c r="AL1089">
        <v>0</v>
      </c>
      <c r="AM1089">
        <v>0</v>
      </c>
      <c r="AN1089">
        <v>0</v>
      </c>
      <c r="AO1089">
        <v>0</v>
      </c>
      <c r="AP1089">
        <v>0</v>
      </c>
      <c r="AQ1089">
        <v>0</v>
      </c>
      <c r="AR1089">
        <v>0</v>
      </c>
      <c r="AS1089">
        <v>0</v>
      </c>
      <c r="AT1089">
        <f t="shared" si="50"/>
        <v>-3.1990000000000003</v>
      </c>
      <c r="AU1089">
        <f t="shared" si="51"/>
        <v>6.12</v>
      </c>
      <c r="AV1089">
        <f t="shared" si="49"/>
        <v>845.548</v>
      </c>
      <c r="BC1089" t="s">
        <v>126</v>
      </c>
    </row>
    <row r="1090" spans="3:55" x14ac:dyDescent="0.45">
      <c r="C1090">
        <v>89.566900000000004</v>
      </c>
      <c r="D1090">
        <v>6.12</v>
      </c>
      <c r="E1090">
        <v>4.0999999999999996</v>
      </c>
      <c r="F1090">
        <v>0</v>
      </c>
      <c r="G1090">
        <v>0</v>
      </c>
      <c r="H1090">
        <v>0.06</v>
      </c>
      <c r="I1090">
        <v>0</v>
      </c>
      <c r="J1090">
        <v>0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0</v>
      </c>
      <c r="Q1090">
        <v>0</v>
      </c>
      <c r="R1090">
        <v>0</v>
      </c>
      <c r="S1090">
        <v>0</v>
      </c>
      <c r="T1090">
        <v>0</v>
      </c>
      <c r="U1090">
        <v>0</v>
      </c>
      <c r="V1090">
        <v>1</v>
      </c>
      <c r="W1090">
        <v>950</v>
      </c>
      <c r="X1090">
        <v>80</v>
      </c>
      <c r="Y1090">
        <v>0</v>
      </c>
      <c r="Z1090">
        <v>0</v>
      </c>
      <c r="AA1090">
        <v>1</v>
      </c>
      <c r="AB1090">
        <v>0</v>
      </c>
      <c r="AC1090">
        <v>800</v>
      </c>
      <c r="AD1090">
        <v>2</v>
      </c>
      <c r="AE1090">
        <v>0</v>
      </c>
      <c r="AF1090">
        <v>0</v>
      </c>
      <c r="AG1090">
        <v>1</v>
      </c>
      <c r="AH1090">
        <v>0</v>
      </c>
      <c r="AI1090">
        <v>0</v>
      </c>
      <c r="AJ1090">
        <v>0</v>
      </c>
      <c r="AK1090">
        <v>0</v>
      </c>
      <c r="AL1090">
        <v>0</v>
      </c>
      <c r="AM1090">
        <v>0</v>
      </c>
      <c r="AN1090">
        <v>0</v>
      </c>
      <c r="AO1090">
        <v>0</v>
      </c>
      <c r="AP1090">
        <v>0</v>
      </c>
      <c r="AQ1090">
        <v>0</v>
      </c>
      <c r="AR1090">
        <v>0</v>
      </c>
      <c r="AS1090">
        <v>0</v>
      </c>
      <c r="AT1090">
        <f t="shared" si="50"/>
        <v>-3.1990000000000003</v>
      </c>
      <c r="AU1090">
        <f t="shared" si="51"/>
        <v>6.12</v>
      </c>
      <c r="AV1090">
        <f t="shared" ref="AV1090:AV1153" si="52">882+2.1*D1090-9.5*L1090+4.2*M1090-6.9*J1090-11.8*E1090-12.1*F1090-15.4*H1090+23.3*Q1090+123*T1090</f>
        <v>845.548</v>
      </c>
      <c r="BC1090" t="s">
        <v>126</v>
      </c>
    </row>
    <row r="1091" spans="3:55" x14ac:dyDescent="0.45">
      <c r="C1091">
        <v>89.498000000000005</v>
      </c>
      <c r="D1091">
        <v>6.2</v>
      </c>
      <c r="E1091">
        <v>4.2</v>
      </c>
      <c r="F1091">
        <v>0</v>
      </c>
      <c r="G1091">
        <v>0</v>
      </c>
      <c r="H1091">
        <v>1.7999999999999999E-2</v>
      </c>
      <c r="I1091">
        <v>0</v>
      </c>
      <c r="J1091">
        <v>0</v>
      </c>
      <c r="K1091">
        <v>0</v>
      </c>
      <c r="L1091">
        <v>0</v>
      </c>
      <c r="M1091">
        <v>0</v>
      </c>
      <c r="N1091">
        <v>0</v>
      </c>
      <c r="O1091">
        <v>0</v>
      </c>
      <c r="P1091">
        <v>0</v>
      </c>
      <c r="Q1091">
        <v>0</v>
      </c>
      <c r="R1091">
        <v>0</v>
      </c>
      <c r="S1091">
        <v>0</v>
      </c>
      <c r="T1091">
        <v>0</v>
      </c>
      <c r="U1091">
        <v>0</v>
      </c>
      <c r="V1091">
        <v>1</v>
      </c>
      <c r="W1091">
        <v>0</v>
      </c>
      <c r="X1091">
        <v>0</v>
      </c>
      <c r="Y1091">
        <v>0</v>
      </c>
      <c r="Z1091">
        <v>0</v>
      </c>
      <c r="AA1091">
        <v>1</v>
      </c>
      <c r="AB1091">
        <v>0</v>
      </c>
      <c r="AC1091">
        <v>800</v>
      </c>
      <c r="AD1091">
        <v>1</v>
      </c>
      <c r="AE1091">
        <v>0</v>
      </c>
      <c r="AF1091">
        <v>1</v>
      </c>
      <c r="AG1091">
        <v>0</v>
      </c>
      <c r="AH1091">
        <v>0</v>
      </c>
      <c r="AI1091">
        <v>0</v>
      </c>
      <c r="AJ1091">
        <v>0</v>
      </c>
      <c r="AK1091">
        <v>0</v>
      </c>
      <c r="AL1091">
        <v>0</v>
      </c>
      <c r="AM1091">
        <v>0</v>
      </c>
      <c r="AN1091">
        <v>0</v>
      </c>
      <c r="AO1091">
        <v>0</v>
      </c>
      <c r="AP1091">
        <v>0</v>
      </c>
      <c r="AQ1091">
        <v>0</v>
      </c>
      <c r="AR1091">
        <v>0</v>
      </c>
      <c r="AS1091">
        <v>0</v>
      </c>
      <c r="AT1091">
        <f t="shared" ref="AT1091:AT1154" si="53">L1091+0.67*E1091+0.44*P1091+0.28*K1091+0.22*O1091+2.9*H1091+1.6*F1091+1.7*G1091-D1091</f>
        <v>-3.3337999999999997</v>
      </c>
      <c r="AU1091">
        <f t="shared" si="51"/>
        <v>6.2</v>
      </c>
      <c r="AV1091">
        <f t="shared" si="52"/>
        <v>845.18280000000004</v>
      </c>
      <c r="AX1091">
        <v>813</v>
      </c>
      <c r="AY1091">
        <v>924</v>
      </c>
      <c r="AZ1091">
        <v>14.5</v>
      </c>
      <c r="BC1091" t="s">
        <v>127</v>
      </c>
    </row>
    <row r="1092" spans="3:55" x14ac:dyDescent="0.45">
      <c r="C1092">
        <v>89.498000000000005</v>
      </c>
      <c r="D1092">
        <v>6.2</v>
      </c>
      <c r="E1092">
        <v>4.2</v>
      </c>
      <c r="F1092">
        <v>0</v>
      </c>
      <c r="G1092">
        <v>0</v>
      </c>
      <c r="H1092">
        <v>1.7999999999999999E-2</v>
      </c>
      <c r="I1092">
        <v>0</v>
      </c>
      <c r="J1092">
        <v>0</v>
      </c>
      <c r="K1092">
        <v>0</v>
      </c>
      <c r="L1092">
        <v>0</v>
      </c>
      <c r="M1092">
        <v>0</v>
      </c>
      <c r="N1092">
        <v>0</v>
      </c>
      <c r="O1092">
        <v>0</v>
      </c>
      <c r="P1092">
        <v>0</v>
      </c>
      <c r="Q1092">
        <v>0</v>
      </c>
      <c r="R1092">
        <v>0</v>
      </c>
      <c r="S1092">
        <v>0</v>
      </c>
      <c r="T1092">
        <v>0</v>
      </c>
      <c r="U1092">
        <v>0</v>
      </c>
      <c r="V1092">
        <v>1</v>
      </c>
      <c r="W1092">
        <v>0</v>
      </c>
      <c r="X1092">
        <v>0</v>
      </c>
      <c r="Y1092">
        <v>0</v>
      </c>
      <c r="Z1092">
        <v>0</v>
      </c>
      <c r="AA1092">
        <v>1</v>
      </c>
      <c r="AB1092">
        <v>0</v>
      </c>
      <c r="AC1092">
        <v>900</v>
      </c>
      <c r="AD1092">
        <v>1</v>
      </c>
      <c r="AE1092">
        <v>0</v>
      </c>
      <c r="AF1092">
        <v>1</v>
      </c>
      <c r="AG1092">
        <v>0</v>
      </c>
      <c r="AH1092">
        <v>0</v>
      </c>
      <c r="AI1092">
        <v>0</v>
      </c>
      <c r="AJ1092">
        <v>0</v>
      </c>
      <c r="AK1092">
        <v>0</v>
      </c>
      <c r="AL1092">
        <v>0</v>
      </c>
      <c r="AM1092">
        <v>0</v>
      </c>
      <c r="AN1092">
        <v>0</v>
      </c>
      <c r="AO1092">
        <v>0</v>
      </c>
      <c r="AP1092">
        <v>0</v>
      </c>
      <c r="AQ1092">
        <v>0</v>
      </c>
      <c r="AR1092">
        <v>0</v>
      </c>
      <c r="AS1092">
        <v>0</v>
      </c>
      <c r="AT1092">
        <f t="shared" si="53"/>
        <v>-3.3337999999999997</v>
      </c>
      <c r="AU1092">
        <f t="shared" si="51"/>
        <v>6.2</v>
      </c>
      <c r="AV1092">
        <f t="shared" si="52"/>
        <v>845.18280000000004</v>
      </c>
      <c r="AX1092">
        <v>826</v>
      </c>
      <c r="AY1092">
        <v>930</v>
      </c>
      <c r="AZ1092">
        <v>16</v>
      </c>
      <c r="BC1092" t="s">
        <v>127</v>
      </c>
    </row>
    <row r="1093" spans="3:55" x14ac:dyDescent="0.45">
      <c r="C1093">
        <v>89.498000000000005</v>
      </c>
      <c r="D1093">
        <v>6.2</v>
      </c>
      <c r="E1093">
        <v>4.2</v>
      </c>
      <c r="F1093">
        <v>0</v>
      </c>
      <c r="G1093">
        <v>0</v>
      </c>
      <c r="H1093">
        <v>1.7999999999999999E-2</v>
      </c>
      <c r="I1093">
        <v>0</v>
      </c>
      <c r="J1093">
        <v>0</v>
      </c>
      <c r="K1093">
        <v>0</v>
      </c>
      <c r="L1093">
        <v>0</v>
      </c>
      <c r="M1093">
        <v>0</v>
      </c>
      <c r="N1093">
        <v>0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1</v>
      </c>
      <c r="W1093">
        <v>0</v>
      </c>
      <c r="X1093">
        <v>0</v>
      </c>
      <c r="Y1093">
        <v>0</v>
      </c>
      <c r="Z1093">
        <v>0</v>
      </c>
      <c r="AA1093">
        <v>1</v>
      </c>
      <c r="AB1093">
        <v>0</v>
      </c>
      <c r="AC1093">
        <v>1000</v>
      </c>
      <c r="AD1093">
        <v>1</v>
      </c>
      <c r="AE1093">
        <v>0</v>
      </c>
      <c r="AF1093">
        <v>1</v>
      </c>
      <c r="AG1093">
        <v>0</v>
      </c>
      <c r="AH1093">
        <v>0</v>
      </c>
      <c r="AI1093">
        <v>0</v>
      </c>
      <c r="AJ1093">
        <v>0</v>
      </c>
      <c r="AK1093">
        <v>0</v>
      </c>
      <c r="AL1093">
        <v>0</v>
      </c>
      <c r="AM1093">
        <v>0</v>
      </c>
      <c r="AN1093">
        <v>0</v>
      </c>
      <c r="AO1093">
        <v>0</v>
      </c>
      <c r="AP1093">
        <v>0</v>
      </c>
      <c r="AQ1093">
        <v>0</v>
      </c>
      <c r="AR1093">
        <v>0</v>
      </c>
      <c r="AS1093">
        <v>0</v>
      </c>
      <c r="AT1093">
        <f t="shared" si="53"/>
        <v>-3.3337999999999997</v>
      </c>
      <c r="AU1093">
        <f t="shared" si="51"/>
        <v>6.2</v>
      </c>
      <c r="AV1093">
        <f t="shared" si="52"/>
        <v>845.18280000000004</v>
      </c>
      <c r="AX1093">
        <v>798</v>
      </c>
      <c r="AY1093">
        <v>975</v>
      </c>
      <c r="AZ1093">
        <v>12</v>
      </c>
      <c r="BB1093" t="s">
        <v>349</v>
      </c>
      <c r="BC1093" t="s">
        <v>127</v>
      </c>
    </row>
    <row r="1094" spans="3:55" x14ac:dyDescent="0.45">
      <c r="C1094">
        <v>89.498000000000005</v>
      </c>
      <c r="D1094">
        <v>6.2</v>
      </c>
      <c r="E1094">
        <v>4.2</v>
      </c>
      <c r="F1094">
        <v>0</v>
      </c>
      <c r="G1094">
        <v>0</v>
      </c>
      <c r="H1094">
        <v>1.7999999999999999E-2</v>
      </c>
      <c r="I1094">
        <v>0</v>
      </c>
      <c r="J1094">
        <v>0</v>
      </c>
      <c r="K1094">
        <v>0</v>
      </c>
      <c r="L1094">
        <v>0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1</v>
      </c>
      <c r="W1094">
        <v>0</v>
      </c>
      <c r="X1094">
        <v>0</v>
      </c>
      <c r="Y1094">
        <v>0</v>
      </c>
      <c r="Z1094">
        <v>0</v>
      </c>
      <c r="AA1094">
        <v>1</v>
      </c>
      <c r="AB1094">
        <v>0</v>
      </c>
      <c r="AC1094">
        <v>1000</v>
      </c>
      <c r="AD1094">
        <v>1</v>
      </c>
      <c r="AE1094">
        <v>0</v>
      </c>
      <c r="AF1094">
        <v>0</v>
      </c>
      <c r="AG1094">
        <v>0</v>
      </c>
      <c r="AH1094">
        <v>0</v>
      </c>
      <c r="AI1094">
        <v>0</v>
      </c>
      <c r="AJ1094">
        <v>0</v>
      </c>
      <c r="AK1094">
        <v>0</v>
      </c>
      <c r="AL1094">
        <v>0</v>
      </c>
      <c r="AM1094">
        <v>0</v>
      </c>
      <c r="AN1094">
        <v>0</v>
      </c>
      <c r="AO1094">
        <v>0</v>
      </c>
      <c r="AP1094">
        <v>0</v>
      </c>
      <c r="AQ1094">
        <v>0</v>
      </c>
      <c r="AR1094">
        <v>0</v>
      </c>
      <c r="AS1094">
        <v>0</v>
      </c>
      <c r="AT1094">
        <f t="shared" si="53"/>
        <v>-3.3337999999999997</v>
      </c>
      <c r="AU1094">
        <f t="shared" si="51"/>
        <v>6.2</v>
      </c>
      <c r="AV1094">
        <f t="shared" si="52"/>
        <v>845.18280000000004</v>
      </c>
      <c r="AX1094">
        <v>743</v>
      </c>
      <c r="AY1094">
        <v>881</v>
      </c>
      <c r="AZ1094">
        <v>14</v>
      </c>
      <c r="BB1094" t="s">
        <v>349</v>
      </c>
      <c r="BC1094" t="s">
        <v>127</v>
      </c>
    </row>
    <row r="1095" spans="3:55" x14ac:dyDescent="0.45">
      <c r="C1095">
        <v>64</v>
      </c>
      <c r="D1095">
        <v>0</v>
      </c>
      <c r="E1095">
        <v>0</v>
      </c>
      <c r="F1095">
        <v>0</v>
      </c>
      <c r="G1095">
        <v>0</v>
      </c>
      <c r="H1095">
        <v>0</v>
      </c>
      <c r="I1095">
        <v>0</v>
      </c>
      <c r="J1095">
        <v>4</v>
      </c>
      <c r="K1095">
        <v>24</v>
      </c>
      <c r="L1095">
        <v>0</v>
      </c>
      <c r="M1095">
        <v>8</v>
      </c>
      <c r="N1095">
        <v>0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1</v>
      </c>
      <c r="W1095">
        <v>20</v>
      </c>
      <c r="X1095">
        <v>94</v>
      </c>
      <c r="Y1095">
        <v>0</v>
      </c>
      <c r="Z1095">
        <v>0</v>
      </c>
      <c r="AA1095">
        <v>1</v>
      </c>
      <c r="AB1095">
        <v>0</v>
      </c>
      <c r="AC1095">
        <v>900</v>
      </c>
      <c r="AD1095">
        <v>0.5</v>
      </c>
      <c r="AE1095">
        <v>1</v>
      </c>
      <c r="AF1095">
        <v>0</v>
      </c>
      <c r="AG1095">
        <v>0</v>
      </c>
      <c r="AH1095">
        <v>0</v>
      </c>
      <c r="AI1095">
        <v>0</v>
      </c>
      <c r="AJ1095">
        <v>0</v>
      </c>
      <c r="AK1095">
        <v>0</v>
      </c>
      <c r="AL1095">
        <v>0</v>
      </c>
      <c r="AM1095">
        <v>0</v>
      </c>
      <c r="AN1095">
        <v>0</v>
      </c>
      <c r="AO1095">
        <v>0</v>
      </c>
      <c r="AP1095">
        <v>0</v>
      </c>
      <c r="AQ1095">
        <v>0</v>
      </c>
      <c r="AR1095">
        <v>0</v>
      </c>
      <c r="AS1095">
        <v>0</v>
      </c>
      <c r="AT1095">
        <f t="shared" si="53"/>
        <v>6.7200000000000006</v>
      </c>
      <c r="AU1095">
        <f t="shared" si="51"/>
        <v>3.333333333333333</v>
      </c>
      <c r="AV1095">
        <f t="shared" si="52"/>
        <v>888</v>
      </c>
      <c r="AY1095">
        <v>870</v>
      </c>
      <c r="AZ1095">
        <v>10</v>
      </c>
      <c r="BC1095" t="s">
        <v>132</v>
      </c>
    </row>
    <row r="1096" spans="3:55" x14ac:dyDescent="0.45">
      <c r="C1096">
        <v>64</v>
      </c>
      <c r="D1096">
        <v>0</v>
      </c>
      <c r="E1096">
        <v>0</v>
      </c>
      <c r="F1096">
        <v>0</v>
      </c>
      <c r="G1096">
        <v>0</v>
      </c>
      <c r="H1096">
        <v>0</v>
      </c>
      <c r="I1096">
        <v>0</v>
      </c>
      <c r="J1096">
        <v>4</v>
      </c>
      <c r="K1096">
        <v>24</v>
      </c>
      <c r="L1096">
        <v>0</v>
      </c>
      <c r="M1096">
        <v>8</v>
      </c>
      <c r="N1096">
        <v>0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1</v>
      </c>
      <c r="W1096">
        <v>20</v>
      </c>
      <c r="X1096">
        <v>94</v>
      </c>
      <c r="Y1096">
        <v>0</v>
      </c>
      <c r="Z1096">
        <v>0</v>
      </c>
      <c r="AA1096">
        <v>1</v>
      </c>
      <c r="AB1096">
        <v>0</v>
      </c>
      <c r="AC1096">
        <v>700</v>
      </c>
      <c r="AD1096">
        <v>0.05</v>
      </c>
      <c r="AE1096">
        <v>0</v>
      </c>
      <c r="AF1096">
        <v>1</v>
      </c>
      <c r="AG1096">
        <v>0</v>
      </c>
      <c r="AH1096">
        <v>0</v>
      </c>
      <c r="AI1096">
        <v>0</v>
      </c>
      <c r="AJ1096">
        <v>0</v>
      </c>
      <c r="AK1096">
        <v>0</v>
      </c>
      <c r="AL1096">
        <v>0</v>
      </c>
      <c r="AM1096">
        <v>0</v>
      </c>
      <c r="AN1096">
        <v>0</v>
      </c>
      <c r="AO1096">
        <v>0</v>
      </c>
      <c r="AP1096">
        <v>0</v>
      </c>
      <c r="AQ1096">
        <v>0</v>
      </c>
      <c r="AR1096">
        <v>0</v>
      </c>
      <c r="AS1096">
        <v>0</v>
      </c>
      <c r="AT1096">
        <f t="shared" si="53"/>
        <v>6.7200000000000006</v>
      </c>
      <c r="AU1096">
        <f t="shared" si="51"/>
        <v>3.333333333333333</v>
      </c>
      <c r="AV1096">
        <f t="shared" si="52"/>
        <v>888</v>
      </c>
      <c r="AY1096">
        <v>990</v>
      </c>
      <c r="AZ1096">
        <v>9</v>
      </c>
      <c r="BC1096" t="s">
        <v>132</v>
      </c>
    </row>
    <row r="1097" spans="3:55" x14ac:dyDescent="0.45">
      <c r="C1097">
        <v>93</v>
      </c>
      <c r="D1097">
        <v>3</v>
      </c>
      <c r="E1097">
        <v>0</v>
      </c>
      <c r="F1097">
        <v>0</v>
      </c>
      <c r="G1097">
        <v>0</v>
      </c>
      <c r="H1097">
        <v>0</v>
      </c>
      <c r="I1097">
        <v>0</v>
      </c>
      <c r="J1097">
        <v>3</v>
      </c>
      <c r="K1097">
        <v>0</v>
      </c>
      <c r="L1097">
        <v>1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1</v>
      </c>
      <c r="W1097">
        <v>0</v>
      </c>
      <c r="X1097">
        <v>0</v>
      </c>
      <c r="Y1097">
        <v>0</v>
      </c>
      <c r="Z1097">
        <v>0</v>
      </c>
      <c r="AA1097">
        <v>1</v>
      </c>
      <c r="AB1097">
        <v>0</v>
      </c>
      <c r="AC1097">
        <v>960</v>
      </c>
      <c r="AD1097">
        <v>1</v>
      </c>
      <c r="AE1097">
        <v>0</v>
      </c>
      <c r="AF1097">
        <v>0</v>
      </c>
      <c r="AG1097">
        <v>1</v>
      </c>
      <c r="AH1097">
        <v>0</v>
      </c>
      <c r="AI1097">
        <v>0</v>
      </c>
      <c r="AJ1097">
        <v>0</v>
      </c>
      <c r="AK1097">
        <v>0</v>
      </c>
      <c r="AL1097">
        <v>0</v>
      </c>
      <c r="AM1097">
        <v>0</v>
      </c>
      <c r="AN1097">
        <v>0</v>
      </c>
      <c r="AO1097">
        <v>0</v>
      </c>
      <c r="AP1097">
        <v>0</v>
      </c>
      <c r="AQ1097">
        <v>0</v>
      </c>
      <c r="AR1097">
        <v>0</v>
      </c>
      <c r="AS1097">
        <v>0</v>
      </c>
      <c r="AT1097">
        <f t="shared" si="53"/>
        <v>-2</v>
      </c>
      <c r="AU1097">
        <f t="shared" si="51"/>
        <v>3.5</v>
      </c>
      <c r="AV1097">
        <f t="shared" si="52"/>
        <v>858.09999999999991</v>
      </c>
      <c r="AX1097">
        <v>501</v>
      </c>
      <c r="AY1097">
        <v>604</v>
      </c>
      <c r="AZ1097">
        <v>12</v>
      </c>
      <c r="BB1097" t="s">
        <v>294</v>
      </c>
      <c r="BC1097" t="s">
        <v>153</v>
      </c>
    </row>
    <row r="1098" spans="3:55" x14ac:dyDescent="0.45">
      <c r="C1098">
        <v>93</v>
      </c>
      <c r="D1098">
        <v>3</v>
      </c>
      <c r="E1098">
        <v>0</v>
      </c>
      <c r="F1098">
        <v>0</v>
      </c>
      <c r="G1098">
        <v>0</v>
      </c>
      <c r="H1098">
        <v>0</v>
      </c>
      <c r="I1098">
        <v>0</v>
      </c>
      <c r="J1098">
        <v>3</v>
      </c>
      <c r="K1098">
        <v>0</v>
      </c>
      <c r="L1098">
        <v>1</v>
      </c>
      <c r="M1098">
        <v>0</v>
      </c>
      <c r="N1098">
        <v>0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1</v>
      </c>
      <c r="W1098">
        <v>0</v>
      </c>
      <c r="X1098">
        <v>0</v>
      </c>
      <c r="Y1098">
        <v>0</v>
      </c>
      <c r="Z1098">
        <v>0</v>
      </c>
      <c r="AA1098">
        <v>1</v>
      </c>
      <c r="AB1098">
        <v>0</v>
      </c>
      <c r="AC1098">
        <v>920</v>
      </c>
      <c r="AD1098">
        <v>1</v>
      </c>
      <c r="AE1098">
        <v>0</v>
      </c>
      <c r="AF1098">
        <v>0</v>
      </c>
      <c r="AG1098">
        <v>1</v>
      </c>
      <c r="AH1098">
        <v>0</v>
      </c>
      <c r="AI1098">
        <v>0</v>
      </c>
      <c r="AJ1098">
        <v>0</v>
      </c>
      <c r="AK1098">
        <v>0</v>
      </c>
      <c r="AL1098">
        <v>0</v>
      </c>
      <c r="AM1098">
        <v>0</v>
      </c>
      <c r="AN1098">
        <v>0</v>
      </c>
      <c r="AO1098">
        <v>0</v>
      </c>
      <c r="AP1098">
        <v>0</v>
      </c>
      <c r="AQ1098">
        <v>0</v>
      </c>
      <c r="AR1098">
        <v>0</v>
      </c>
      <c r="AS1098">
        <v>0</v>
      </c>
      <c r="AT1098">
        <f t="shared" si="53"/>
        <v>-2</v>
      </c>
      <c r="AU1098">
        <f t="shared" si="51"/>
        <v>3.5</v>
      </c>
      <c r="AV1098">
        <f t="shared" si="52"/>
        <v>858.09999999999991</v>
      </c>
      <c r="AX1098">
        <v>572</v>
      </c>
      <c r="AY1098">
        <v>652</v>
      </c>
      <c r="AZ1098">
        <v>15</v>
      </c>
      <c r="BB1098" t="s">
        <v>294</v>
      </c>
      <c r="BC1098" t="s">
        <v>153</v>
      </c>
    </row>
    <row r="1099" spans="3:55" x14ac:dyDescent="0.45">
      <c r="C1099">
        <v>93</v>
      </c>
      <c r="D1099">
        <v>3</v>
      </c>
      <c r="E1099">
        <v>0</v>
      </c>
      <c r="F1099">
        <v>0</v>
      </c>
      <c r="G1099">
        <v>0</v>
      </c>
      <c r="H1099">
        <v>0</v>
      </c>
      <c r="I1099">
        <v>0</v>
      </c>
      <c r="J1099">
        <v>3</v>
      </c>
      <c r="K1099">
        <v>0</v>
      </c>
      <c r="L1099">
        <v>1</v>
      </c>
      <c r="M1099">
        <v>0</v>
      </c>
      <c r="N1099">
        <v>0</v>
      </c>
      <c r="O1099">
        <v>0</v>
      </c>
      <c r="P1099">
        <v>0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1</v>
      </c>
      <c r="W1099">
        <v>0</v>
      </c>
      <c r="X1099">
        <v>0</v>
      </c>
      <c r="Y1099">
        <v>0</v>
      </c>
      <c r="Z1099">
        <v>0</v>
      </c>
      <c r="AA1099">
        <v>1</v>
      </c>
      <c r="AB1099">
        <v>0</v>
      </c>
      <c r="AC1099">
        <v>920</v>
      </c>
      <c r="AD1099">
        <v>1</v>
      </c>
      <c r="AE1099">
        <v>0</v>
      </c>
      <c r="AF1099">
        <v>1</v>
      </c>
      <c r="AG1099">
        <v>0</v>
      </c>
      <c r="AH1099">
        <v>0</v>
      </c>
      <c r="AI1099">
        <v>0</v>
      </c>
      <c r="AJ1099">
        <v>0</v>
      </c>
      <c r="AK1099">
        <v>0</v>
      </c>
      <c r="AL1099">
        <v>0</v>
      </c>
      <c r="AM1099">
        <v>0</v>
      </c>
      <c r="AN1099">
        <v>0</v>
      </c>
      <c r="AO1099">
        <v>0</v>
      </c>
      <c r="AP1099">
        <v>0</v>
      </c>
      <c r="AQ1099">
        <v>0</v>
      </c>
      <c r="AR1099">
        <v>0</v>
      </c>
      <c r="AS1099">
        <v>0</v>
      </c>
      <c r="AT1099">
        <f t="shared" si="53"/>
        <v>-2</v>
      </c>
      <c r="AU1099">
        <f t="shared" si="51"/>
        <v>3.5</v>
      </c>
      <c r="AV1099">
        <f t="shared" si="52"/>
        <v>858.09999999999991</v>
      </c>
      <c r="AX1099">
        <v>587</v>
      </c>
      <c r="AY1099">
        <v>659</v>
      </c>
      <c r="AZ1099">
        <v>20</v>
      </c>
      <c r="BB1099" t="s">
        <v>294</v>
      </c>
      <c r="BC1099" t="s">
        <v>153</v>
      </c>
    </row>
    <row r="1100" spans="3:55" x14ac:dyDescent="0.45">
      <c r="C1100">
        <v>89</v>
      </c>
      <c r="D1100">
        <v>6</v>
      </c>
      <c r="E1100">
        <v>4</v>
      </c>
      <c r="F1100">
        <v>0</v>
      </c>
      <c r="G1100">
        <v>0</v>
      </c>
      <c r="H1100">
        <v>0</v>
      </c>
      <c r="I1100">
        <v>0</v>
      </c>
      <c r="J1100">
        <v>0</v>
      </c>
      <c r="K1100">
        <v>0.5</v>
      </c>
      <c r="L1100">
        <v>0</v>
      </c>
      <c r="M1100">
        <v>0</v>
      </c>
      <c r="N1100">
        <v>0</v>
      </c>
      <c r="O1100">
        <v>0</v>
      </c>
      <c r="P1100">
        <v>0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1</v>
      </c>
      <c r="W1100">
        <v>920</v>
      </c>
      <c r="X1100">
        <v>50</v>
      </c>
      <c r="Y1100">
        <v>0</v>
      </c>
      <c r="Z1100">
        <v>0</v>
      </c>
      <c r="AA1100">
        <v>1</v>
      </c>
      <c r="AB1100">
        <v>0</v>
      </c>
      <c r="AC1100">
        <v>0</v>
      </c>
      <c r="AD1100">
        <v>0</v>
      </c>
      <c r="AE1100">
        <v>0</v>
      </c>
      <c r="AF1100">
        <v>0</v>
      </c>
      <c r="AG1100">
        <v>0</v>
      </c>
      <c r="AH1100">
        <v>0</v>
      </c>
      <c r="AI1100">
        <v>0</v>
      </c>
      <c r="AJ1100">
        <v>0</v>
      </c>
      <c r="AK1100">
        <v>0</v>
      </c>
      <c r="AL1100">
        <v>0</v>
      </c>
      <c r="AM1100">
        <v>0</v>
      </c>
      <c r="AN1100">
        <v>0</v>
      </c>
      <c r="AO1100">
        <v>0</v>
      </c>
      <c r="AP1100">
        <v>0</v>
      </c>
      <c r="AQ1100">
        <v>0</v>
      </c>
      <c r="AR1100">
        <v>0</v>
      </c>
      <c r="AS1100">
        <v>0</v>
      </c>
      <c r="AT1100">
        <f t="shared" si="53"/>
        <v>-3.1799999999999997</v>
      </c>
      <c r="AU1100">
        <f t="shared" si="51"/>
        <v>6</v>
      </c>
      <c r="AV1100">
        <f t="shared" si="52"/>
        <v>847.4</v>
      </c>
      <c r="AX1100">
        <v>955</v>
      </c>
      <c r="AY1100">
        <v>975</v>
      </c>
      <c r="AZ1100">
        <v>17</v>
      </c>
      <c r="BC1100" t="s">
        <v>156</v>
      </c>
    </row>
    <row r="1101" spans="3:55" x14ac:dyDescent="0.45">
      <c r="C1101">
        <v>89</v>
      </c>
      <c r="D1101">
        <v>6</v>
      </c>
      <c r="E1101">
        <v>4</v>
      </c>
      <c r="F1101">
        <v>0</v>
      </c>
      <c r="G1101">
        <v>0</v>
      </c>
      <c r="H1101">
        <v>0</v>
      </c>
      <c r="I1101">
        <v>0</v>
      </c>
      <c r="J1101">
        <v>0</v>
      </c>
      <c r="K1101">
        <v>0.5</v>
      </c>
      <c r="L1101">
        <v>0</v>
      </c>
      <c r="M1101">
        <v>0</v>
      </c>
      <c r="N1101">
        <v>0</v>
      </c>
      <c r="O1101">
        <v>0</v>
      </c>
      <c r="P1101">
        <v>0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1</v>
      </c>
      <c r="W1101">
        <v>920</v>
      </c>
      <c r="X1101">
        <v>50</v>
      </c>
      <c r="Y1101">
        <v>0</v>
      </c>
      <c r="Z1101">
        <v>0</v>
      </c>
      <c r="AA1101">
        <v>1</v>
      </c>
      <c r="AB1101">
        <v>0</v>
      </c>
      <c r="AC1101">
        <v>750</v>
      </c>
      <c r="AD1101">
        <v>1</v>
      </c>
      <c r="AE1101">
        <v>0</v>
      </c>
      <c r="AF1101">
        <v>1</v>
      </c>
      <c r="AG1101">
        <v>0</v>
      </c>
      <c r="AH1101">
        <v>0</v>
      </c>
      <c r="AI1101">
        <v>0</v>
      </c>
      <c r="AJ1101">
        <v>0</v>
      </c>
      <c r="AK1101">
        <v>0</v>
      </c>
      <c r="AL1101">
        <v>0</v>
      </c>
      <c r="AM1101">
        <v>0</v>
      </c>
      <c r="AN1101">
        <v>0</v>
      </c>
      <c r="AO1101">
        <v>0</v>
      </c>
      <c r="AP1101">
        <v>0</v>
      </c>
      <c r="AQ1101">
        <v>0</v>
      </c>
      <c r="AR1101">
        <v>0</v>
      </c>
      <c r="AS1101">
        <v>0</v>
      </c>
      <c r="AT1101">
        <f t="shared" si="53"/>
        <v>-3.1799999999999997</v>
      </c>
      <c r="AU1101">
        <f t="shared" si="51"/>
        <v>6</v>
      </c>
      <c r="AV1101">
        <f t="shared" si="52"/>
        <v>847.4</v>
      </c>
      <c r="AX1101">
        <v>905</v>
      </c>
      <c r="AY1101">
        <v>932</v>
      </c>
      <c r="AZ1101">
        <v>17.5</v>
      </c>
      <c r="BC1101" t="s">
        <v>215</v>
      </c>
    </row>
    <row r="1102" spans="3:55" x14ac:dyDescent="0.45">
      <c r="C1102">
        <v>89</v>
      </c>
      <c r="D1102">
        <v>6</v>
      </c>
      <c r="E1102">
        <v>4</v>
      </c>
      <c r="F1102">
        <v>0</v>
      </c>
      <c r="G1102">
        <v>0</v>
      </c>
      <c r="H1102">
        <v>0</v>
      </c>
      <c r="I1102">
        <v>0</v>
      </c>
      <c r="J1102">
        <v>0</v>
      </c>
      <c r="K1102">
        <v>0.5</v>
      </c>
      <c r="L1102">
        <v>0</v>
      </c>
      <c r="M1102">
        <v>0</v>
      </c>
      <c r="N1102">
        <v>0</v>
      </c>
      <c r="O1102">
        <v>0</v>
      </c>
      <c r="P1102">
        <v>0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1</v>
      </c>
      <c r="W1102">
        <v>920</v>
      </c>
      <c r="X1102">
        <v>50</v>
      </c>
      <c r="Y1102">
        <v>0</v>
      </c>
      <c r="Z1102">
        <v>0</v>
      </c>
      <c r="AA1102">
        <v>1</v>
      </c>
      <c r="AB1102">
        <v>0</v>
      </c>
      <c r="AC1102">
        <v>800</v>
      </c>
      <c r="AD1102">
        <v>1</v>
      </c>
      <c r="AE1102">
        <v>0</v>
      </c>
      <c r="AF1102">
        <v>1</v>
      </c>
      <c r="AG1102">
        <v>0</v>
      </c>
      <c r="AH1102">
        <v>0</v>
      </c>
      <c r="AI1102">
        <v>0</v>
      </c>
      <c r="AJ1102">
        <v>0</v>
      </c>
      <c r="AK1102">
        <v>0</v>
      </c>
      <c r="AL1102">
        <v>0</v>
      </c>
      <c r="AM1102">
        <v>0</v>
      </c>
      <c r="AN1102">
        <v>0</v>
      </c>
      <c r="AO1102">
        <v>0</v>
      </c>
      <c r="AP1102">
        <v>0</v>
      </c>
      <c r="AQ1102">
        <v>0</v>
      </c>
      <c r="AR1102">
        <v>0</v>
      </c>
      <c r="AS1102">
        <v>0</v>
      </c>
      <c r="AT1102">
        <f t="shared" si="53"/>
        <v>-3.1799999999999997</v>
      </c>
      <c r="AU1102">
        <f t="shared" si="51"/>
        <v>6</v>
      </c>
      <c r="AV1102">
        <f t="shared" si="52"/>
        <v>847.4</v>
      </c>
      <c r="AX1102">
        <v>913</v>
      </c>
      <c r="AY1102">
        <v>960</v>
      </c>
      <c r="AZ1102">
        <v>18.3</v>
      </c>
      <c r="BC1102" t="s">
        <v>156</v>
      </c>
    </row>
    <row r="1103" spans="3:55" x14ac:dyDescent="0.45">
      <c r="C1103">
        <v>89</v>
      </c>
      <c r="D1103">
        <v>6</v>
      </c>
      <c r="E1103">
        <v>4</v>
      </c>
      <c r="F1103">
        <v>0</v>
      </c>
      <c r="G1103">
        <v>0</v>
      </c>
      <c r="H1103">
        <v>0</v>
      </c>
      <c r="I1103">
        <v>0</v>
      </c>
      <c r="J1103">
        <v>0</v>
      </c>
      <c r="K1103">
        <v>0.5</v>
      </c>
      <c r="L1103">
        <v>0</v>
      </c>
      <c r="M1103">
        <v>0</v>
      </c>
      <c r="N1103">
        <v>0</v>
      </c>
      <c r="O1103">
        <v>0</v>
      </c>
      <c r="P1103">
        <v>0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1</v>
      </c>
      <c r="W1103">
        <v>920</v>
      </c>
      <c r="X1103">
        <v>50</v>
      </c>
      <c r="Y1103">
        <v>0</v>
      </c>
      <c r="Z1103">
        <v>0</v>
      </c>
      <c r="AA1103">
        <v>1</v>
      </c>
      <c r="AB1103">
        <v>0</v>
      </c>
      <c r="AC1103">
        <v>850</v>
      </c>
      <c r="AD1103">
        <v>1</v>
      </c>
      <c r="AE1103">
        <v>0</v>
      </c>
      <c r="AF1103">
        <v>1</v>
      </c>
      <c r="AG1103">
        <v>0</v>
      </c>
      <c r="AH1103">
        <v>0</v>
      </c>
      <c r="AI1103">
        <v>0</v>
      </c>
      <c r="AJ1103">
        <v>0</v>
      </c>
      <c r="AK1103">
        <v>0</v>
      </c>
      <c r="AL1103">
        <v>0</v>
      </c>
      <c r="AM1103">
        <v>0</v>
      </c>
      <c r="AN1103">
        <v>0</v>
      </c>
      <c r="AO1103">
        <v>0</v>
      </c>
      <c r="AP1103">
        <v>0</v>
      </c>
      <c r="AQ1103">
        <v>0</v>
      </c>
      <c r="AR1103">
        <v>0</v>
      </c>
      <c r="AS1103">
        <v>0</v>
      </c>
      <c r="AT1103">
        <f t="shared" si="53"/>
        <v>-3.1799999999999997</v>
      </c>
      <c r="AU1103">
        <f t="shared" si="51"/>
        <v>6</v>
      </c>
      <c r="AV1103">
        <f t="shared" si="52"/>
        <v>847.4</v>
      </c>
      <c r="AX1103">
        <v>900</v>
      </c>
      <c r="AY1103">
        <v>948</v>
      </c>
      <c r="AZ1103">
        <v>17</v>
      </c>
      <c r="BC1103" t="s">
        <v>156</v>
      </c>
    </row>
    <row r="1104" spans="3:55" x14ac:dyDescent="0.45">
      <c r="C1104">
        <v>89</v>
      </c>
      <c r="D1104">
        <v>6</v>
      </c>
      <c r="E1104">
        <v>4</v>
      </c>
      <c r="F1104">
        <v>0</v>
      </c>
      <c r="G1104">
        <v>0</v>
      </c>
      <c r="H1104">
        <v>0</v>
      </c>
      <c r="I1104">
        <v>0</v>
      </c>
      <c r="J1104">
        <v>0</v>
      </c>
      <c r="K1104">
        <v>0.5</v>
      </c>
      <c r="L1104">
        <v>0</v>
      </c>
      <c r="M1104">
        <v>0</v>
      </c>
      <c r="N1104">
        <v>0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1</v>
      </c>
      <c r="W1104">
        <v>920</v>
      </c>
      <c r="X1104">
        <v>50</v>
      </c>
      <c r="Y1104">
        <v>0</v>
      </c>
      <c r="Z1104">
        <v>0</v>
      </c>
      <c r="AA1104">
        <v>1</v>
      </c>
      <c r="AB1104">
        <v>0</v>
      </c>
      <c r="AC1104">
        <v>900</v>
      </c>
      <c r="AD1104">
        <v>1</v>
      </c>
      <c r="AE1104">
        <v>0</v>
      </c>
      <c r="AF1104">
        <v>1</v>
      </c>
      <c r="AG1104">
        <v>0</v>
      </c>
      <c r="AH1104">
        <v>0</v>
      </c>
      <c r="AI1104">
        <v>0</v>
      </c>
      <c r="AJ1104">
        <v>0</v>
      </c>
      <c r="AK1104">
        <v>0</v>
      </c>
      <c r="AL1104">
        <v>0</v>
      </c>
      <c r="AM1104">
        <v>0</v>
      </c>
      <c r="AN1104">
        <v>0</v>
      </c>
      <c r="AO1104">
        <v>0</v>
      </c>
      <c r="AP1104">
        <v>0</v>
      </c>
      <c r="AQ1104">
        <v>0</v>
      </c>
      <c r="AR1104">
        <v>0</v>
      </c>
      <c r="AS1104">
        <v>0</v>
      </c>
      <c r="AT1104">
        <f t="shared" si="53"/>
        <v>-3.1799999999999997</v>
      </c>
      <c r="AU1104">
        <f t="shared" si="51"/>
        <v>6</v>
      </c>
      <c r="AV1104">
        <f t="shared" si="52"/>
        <v>847.4</v>
      </c>
      <c r="AX1104">
        <v>900</v>
      </c>
      <c r="AY1104">
        <v>950</v>
      </c>
      <c r="AZ1104">
        <v>18</v>
      </c>
      <c r="BC1104" t="s">
        <v>156</v>
      </c>
    </row>
    <row r="1105" spans="3:55" x14ac:dyDescent="0.45">
      <c r="C1105">
        <v>89</v>
      </c>
      <c r="D1105">
        <v>6</v>
      </c>
      <c r="E1105">
        <v>4</v>
      </c>
      <c r="F1105">
        <v>0</v>
      </c>
      <c r="G1105">
        <v>0</v>
      </c>
      <c r="H1105">
        <v>0</v>
      </c>
      <c r="I1105">
        <v>0</v>
      </c>
      <c r="J1105">
        <v>0</v>
      </c>
      <c r="K1105">
        <v>0.5</v>
      </c>
      <c r="L1105">
        <v>0</v>
      </c>
      <c r="M1105">
        <v>0</v>
      </c>
      <c r="N1105">
        <v>0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1</v>
      </c>
      <c r="W1105">
        <v>1020</v>
      </c>
      <c r="X1105">
        <v>50</v>
      </c>
      <c r="Y1105">
        <v>0</v>
      </c>
      <c r="Z1105">
        <v>0</v>
      </c>
      <c r="AA1105">
        <v>1</v>
      </c>
      <c r="AB1105">
        <v>0</v>
      </c>
      <c r="AC1105">
        <v>0</v>
      </c>
      <c r="AD1105">
        <v>0</v>
      </c>
      <c r="AE1105">
        <v>0</v>
      </c>
      <c r="AF1105">
        <v>0</v>
      </c>
      <c r="AG1105">
        <v>0</v>
      </c>
      <c r="AH1105">
        <v>0</v>
      </c>
      <c r="AI1105">
        <v>0</v>
      </c>
      <c r="AJ1105">
        <v>0</v>
      </c>
      <c r="AK1105">
        <v>0</v>
      </c>
      <c r="AL1105">
        <v>0</v>
      </c>
      <c r="AM1105">
        <v>0</v>
      </c>
      <c r="AN1105">
        <v>0</v>
      </c>
      <c r="AO1105">
        <v>0</v>
      </c>
      <c r="AP1105">
        <v>0</v>
      </c>
      <c r="AQ1105">
        <v>0</v>
      </c>
      <c r="AR1105">
        <v>0</v>
      </c>
      <c r="AS1105">
        <v>0</v>
      </c>
      <c r="AT1105">
        <f t="shared" si="53"/>
        <v>-3.1799999999999997</v>
      </c>
      <c r="AU1105">
        <f t="shared" si="51"/>
        <v>6</v>
      </c>
      <c r="AV1105">
        <f t="shared" si="52"/>
        <v>847.4</v>
      </c>
      <c r="AX1105">
        <v>995</v>
      </c>
      <c r="AY1105">
        <v>1027</v>
      </c>
      <c r="AZ1105">
        <v>18</v>
      </c>
      <c r="BC1105" t="s">
        <v>156</v>
      </c>
    </row>
    <row r="1106" spans="3:55" x14ac:dyDescent="0.45">
      <c r="C1106">
        <v>89</v>
      </c>
      <c r="D1106">
        <v>6</v>
      </c>
      <c r="E1106">
        <v>4</v>
      </c>
      <c r="F1106">
        <v>0</v>
      </c>
      <c r="G1106">
        <v>0</v>
      </c>
      <c r="H1106">
        <v>0</v>
      </c>
      <c r="I1106">
        <v>0</v>
      </c>
      <c r="J1106">
        <v>0</v>
      </c>
      <c r="K1106">
        <v>0.5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1</v>
      </c>
      <c r="W1106">
        <v>1020</v>
      </c>
      <c r="X1106">
        <v>50</v>
      </c>
      <c r="Y1106">
        <v>0</v>
      </c>
      <c r="Z1106">
        <v>0</v>
      </c>
      <c r="AA1106">
        <v>1</v>
      </c>
      <c r="AB1106">
        <v>0</v>
      </c>
      <c r="AC1106">
        <v>750</v>
      </c>
      <c r="AD1106">
        <v>1</v>
      </c>
      <c r="AE1106">
        <v>0</v>
      </c>
      <c r="AF1106">
        <v>1</v>
      </c>
      <c r="AG1106">
        <v>0</v>
      </c>
      <c r="AH1106">
        <v>0</v>
      </c>
      <c r="AI1106">
        <v>0</v>
      </c>
      <c r="AJ1106">
        <v>0</v>
      </c>
      <c r="AK1106">
        <v>0</v>
      </c>
      <c r="AL1106">
        <v>0</v>
      </c>
      <c r="AM1106">
        <v>0</v>
      </c>
      <c r="AN1106">
        <v>0</v>
      </c>
      <c r="AO1106">
        <v>0</v>
      </c>
      <c r="AP1106">
        <v>0</v>
      </c>
      <c r="AQ1106">
        <v>0</v>
      </c>
      <c r="AR1106">
        <v>0</v>
      </c>
      <c r="AS1106">
        <v>0</v>
      </c>
      <c r="AT1106">
        <f t="shared" si="53"/>
        <v>-3.1799999999999997</v>
      </c>
      <c r="AU1106">
        <f t="shared" si="51"/>
        <v>6</v>
      </c>
      <c r="AV1106">
        <f t="shared" si="52"/>
        <v>847.4</v>
      </c>
      <c r="AX1106">
        <v>964</v>
      </c>
      <c r="AY1106">
        <v>1005</v>
      </c>
      <c r="AZ1106">
        <v>15.8</v>
      </c>
      <c r="BC1106" t="s">
        <v>156</v>
      </c>
    </row>
    <row r="1107" spans="3:55" x14ac:dyDescent="0.45">
      <c r="C1107">
        <v>89</v>
      </c>
      <c r="D1107">
        <v>6</v>
      </c>
      <c r="E1107">
        <v>4</v>
      </c>
      <c r="F1107">
        <v>0</v>
      </c>
      <c r="G1107">
        <v>0</v>
      </c>
      <c r="H1107">
        <v>0</v>
      </c>
      <c r="I1107">
        <v>0</v>
      </c>
      <c r="J1107">
        <v>0</v>
      </c>
      <c r="K1107">
        <v>0.5</v>
      </c>
      <c r="L1107">
        <v>0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1</v>
      </c>
      <c r="W1107">
        <v>1020</v>
      </c>
      <c r="X1107">
        <v>50</v>
      </c>
      <c r="Y1107">
        <v>0</v>
      </c>
      <c r="Z1107">
        <v>0</v>
      </c>
      <c r="AA1107">
        <v>1</v>
      </c>
      <c r="AB1107">
        <v>0</v>
      </c>
      <c r="AC1107">
        <v>800</v>
      </c>
      <c r="AD1107">
        <v>1</v>
      </c>
      <c r="AE1107">
        <v>0</v>
      </c>
      <c r="AF1107">
        <v>1</v>
      </c>
      <c r="AG1107">
        <v>0</v>
      </c>
      <c r="AH1107">
        <v>0</v>
      </c>
      <c r="AI1107">
        <v>0</v>
      </c>
      <c r="AJ1107">
        <v>0</v>
      </c>
      <c r="AK1107">
        <v>0</v>
      </c>
      <c r="AL1107">
        <v>0</v>
      </c>
      <c r="AM1107">
        <v>0</v>
      </c>
      <c r="AN1107">
        <v>0</v>
      </c>
      <c r="AO1107">
        <v>0</v>
      </c>
      <c r="AP1107">
        <v>0</v>
      </c>
      <c r="AQ1107">
        <v>0</v>
      </c>
      <c r="AR1107">
        <v>0</v>
      </c>
      <c r="AS1107">
        <v>0</v>
      </c>
      <c r="AT1107">
        <f t="shared" si="53"/>
        <v>-3.1799999999999997</v>
      </c>
      <c r="AU1107">
        <f t="shared" si="51"/>
        <v>6</v>
      </c>
      <c r="AV1107">
        <f t="shared" si="52"/>
        <v>847.4</v>
      </c>
      <c r="AX1107">
        <v>950</v>
      </c>
      <c r="AY1107">
        <v>987</v>
      </c>
      <c r="AZ1107">
        <v>16.7</v>
      </c>
      <c r="BC1107" t="s">
        <v>156</v>
      </c>
    </row>
    <row r="1108" spans="3:55" x14ac:dyDescent="0.45">
      <c r="C1108">
        <v>89</v>
      </c>
      <c r="D1108">
        <v>6</v>
      </c>
      <c r="E1108">
        <v>4</v>
      </c>
      <c r="F1108">
        <v>0</v>
      </c>
      <c r="G1108">
        <v>0</v>
      </c>
      <c r="H1108">
        <v>0</v>
      </c>
      <c r="I1108">
        <v>0</v>
      </c>
      <c r="J1108">
        <v>0</v>
      </c>
      <c r="K1108">
        <v>0.5</v>
      </c>
      <c r="L1108">
        <v>0</v>
      </c>
      <c r="M1108">
        <v>0</v>
      </c>
      <c r="N1108">
        <v>0</v>
      </c>
      <c r="O1108">
        <v>0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1</v>
      </c>
      <c r="W1108">
        <v>1020</v>
      </c>
      <c r="X1108">
        <v>50</v>
      </c>
      <c r="Y1108">
        <v>0</v>
      </c>
      <c r="Z1108">
        <v>0</v>
      </c>
      <c r="AA1108">
        <v>1</v>
      </c>
      <c r="AB1108">
        <v>0</v>
      </c>
      <c r="AC1108">
        <v>850</v>
      </c>
      <c r="AD1108">
        <v>1</v>
      </c>
      <c r="AE1108">
        <v>0</v>
      </c>
      <c r="AF1108">
        <v>1</v>
      </c>
      <c r="AG1108">
        <v>0</v>
      </c>
      <c r="AH1108">
        <v>0</v>
      </c>
      <c r="AI1108">
        <v>0</v>
      </c>
      <c r="AJ1108">
        <v>0</v>
      </c>
      <c r="AK1108">
        <v>0</v>
      </c>
      <c r="AL1108">
        <v>0</v>
      </c>
      <c r="AM1108">
        <v>0</v>
      </c>
      <c r="AN1108">
        <v>0</v>
      </c>
      <c r="AO1108">
        <v>0</v>
      </c>
      <c r="AP1108">
        <v>0</v>
      </c>
      <c r="AQ1108">
        <v>0</v>
      </c>
      <c r="AR1108">
        <v>0</v>
      </c>
      <c r="AS1108">
        <v>0</v>
      </c>
      <c r="AT1108">
        <f t="shared" si="53"/>
        <v>-3.1799999999999997</v>
      </c>
      <c r="AU1108">
        <f t="shared" si="51"/>
        <v>6</v>
      </c>
      <c r="AV1108">
        <f t="shared" si="52"/>
        <v>847.4</v>
      </c>
      <c r="AX1108">
        <v>940</v>
      </c>
      <c r="AY1108">
        <v>983</v>
      </c>
      <c r="AZ1108">
        <v>17</v>
      </c>
      <c r="BC1108" t="s">
        <v>156</v>
      </c>
    </row>
    <row r="1109" spans="3:55" x14ac:dyDescent="0.45">
      <c r="C1109">
        <v>89</v>
      </c>
      <c r="D1109">
        <v>6</v>
      </c>
      <c r="E1109">
        <v>4</v>
      </c>
      <c r="F1109">
        <v>0</v>
      </c>
      <c r="G1109">
        <v>0</v>
      </c>
      <c r="H1109">
        <v>0</v>
      </c>
      <c r="I1109">
        <v>0</v>
      </c>
      <c r="J1109">
        <v>0</v>
      </c>
      <c r="K1109">
        <v>0.5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1</v>
      </c>
      <c r="W1109">
        <v>1020</v>
      </c>
      <c r="X1109">
        <v>50</v>
      </c>
      <c r="Y1109">
        <v>0</v>
      </c>
      <c r="Z1109">
        <v>0</v>
      </c>
      <c r="AA1109">
        <v>1</v>
      </c>
      <c r="AB1109">
        <v>0</v>
      </c>
      <c r="AC1109">
        <v>900</v>
      </c>
      <c r="AD1109">
        <v>1</v>
      </c>
      <c r="AE1109">
        <v>0</v>
      </c>
      <c r="AF1109">
        <v>1</v>
      </c>
      <c r="AG1109">
        <v>0</v>
      </c>
      <c r="AH1109">
        <v>0</v>
      </c>
      <c r="AI1109">
        <v>0</v>
      </c>
      <c r="AJ1109">
        <v>0</v>
      </c>
      <c r="AK1109">
        <v>0</v>
      </c>
      <c r="AL1109">
        <v>0</v>
      </c>
      <c r="AM1109">
        <v>0</v>
      </c>
      <c r="AN1109">
        <v>0</v>
      </c>
      <c r="AO1109">
        <v>0</v>
      </c>
      <c r="AP1109">
        <v>0</v>
      </c>
      <c r="AQ1109">
        <v>0</v>
      </c>
      <c r="AR1109">
        <v>0</v>
      </c>
      <c r="AS1109">
        <v>0</v>
      </c>
      <c r="AT1109">
        <f t="shared" si="53"/>
        <v>-3.1799999999999997</v>
      </c>
      <c r="AU1109">
        <f t="shared" si="51"/>
        <v>6</v>
      </c>
      <c r="AV1109">
        <f t="shared" si="52"/>
        <v>847.4</v>
      </c>
      <c r="AX1109">
        <v>927</v>
      </c>
      <c r="AY1109">
        <v>967</v>
      </c>
      <c r="AZ1109">
        <v>17</v>
      </c>
      <c r="BC1109" t="s">
        <v>156</v>
      </c>
    </row>
    <row r="1110" spans="3:55" x14ac:dyDescent="0.45">
      <c r="C1110">
        <v>86.63</v>
      </c>
      <c r="D1110">
        <v>5</v>
      </c>
      <c r="E1110">
        <v>0</v>
      </c>
      <c r="F1110">
        <v>0</v>
      </c>
      <c r="G1110">
        <v>0</v>
      </c>
      <c r="H1110">
        <v>1.62</v>
      </c>
      <c r="I1110">
        <v>0</v>
      </c>
      <c r="J1110">
        <v>0</v>
      </c>
      <c r="K1110">
        <v>0</v>
      </c>
      <c r="L1110">
        <v>6.65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1</v>
      </c>
      <c r="W1110">
        <v>800</v>
      </c>
      <c r="X1110">
        <v>0</v>
      </c>
      <c r="Y1110">
        <v>0</v>
      </c>
      <c r="Z1110">
        <v>0</v>
      </c>
      <c r="AA1110">
        <v>1</v>
      </c>
      <c r="AB1110">
        <v>0</v>
      </c>
      <c r="AC1110">
        <v>780</v>
      </c>
      <c r="AD1110">
        <v>1</v>
      </c>
      <c r="AE1110">
        <v>0</v>
      </c>
      <c r="AF1110">
        <v>1</v>
      </c>
      <c r="AG1110">
        <v>0</v>
      </c>
      <c r="AH1110">
        <v>560</v>
      </c>
      <c r="AI1110">
        <v>6</v>
      </c>
      <c r="AJ1110">
        <v>0</v>
      </c>
      <c r="AK1110">
        <v>1</v>
      </c>
      <c r="AL1110">
        <v>0</v>
      </c>
      <c r="AM1110">
        <v>0</v>
      </c>
      <c r="AN1110">
        <v>0</v>
      </c>
      <c r="AO1110">
        <v>0</v>
      </c>
      <c r="AP1110">
        <v>0</v>
      </c>
      <c r="AQ1110">
        <v>0</v>
      </c>
      <c r="AR1110">
        <v>0</v>
      </c>
      <c r="AS1110">
        <v>0</v>
      </c>
      <c r="AT1110">
        <f t="shared" si="53"/>
        <v>6.3480000000000008</v>
      </c>
      <c r="AU1110">
        <f t="shared" si="51"/>
        <v>5</v>
      </c>
      <c r="AV1110">
        <f t="shared" si="52"/>
        <v>804.37700000000007</v>
      </c>
      <c r="AX1110">
        <v>1070.49</v>
      </c>
      <c r="AY1110">
        <v>1126.5899999999999</v>
      </c>
      <c r="AZ1110">
        <v>18.5685</v>
      </c>
      <c r="BC1110" t="s">
        <v>108</v>
      </c>
    </row>
    <row r="1111" spans="3:55" x14ac:dyDescent="0.45">
      <c r="C1111">
        <v>86.63</v>
      </c>
      <c r="D1111">
        <v>5</v>
      </c>
      <c r="E1111">
        <v>0</v>
      </c>
      <c r="F1111">
        <v>0</v>
      </c>
      <c r="G1111">
        <v>0</v>
      </c>
      <c r="H1111">
        <v>1.62</v>
      </c>
      <c r="I1111">
        <v>0</v>
      </c>
      <c r="J1111">
        <v>0</v>
      </c>
      <c r="K1111">
        <v>0</v>
      </c>
      <c r="L1111">
        <v>6.65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1</v>
      </c>
      <c r="W1111">
        <v>800</v>
      </c>
      <c r="X1111">
        <v>0</v>
      </c>
      <c r="Y1111">
        <v>0</v>
      </c>
      <c r="Z1111">
        <v>0</v>
      </c>
      <c r="AA1111">
        <v>1</v>
      </c>
      <c r="AB1111">
        <v>0</v>
      </c>
      <c r="AC1111">
        <v>780</v>
      </c>
      <c r="AD1111">
        <v>1</v>
      </c>
      <c r="AE1111">
        <v>0</v>
      </c>
      <c r="AF1111">
        <v>1</v>
      </c>
      <c r="AG1111">
        <v>0</v>
      </c>
      <c r="AH1111">
        <v>560</v>
      </c>
      <c r="AI1111">
        <v>6</v>
      </c>
      <c r="AJ1111">
        <v>0</v>
      </c>
      <c r="AK1111">
        <v>1</v>
      </c>
      <c r="AL1111">
        <v>0</v>
      </c>
      <c r="AM1111">
        <v>0</v>
      </c>
      <c r="AN1111">
        <v>0</v>
      </c>
      <c r="AO1111">
        <v>0</v>
      </c>
      <c r="AP1111">
        <v>0</v>
      </c>
      <c r="AQ1111">
        <v>0</v>
      </c>
      <c r="AR1111">
        <v>0</v>
      </c>
      <c r="AS1111">
        <v>0</v>
      </c>
      <c r="AT1111">
        <f t="shared" si="53"/>
        <v>6.3480000000000008</v>
      </c>
      <c r="AU1111">
        <f t="shared" si="51"/>
        <v>5</v>
      </c>
      <c r="AV1111">
        <f t="shared" si="52"/>
        <v>804.37700000000007</v>
      </c>
      <c r="AX1111">
        <v>1131.97</v>
      </c>
      <c r="AY1111">
        <v>1160.2</v>
      </c>
      <c r="AZ1111">
        <v>17.604500000000002</v>
      </c>
      <c r="BC1111" t="s">
        <v>108</v>
      </c>
    </row>
    <row r="1112" spans="3:55" x14ac:dyDescent="0.45">
      <c r="C1112">
        <v>86.63</v>
      </c>
      <c r="D1112">
        <v>5</v>
      </c>
      <c r="E1112">
        <v>0</v>
      </c>
      <c r="F1112">
        <v>0</v>
      </c>
      <c r="G1112">
        <v>0</v>
      </c>
      <c r="H1112">
        <v>1.62</v>
      </c>
      <c r="I1112">
        <v>0</v>
      </c>
      <c r="J1112">
        <v>0</v>
      </c>
      <c r="K1112">
        <v>0</v>
      </c>
      <c r="L1112">
        <v>6.65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1</v>
      </c>
      <c r="W1112">
        <v>800</v>
      </c>
      <c r="X1112">
        <v>0</v>
      </c>
      <c r="Y1112">
        <v>0</v>
      </c>
      <c r="Z1112">
        <v>0</v>
      </c>
      <c r="AA1112">
        <v>1</v>
      </c>
      <c r="AB1112">
        <v>0</v>
      </c>
      <c r="AC1112">
        <v>780</v>
      </c>
      <c r="AD1112">
        <v>1</v>
      </c>
      <c r="AE1112">
        <v>0</v>
      </c>
      <c r="AF1112">
        <v>1</v>
      </c>
      <c r="AG1112">
        <v>0</v>
      </c>
      <c r="AH1112">
        <v>560</v>
      </c>
      <c r="AI1112">
        <v>6</v>
      </c>
      <c r="AJ1112">
        <v>0</v>
      </c>
      <c r="AK1112">
        <v>1</v>
      </c>
      <c r="AL1112">
        <v>0</v>
      </c>
      <c r="AM1112">
        <v>0</v>
      </c>
      <c r="AN1112">
        <v>0</v>
      </c>
      <c r="AO1112">
        <v>0</v>
      </c>
      <c r="AP1112">
        <v>0</v>
      </c>
      <c r="AQ1112">
        <v>0</v>
      </c>
      <c r="AR1112">
        <v>0</v>
      </c>
      <c r="AS1112">
        <v>0</v>
      </c>
      <c r="AT1112">
        <f t="shared" si="53"/>
        <v>6.3480000000000008</v>
      </c>
      <c r="AU1112">
        <f t="shared" si="51"/>
        <v>5</v>
      </c>
      <c r="AV1112">
        <f t="shared" si="52"/>
        <v>804.37700000000007</v>
      </c>
      <c r="AX1112">
        <v>1066.3900000000001</v>
      </c>
      <c r="AY1112">
        <v>1098.76</v>
      </c>
      <c r="AZ1112">
        <v>18.0625</v>
      </c>
      <c r="BC1112" t="s">
        <v>108</v>
      </c>
    </row>
    <row r="1113" spans="3:55" x14ac:dyDescent="0.45">
      <c r="C1113">
        <v>86.63</v>
      </c>
      <c r="D1113">
        <v>5</v>
      </c>
      <c r="E1113">
        <v>0</v>
      </c>
      <c r="F1113">
        <v>0</v>
      </c>
      <c r="G1113">
        <v>0</v>
      </c>
      <c r="H1113">
        <v>1.62</v>
      </c>
      <c r="I1113">
        <v>0</v>
      </c>
      <c r="J1113">
        <v>0</v>
      </c>
      <c r="K1113">
        <v>0</v>
      </c>
      <c r="L1113">
        <v>6.65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1</v>
      </c>
      <c r="W1113">
        <v>830</v>
      </c>
      <c r="X1113">
        <v>0</v>
      </c>
      <c r="Y1113">
        <v>0</v>
      </c>
      <c r="Z1113">
        <v>0</v>
      </c>
      <c r="AA1113">
        <v>1</v>
      </c>
      <c r="AB1113">
        <v>0</v>
      </c>
      <c r="AC1113">
        <v>780</v>
      </c>
      <c r="AD1113">
        <v>1</v>
      </c>
      <c r="AE1113">
        <v>0</v>
      </c>
      <c r="AF1113">
        <v>1</v>
      </c>
      <c r="AG1113">
        <v>0</v>
      </c>
      <c r="AH1113">
        <v>560</v>
      </c>
      <c r="AI1113">
        <v>6</v>
      </c>
      <c r="AJ1113">
        <v>0</v>
      </c>
      <c r="AK1113">
        <v>1</v>
      </c>
      <c r="AL1113">
        <v>0</v>
      </c>
      <c r="AM1113">
        <v>0</v>
      </c>
      <c r="AN1113">
        <v>0</v>
      </c>
      <c r="AO1113">
        <v>0</v>
      </c>
      <c r="AP1113">
        <v>0</v>
      </c>
      <c r="AQ1113">
        <v>0</v>
      </c>
      <c r="AR1113">
        <v>0</v>
      </c>
      <c r="AS1113">
        <v>0</v>
      </c>
      <c r="AT1113">
        <f t="shared" si="53"/>
        <v>6.3480000000000008</v>
      </c>
      <c r="AU1113">
        <f t="shared" si="51"/>
        <v>5</v>
      </c>
      <c r="AV1113">
        <f t="shared" si="52"/>
        <v>804.37700000000007</v>
      </c>
      <c r="AX1113">
        <v>1110.1099999999999</v>
      </c>
      <c r="AY1113">
        <v>1180.3</v>
      </c>
      <c r="AZ1113">
        <v>15.9626</v>
      </c>
      <c r="BC1113" t="s">
        <v>108</v>
      </c>
    </row>
    <row r="1114" spans="3:55" x14ac:dyDescent="0.45">
      <c r="C1114">
        <v>86.63</v>
      </c>
      <c r="D1114">
        <v>5</v>
      </c>
      <c r="E1114">
        <v>0</v>
      </c>
      <c r="F1114">
        <v>0</v>
      </c>
      <c r="G1114">
        <v>0</v>
      </c>
      <c r="H1114">
        <v>1.62</v>
      </c>
      <c r="I1114">
        <v>0</v>
      </c>
      <c r="J1114">
        <v>0</v>
      </c>
      <c r="K1114">
        <v>0</v>
      </c>
      <c r="L1114">
        <v>6.65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1</v>
      </c>
      <c r="W1114">
        <v>830</v>
      </c>
      <c r="X1114">
        <v>0</v>
      </c>
      <c r="Y1114">
        <v>0</v>
      </c>
      <c r="Z1114">
        <v>0</v>
      </c>
      <c r="AA1114">
        <v>1</v>
      </c>
      <c r="AB1114">
        <v>0</v>
      </c>
      <c r="AC1114">
        <v>780</v>
      </c>
      <c r="AD1114">
        <v>1</v>
      </c>
      <c r="AE1114">
        <v>0</v>
      </c>
      <c r="AF1114">
        <v>1</v>
      </c>
      <c r="AG1114">
        <v>0</v>
      </c>
      <c r="AH1114">
        <v>560</v>
      </c>
      <c r="AI1114">
        <v>6</v>
      </c>
      <c r="AJ1114">
        <v>0</v>
      </c>
      <c r="AK1114">
        <v>1</v>
      </c>
      <c r="AL1114">
        <v>0</v>
      </c>
      <c r="AM1114">
        <v>0</v>
      </c>
      <c r="AN1114">
        <v>0</v>
      </c>
      <c r="AO1114">
        <v>0</v>
      </c>
      <c r="AP1114">
        <v>0</v>
      </c>
      <c r="AQ1114">
        <v>0</v>
      </c>
      <c r="AR1114">
        <v>0</v>
      </c>
      <c r="AS1114">
        <v>0</v>
      </c>
      <c r="AT1114">
        <f t="shared" si="53"/>
        <v>6.3480000000000008</v>
      </c>
      <c r="AU1114">
        <f t="shared" si="51"/>
        <v>5</v>
      </c>
      <c r="AV1114">
        <f t="shared" si="52"/>
        <v>804.37700000000007</v>
      </c>
      <c r="AX1114">
        <v>1145.6300000000001</v>
      </c>
      <c r="AY1114">
        <v>1178.0999999999999</v>
      </c>
      <c r="AZ1114">
        <v>13.6577</v>
      </c>
      <c r="BC1114" t="s">
        <v>108</v>
      </c>
    </row>
    <row r="1115" spans="3:55" x14ac:dyDescent="0.45">
      <c r="C1115">
        <v>86.63</v>
      </c>
      <c r="D1115">
        <v>5</v>
      </c>
      <c r="E1115">
        <v>0</v>
      </c>
      <c r="F1115">
        <v>0</v>
      </c>
      <c r="G1115">
        <v>0</v>
      </c>
      <c r="H1115">
        <v>1.62</v>
      </c>
      <c r="I1115">
        <v>0</v>
      </c>
      <c r="J1115">
        <v>0</v>
      </c>
      <c r="K1115">
        <v>0</v>
      </c>
      <c r="L1115">
        <v>6.65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1</v>
      </c>
      <c r="W1115">
        <v>830</v>
      </c>
      <c r="X1115">
        <v>0</v>
      </c>
      <c r="Y1115">
        <v>0</v>
      </c>
      <c r="Z1115">
        <v>0</v>
      </c>
      <c r="AA1115">
        <v>1</v>
      </c>
      <c r="AB1115">
        <v>0</v>
      </c>
      <c r="AC1115">
        <v>780</v>
      </c>
      <c r="AD1115">
        <v>1</v>
      </c>
      <c r="AE1115">
        <v>0</v>
      </c>
      <c r="AF1115">
        <v>1</v>
      </c>
      <c r="AG1115">
        <v>0</v>
      </c>
      <c r="AH1115">
        <v>560</v>
      </c>
      <c r="AI1115">
        <v>6</v>
      </c>
      <c r="AJ1115">
        <v>0</v>
      </c>
      <c r="AK1115">
        <v>1</v>
      </c>
      <c r="AL1115">
        <v>0</v>
      </c>
      <c r="AM1115">
        <v>0</v>
      </c>
      <c r="AN1115">
        <v>0</v>
      </c>
      <c r="AO1115">
        <v>0</v>
      </c>
      <c r="AP1115">
        <v>0</v>
      </c>
      <c r="AQ1115">
        <v>0</v>
      </c>
      <c r="AR1115">
        <v>0</v>
      </c>
      <c r="AS1115">
        <v>0</v>
      </c>
      <c r="AT1115">
        <f t="shared" si="53"/>
        <v>6.3480000000000008</v>
      </c>
      <c r="AU1115">
        <f t="shared" si="51"/>
        <v>5</v>
      </c>
      <c r="AV1115">
        <f t="shared" si="52"/>
        <v>804.37700000000007</v>
      </c>
      <c r="AX1115">
        <v>1144.26</v>
      </c>
      <c r="AY1115">
        <v>1188.3</v>
      </c>
      <c r="AZ1115">
        <v>11.9832</v>
      </c>
      <c r="BC1115" t="s">
        <v>108</v>
      </c>
    </row>
    <row r="1116" spans="3:55" x14ac:dyDescent="0.45">
      <c r="C1116">
        <v>86.63</v>
      </c>
      <c r="D1116">
        <v>5</v>
      </c>
      <c r="E1116">
        <v>0</v>
      </c>
      <c r="F1116">
        <v>0</v>
      </c>
      <c r="G1116">
        <v>0</v>
      </c>
      <c r="H1116">
        <v>1.62</v>
      </c>
      <c r="I1116">
        <v>0</v>
      </c>
      <c r="J1116">
        <v>0</v>
      </c>
      <c r="K1116">
        <v>0</v>
      </c>
      <c r="L1116">
        <v>6.65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1</v>
      </c>
      <c r="W1116">
        <v>860</v>
      </c>
      <c r="X1116">
        <v>0</v>
      </c>
      <c r="Y1116">
        <v>0</v>
      </c>
      <c r="Z1116">
        <v>0</v>
      </c>
      <c r="AA1116">
        <v>1</v>
      </c>
      <c r="AB1116">
        <v>0</v>
      </c>
      <c r="AC1116">
        <v>780</v>
      </c>
      <c r="AD1116">
        <v>1</v>
      </c>
      <c r="AE1116">
        <v>0</v>
      </c>
      <c r="AF1116">
        <v>1</v>
      </c>
      <c r="AG1116">
        <v>0</v>
      </c>
      <c r="AH1116">
        <v>560</v>
      </c>
      <c r="AI1116">
        <v>6</v>
      </c>
      <c r="AJ1116">
        <v>0</v>
      </c>
      <c r="AK1116">
        <v>1</v>
      </c>
      <c r="AL1116">
        <v>0</v>
      </c>
      <c r="AM1116">
        <v>0</v>
      </c>
      <c r="AN1116">
        <v>0</v>
      </c>
      <c r="AO1116">
        <v>0</v>
      </c>
      <c r="AP1116">
        <v>0</v>
      </c>
      <c r="AQ1116">
        <v>0</v>
      </c>
      <c r="AR1116">
        <v>0</v>
      </c>
      <c r="AS1116">
        <v>0</v>
      </c>
      <c r="AT1116">
        <f t="shared" si="53"/>
        <v>6.3480000000000008</v>
      </c>
      <c r="AU1116">
        <f t="shared" si="51"/>
        <v>5</v>
      </c>
      <c r="AV1116">
        <f t="shared" si="52"/>
        <v>804.37700000000007</v>
      </c>
      <c r="AX1116">
        <v>1122.4000000000001</v>
      </c>
      <c r="AY1116">
        <v>1172.04</v>
      </c>
      <c r="AZ1116">
        <v>17.9375</v>
      </c>
      <c r="BC1116" t="s">
        <v>108</v>
      </c>
    </row>
    <row r="1117" spans="3:55" x14ac:dyDescent="0.45">
      <c r="C1117">
        <v>86.63</v>
      </c>
      <c r="D1117">
        <v>5</v>
      </c>
      <c r="E1117">
        <v>0</v>
      </c>
      <c r="F1117">
        <v>0</v>
      </c>
      <c r="G1117">
        <v>0</v>
      </c>
      <c r="H1117">
        <v>1.62</v>
      </c>
      <c r="I1117">
        <v>0</v>
      </c>
      <c r="J1117">
        <v>0</v>
      </c>
      <c r="K1117">
        <v>0</v>
      </c>
      <c r="L1117">
        <v>6.65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1</v>
      </c>
      <c r="W1117">
        <v>860</v>
      </c>
      <c r="X1117">
        <v>0</v>
      </c>
      <c r="Y1117">
        <v>0</v>
      </c>
      <c r="Z1117">
        <v>0</v>
      </c>
      <c r="AA1117">
        <v>1</v>
      </c>
      <c r="AB1117">
        <v>0</v>
      </c>
      <c r="AC1117">
        <v>780</v>
      </c>
      <c r="AD1117">
        <v>1</v>
      </c>
      <c r="AE1117">
        <v>0</v>
      </c>
      <c r="AF1117">
        <v>1</v>
      </c>
      <c r="AG1117">
        <v>0</v>
      </c>
      <c r="AH1117">
        <v>560</v>
      </c>
      <c r="AI1117">
        <v>6</v>
      </c>
      <c r="AJ1117">
        <v>0</v>
      </c>
      <c r="AK1117">
        <v>1</v>
      </c>
      <c r="AL1117">
        <v>0</v>
      </c>
      <c r="AM1117">
        <v>0</v>
      </c>
      <c r="AN1117">
        <v>0</v>
      </c>
      <c r="AO1117">
        <v>0</v>
      </c>
      <c r="AP1117">
        <v>0</v>
      </c>
      <c r="AQ1117">
        <v>0</v>
      </c>
      <c r="AR1117">
        <v>0</v>
      </c>
      <c r="AS1117">
        <v>0</v>
      </c>
      <c r="AT1117">
        <f t="shared" si="53"/>
        <v>6.3480000000000008</v>
      </c>
      <c r="AU1117">
        <f t="shared" si="51"/>
        <v>5</v>
      </c>
      <c r="AV1117">
        <f t="shared" si="52"/>
        <v>804.37700000000007</v>
      </c>
      <c r="AX1117">
        <v>1136.07</v>
      </c>
      <c r="AY1117">
        <v>1173.96</v>
      </c>
      <c r="AZ1117">
        <v>15.394299999999999</v>
      </c>
      <c r="BC1117" t="s">
        <v>108</v>
      </c>
    </row>
    <row r="1118" spans="3:55" x14ac:dyDescent="0.45">
      <c r="C1118">
        <v>86.63</v>
      </c>
      <c r="D1118">
        <v>5</v>
      </c>
      <c r="E1118">
        <v>0</v>
      </c>
      <c r="F1118">
        <v>0</v>
      </c>
      <c r="G1118">
        <v>0</v>
      </c>
      <c r="H1118">
        <v>1.62</v>
      </c>
      <c r="I1118">
        <v>0</v>
      </c>
      <c r="J1118">
        <v>0</v>
      </c>
      <c r="K1118">
        <v>0</v>
      </c>
      <c r="L1118">
        <v>6.65</v>
      </c>
      <c r="M1118">
        <v>0</v>
      </c>
      <c r="N1118">
        <v>0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1</v>
      </c>
      <c r="W1118">
        <v>860</v>
      </c>
      <c r="X1118">
        <v>0</v>
      </c>
      <c r="Y1118">
        <v>0</v>
      </c>
      <c r="Z1118">
        <v>0</v>
      </c>
      <c r="AA1118">
        <v>1</v>
      </c>
      <c r="AB1118">
        <v>0</v>
      </c>
      <c r="AC1118">
        <v>780</v>
      </c>
      <c r="AD1118">
        <v>1</v>
      </c>
      <c r="AE1118">
        <v>0</v>
      </c>
      <c r="AF1118">
        <v>1</v>
      </c>
      <c r="AG1118">
        <v>0</v>
      </c>
      <c r="AH1118">
        <v>560</v>
      </c>
      <c r="AI1118">
        <v>6</v>
      </c>
      <c r="AJ1118">
        <v>0</v>
      </c>
      <c r="AK1118">
        <v>1</v>
      </c>
      <c r="AL1118">
        <v>0</v>
      </c>
      <c r="AM1118">
        <v>0</v>
      </c>
      <c r="AN1118">
        <v>0</v>
      </c>
      <c r="AO1118">
        <v>0</v>
      </c>
      <c r="AP1118">
        <v>0</v>
      </c>
      <c r="AQ1118">
        <v>0</v>
      </c>
      <c r="AR1118">
        <v>0</v>
      </c>
      <c r="AS1118">
        <v>0</v>
      </c>
      <c r="AT1118">
        <f t="shared" si="53"/>
        <v>6.3480000000000008</v>
      </c>
      <c r="AU1118">
        <f t="shared" si="51"/>
        <v>5</v>
      </c>
      <c r="AV1118">
        <f t="shared" si="52"/>
        <v>804.37700000000007</v>
      </c>
      <c r="AX1118">
        <v>1133.33</v>
      </c>
      <c r="AY1118">
        <v>1173.1400000000001</v>
      </c>
      <c r="AZ1118">
        <v>12.5359</v>
      </c>
      <c r="BC1118" t="s">
        <v>108</v>
      </c>
    </row>
    <row r="1119" spans="3:55" x14ac:dyDescent="0.45">
      <c r="C1119">
        <v>86.63</v>
      </c>
      <c r="D1119">
        <v>5</v>
      </c>
      <c r="E1119">
        <v>0</v>
      </c>
      <c r="F1119">
        <v>0</v>
      </c>
      <c r="G1119">
        <v>0</v>
      </c>
      <c r="H1119">
        <v>1.62</v>
      </c>
      <c r="I1119">
        <v>0</v>
      </c>
      <c r="J1119">
        <v>0</v>
      </c>
      <c r="K1119">
        <v>0</v>
      </c>
      <c r="L1119">
        <v>6.65</v>
      </c>
      <c r="M1119">
        <v>0</v>
      </c>
      <c r="N1119">
        <v>0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1</v>
      </c>
      <c r="W1119">
        <v>890</v>
      </c>
      <c r="X1119">
        <v>0</v>
      </c>
      <c r="Y1119">
        <v>0</v>
      </c>
      <c r="Z1119">
        <v>0</v>
      </c>
      <c r="AA1119">
        <v>1</v>
      </c>
      <c r="AB1119">
        <v>0</v>
      </c>
      <c r="AC1119">
        <v>780</v>
      </c>
      <c r="AD1119">
        <v>1</v>
      </c>
      <c r="AE1119">
        <v>0</v>
      </c>
      <c r="AF1119">
        <v>1</v>
      </c>
      <c r="AG1119">
        <v>0</v>
      </c>
      <c r="AH1119">
        <v>560</v>
      </c>
      <c r="AI1119">
        <v>6</v>
      </c>
      <c r="AJ1119">
        <v>0</v>
      </c>
      <c r="AK1119">
        <v>1</v>
      </c>
      <c r="AL1119">
        <v>0</v>
      </c>
      <c r="AM1119">
        <v>0</v>
      </c>
      <c r="AN1119">
        <v>0</v>
      </c>
      <c r="AO1119">
        <v>0</v>
      </c>
      <c r="AP1119">
        <v>0</v>
      </c>
      <c r="AQ1119">
        <v>0</v>
      </c>
      <c r="AR1119">
        <v>0</v>
      </c>
      <c r="AS1119">
        <v>0</v>
      </c>
      <c r="AT1119">
        <f t="shared" si="53"/>
        <v>6.3480000000000008</v>
      </c>
      <c r="AU1119">
        <f t="shared" si="51"/>
        <v>5</v>
      </c>
      <c r="AV1119">
        <f t="shared" si="52"/>
        <v>804.37700000000007</v>
      </c>
      <c r="AX1119">
        <v>1114.21</v>
      </c>
      <c r="AY1119">
        <v>1161.02</v>
      </c>
      <c r="AZ1119">
        <v>17.0685</v>
      </c>
      <c r="BC1119" t="s">
        <v>108</v>
      </c>
    </row>
    <row r="1120" spans="3:55" x14ac:dyDescent="0.45">
      <c r="C1120">
        <v>86.63</v>
      </c>
      <c r="D1120">
        <v>5</v>
      </c>
      <c r="E1120">
        <v>0</v>
      </c>
      <c r="F1120">
        <v>0</v>
      </c>
      <c r="G1120">
        <v>0</v>
      </c>
      <c r="H1120">
        <v>1.62</v>
      </c>
      <c r="I1120">
        <v>0</v>
      </c>
      <c r="J1120">
        <v>0</v>
      </c>
      <c r="K1120">
        <v>0</v>
      </c>
      <c r="L1120">
        <v>6.65</v>
      </c>
      <c r="M1120">
        <v>0</v>
      </c>
      <c r="N1120">
        <v>0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1</v>
      </c>
      <c r="W1120">
        <v>890</v>
      </c>
      <c r="X1120">
        <v>0</v>
      </c>
      <c r="Y1120">
        <v>0</v>
      </c>
      <c r="Z1120">
        <v>0</v>
      </c>
      <c r="AA1120">
        <v>1</v>
      </c>
      <c r="AB1120">
        <v>0</v>
      </c>
      <c r="AC1120">
        <v>780</v>
      </c>
      <c r="AD1120">
        <v>1</v>
      </c>
      <c r="AE1120">
        <v>0</v>
      </c>
      <c r="AF1120">
        <v>1</v>
      </c>
      <c r="AG1120">
        <v>0</v>
      </c>
      <c r="AH1120">
        <v>560</v>
      </c>
      <c r="AI1120">
        <v>6</v>
      </c>
      <c r="AJ1120">
        <v>0</v>
      </c>
      <c r="AK1120">
        <v>1</v>
      </c>
      <c r="AL1120">
        <v>0</v>
      </c>
      <c r="AM1120">
        <v>0</v>
      </c>
      <c r="AN1120">
        <v>0</v>
      </c>
      <c r="AO1120">
        <v>0</v>
      </c>
      <c r="AP1120">
        <v>0</v>
      </c>
      <c r="AQ1120">
        <v>0</v>
      </c>
      <c r="AR1120">
        <v>0</v>
      </c>
      <c r="AS1120">
        <v>0</v>
      </c>
      <c r="AT1120">
        <f t="shared" si="53"/>
        <v>6.3480000000000008</v>
      </c>
      <c r="AU1120">
        <f t="shared" si="51"/>
        <v>5</v>
      </c>
      <c r="AV1120">
        <f t="shared" si="52"/>
        <v>804.37700000000007</v>
      </c>
      <c r="AX1120">
        <v>1125.1400000000001</v>
      </c>
      <c r="AY1120">
        <v>1162.6400000000001</v>
      </c>
      <c r="AZ1120">
        <v>10.420500000000001</v>
      </c>
      <c r="BC1120" t="s">
        <v>108</v>
      </c>
    </row>
    <row r="1121" spans="3:55" x14ac:dyDescent="0.45">
      <c r="C1121">
        <v>86.63</v>
      </c>
      <c r="D1121">
        <v>5</v>
      </c>
      <c r="E1121">
        <v>0</v>
      </c>
      <c r="F1121">
        <v>0</v>
      </c>
      <c r="G1121">
        <v>0</v>
      </c>
      <c r="H1121">
        <v>1.62</v>
      </c>
      <c r="I1121">
        <v>0</v>
      </c>
      <c r="J1121">
        <v>0</v>
      </c>
      <c r="K1121">
        <v>0</v>
      </c>
      <c r="L1121">
        <v>6.65</v>
      </c>
      <c r="M1121">
        <v>0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1</v>
      </c>
      <c r="W1121">
        <v>890</v>
      </c>
      <c r="X1121">
        <v>0</v>
      </c>
      <c r="Y1121">
        <v>0</v>
      </c>
      <c r="Z1121">
        <v>0</v>
      </c>
      <c r="AA1121">
        <v>1</v>
      </c>
      <c r="AB1121">
        <v>0</v>
      </c>
      <c r="AC1121">
        <v>780</v>
      </c>
      <c r="AD1121">
        <v>1</v>
      </c>
      <c r="AE1121">
        <v>0</v>
      </c>
      <c r="AF1121">
        <v>1</v>
      </c>
      <c r="AG1121">
        <v>0</v>
      </c>
      <c r="AH1121">
        <v>560</v>
      </c>
      <c r="AI1121">
        <v>6</v>
      </c>
      <c r="AJ1121">
        <v>0</v>
      </c>
      <c r="AK1121">
        <v>1</v>
      </c>
      <c r="AL1121">
        <v>0</v>
      </c>
      <c r="AM1121">
        <v>0</v>
      </c>
      <c r="AN1121">
        <v>0</v>
      </c>
      <c r="AO1121">
        <v>0</v>
      </c>
      <c r="AP1121">
        <v>0</v>
      </c>
      <c r="AQ1121">
        <v>0</v>
      </c>
      <c r="AR1121">
        <v>0</v>
      </c>
      <c r="AS1121">
        <v>0</v>
      </c>
      <c r="AT1121">
        <f t="shared" si="53"/>
        <v>6.3480000000000008</v>
      </c>
      <c r="AU1121">
        <f t="shared" si="51"/>
        <v>5</v>
      </c>
      <c r="AV1121">
        <f t="shared" si="52"/>
        <v>804.37700000000007</v>
      </c>
      <c r="AX1121">
        <v>1108.74</v>
      </c>
      <c r="AY1121">
        <v>1153.3</v>
      </c>
      <c r="AZ1121">
        <v>14.746700000000001</v>
      </c>
      <c r="BC1121" t="s">
        <v>108</v>
      </c>
    </row>
    <row r="1122" spans="3:55" x14ac:dyDescent="0.45">
      <c r="C1122">
        <v>86.63</v>
      </c>
      <c r="D1122">
        <v>5</v>
      </c>
      <c r="E1122">
        <v>0</v>
      </c>
      <c r="F1122">
        <v>0</v>
      </c>
      <c r="G1122">
        <v>0</v>
      </c>
      <c r="H1122">
        <v>1.62</v>
      </c>
      <c r="I1122">
        <v>0</v>
      </c>
      <c r="J1122">
        <v>0</v>
      </c>
      <c r="K1122">
        <v>0</v>
      </c>
      <c r="L1122">
        <v>6.65</v>
      </c>
      <c r="M1122">
        <v>0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1</v>
      </c>
      <c r="W1122">
        <v>920</v>
      </c>
      <c r="X1122">
        <v>0</v>
      </c>
      <c r="Y1122">
        <v>0</v>
      </c>
      <c r="Z1122">
        <v>0</v>
      </c>
      <c r="AA1122">
        <v>1</v>
      </c>
      <c r="AB1122">
        <v>0</v>
      </c>
      <c r="AC1122">
        <v>780</v>
      </c>
      <c r="AD1122">
        <v>1</v>
      </c>
      <c r="AE1122">
        <v>0</v>
      </c>
      <c r="AF1122">
        <v>1</v>
      </c>
      <c r="AG1122">
        <v>0</v>
      </c>
      <c r="AH1122">
        <v>560</v>
      </c>
      <c r="AI1122">
        <v>6</v>
      </c>
      <c r="AJ1122">
        <v>0</v>
      </c>
      <c r="AK1122">
        <v>1</v>
      </c>
      <c r="AL1122">
        <v>0</v>
      </c>
      <c r="AM1122">
        <v>0</v>
      </c>
      <c r="AN1122">
        <v>0</v>
      </c>
      <c r="AO1122">
        <v>0</v>
      </c>
      <c r="AP1122">
        <v>0</v>
      </c>
      <c r="AQ1122">
        <v>0</v>
      </c>
      <c r="AR1122">
        <v>0</v>
      </c>
      <c r="AS1122">
        <v>0</v>
      </c>
      <c r="AT1122">
        <f t="shared" si="53"/>
        <v>6.3480000000000008</v>
      </c>
      <c r="AU1122">
        <f t="shared" si="51"/>
        <v>5</v>
      </c>
      <c r="AV1122">
        <f t="shared" si="52"/>
        <v>804.37700000000007</v>
      </c>
      <c r="AX1122">
        <v>1062.3</v>
      </c>
      <c r="AY1122">
        <v>1130.72</v>
      </c>
      <c r="AZ1122">
        <v>13.8316</v>
      </c>
      <c r="BC1122" t="s">
        <v>108</v>
      </c>
    </row>
    <row r="1123" spans="3:55" x14ac:dyDescent="0.45">
      <c r="C1123">
        <v>86.63</v>
      </c>
      <c r="D1123">
        <v>5</v>
      </c>
      <c r="E1123">
        <v>0</v>
      </c>
      <c r="F1123">
        <v>0</v>
      </c>
      <c r="G1123">
        <v>0</v>
      </c>
      <c r="H1123">
        <v>1.62</v>
      </c>
      <c r="I1123">
        <v>0</v>
      </c>
      <c r="J1123">
        <v>0</v>
      </c>
      <c r="K1123">
        <v>0</v>
      </c>
      <c r="L1123">
        <v>6.65</v>
      </c>
      <c r="M1123">
        <v>0</v>
      </c>
      <c r="N1123">
        <v>0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1</v>
      </c>
      <c r="W1123">
        <v>920</v>
      </c>
      <c r="X1123">
        <v>0</v>
      </c>
      <c r="Y1123">
        <v>0</v>
      </c>
      <c r="Z1123">
        <v>0</v>
      </c>
      <c r="AA1123">
        <v>1</v>
      </c>
      <c r="AB1123">
        <v>0</v>
      </c>
      <c r="AC1123">
        <v>780</v>
      </c>
      <c r="AD1123">
        <v>1</v>
      </c>
      <c r="AE1123">
        <v>0</v>
      </c>
      <c r="AF1123">
        <v>1</v>
      </c>
      <c r="AG1123">
        <v>0</v>
      </c>
      <c r="AH1123">
        <v>560</v>
      </c>
      <c r="AI1123">
        <v>6</v>
      </c>
      <c r="AJ1123">
        <v>0</v>
      </c>
      <c r="AK1123">
        <v>1</v>
      </c>
      <c r="AL1123">
        <v>0</v>
      </c>
      <c r="AM1123">
        <v>0</v>
      </c>
      <c r="AN1123">
        <v>0</v>
      </c>
      <c r="AO1123">
        <v>0</v>
      </c>
      <c r="AP1123">
        <v>0</v>
      </c>
      <c r="AQ1123">
        <v>0</v>
      </c>
      <c r="AR1123">
        <v>0</v>
      </c>
      <c r="AS1123">
        <v>0</v>
      </c>
      <c r="AT1123">
        <f t="shared" si="53"/>
        <v>6.3480000000000008</v>
      </c>
      <c r="AU1123">
        <f t="shared" si="51"/>
        <v>5</v>
      </c>
      <c r="AV1123">
        <f t="shared" si="52"/>
        <v>804.37700000000007</v>
      </c>
      <c r="AX1123">
        <v>1103.1600000000001</v>
      </c>
      <c r="AY1123">
        <v>1172.5899999999999</v>
      </c>
      <c r="AZ1123">
        <v>9.5527300000000004</v>
      </c>
      <c r="BC1123" t="s">
        <v>108</v>
      </c>
    </row>
    <row r="1124" spans="3:55" x14ac:dyDescent="0.45">
      <c r="C1124">
        <v>86.63</v>
      </c>
      <c r="D1124">
        <v>5</v>
      </c>
      <c r="E1124">
        <v>0</v>
      </c>
      <c r="F1124">
        <v>0</v>
      </c>
      <c r="G1124">
        <v>0</v>
      </c>
      <c r="H1124">
        <v>1.62</v>
      </c>
      <c r="I1124">
        <v>0</v>
      </c>
      <c r="J1124">
        <v>0</v>
      </c>
      <c r="K1124">
        <v>0</v>
      </c>
      <c r="L1124">
        <v>6.65</v>
      </c>
      <c r="M1124">
        <v>0</v>
      </c>
      <c r="N1124">
        <v>0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1</v>
      </c>
      <c r="W1124">
        <v>920</v>
      </c>
      <c r="X1124">
        <v>0</v>
      </c>
      <c r="Y1124">
        <v>0</v>
      </c>
      <c r="Z1124">
        <v>0</v>
      </c>
      <c r="AA1124">
        <v>1</v>
      </c>
      <c r="AB1124">
        <v>0</v>
      </c>
      <c r="AC1124">
        <v>780</v>
      </c>
      <c r="AD1124">
        <v>1</v>
      </c>
      <c r="AE1124">
        <v>0</v>
      </c>
      <c r="AF1124">
        <v>1</v>
      </c>
      <c r="AG1124">
        <v>0</v>
      </c>
      <c r="AH1124">
        <v>560</v>
      </c>
      <c r="AI1124">
        <v>6</v>
      </c>
      <c r="AJ1124">
        <v>0</v>
      </c>
      <c r="AK1124">
        <v>1</v>
      </c>
      <c r="AL1124">
        <v>0</v>
      </c>
      <c r="AM1124">
        <v>0</v>
      </c>
      <c r="AN1124">
        <v>0</v>
      </c>
      <c r="AO1124">
        <v>0</v>
      </c>
      <c r="AP1124">
        <v>0</v>
      </c>
      <c r="AQ1124">
        <v>0</v>
      </c>
      <c r="AR1124">
        <v>0</v>
      </c>
      <c r="AS1124">
        <v>0</v>
      </c>
      <c r="AT1124">
        <f t="shared" si="53"/>
        <v>6.3480000000000008</v>
      </c>
      <c r="AU1124">
        <f t="shared" si="51"/>
        <v>5</v>
      </c>
      <c r="AV1124">
        <f t="shared" si="52"/>
        <v>804.37700000000007</v>
      </c>
      <c r="AX1124">
        <v>1086.96</v>
      </c>
      <c r="AY1124">
        <v>1167.6300000000001</v>
      </c>
      <c r="AZ1124">
        <v>10.009499999999999</v>
      </c>
      <c r="BC1124" t="s">
        <v>108</v>
      </c>
    </row>
    <row r="1125" spans="3:55" x14ac:dyDescent="0.45">
      <c r="C1125">
        <v>86.63</v>
      </c>
      <c r="D1125">
        <v>5</v>
      </c>
      <c r="E1125">
        <v>0</v>
      </c>
      <c r="F1125">
        <v>0</v>
      </c>
      <c r="G1125">
        <v>0</v>
      </c>
      <c r="H1125">
        <v>1.62</v>
      </c>
      <c r="I1125">
        <v>0</v>
      </c>
      <c r="J1125">
        <v>0</v>
      </c>
      <c r="K1125">
        <v>0</v>
      </c>
      <c r="L1125">
        <v>6.65</v>
      </c>
      <c r="M1125">
        <v>0</v>
      </c>
      <c r="N1125">
        <v>0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1</v>
      </c>
      <c r="W1125">
        <v>950</v>
      </c>
      <c r="X1125">
        <v>0</v>
      </c>
      <c r="Y1125">
        <v>0</v>
      </c>
      <c r="Z1125">
        <v>0</v>
      </c>
      <c r="AA1125">
        <v>1</v>
      </c>
      <c r="AB1125">
        <v>0</v>
      </c>
      <c r="AC1125">
        <v>780</v>
      </c>
      <c r="AD1125">
        <v>1</v>
      </c>
      <c r="AE1125">
        <v>0</v>
      </c>
      <c r="AF1125">
        <v>1</v>
      </c>
      <c r="AG1125">
        <v>0</v>
      </c>
      <c r="AH1125">
        <v>560</v>
      </c>
      <c r="AI1125">
        <v>6</v>
      </c>
      <c r="AJ1125">
        <v>0</v>
      </c>
      <c r="AK1125">
        <v>1</v>
      </c>
      <c r="AL1125">
        <v>0</v>
      </c>
      <c r="AM1125">
        <v>0</v>
      </c>
      <c r="AN1125">
        <v>0</v>
      </c>
      <c r="AO1125">
        <v>0</v>
      </c>
      <c r="AP1125">
        <v>0</v>
      </c>
      <c r="AQ1125">
        <v>0</v>
      </c>
      <c r="AR1125">
        <v>0</v>
      </c>
      <c r="AS1125">
        <v>0</v>
      </c>
      <c r="AT1125">
        <f t="shared" si="53"/>
        <v>6.3480000000000008</v>
      </c>
      <c r="AU1125">
        <f t="shared" si="51"/>
        <v>5</v>
      </c>
      <c r="AV1125">
        <f t="shared" si="52"/>
        <v>804.37700000000007</v>
      </c>
      <c r="AX1125">
        <v>1090.98</v>
      </c>
      <c r="AY1125">
        <v>1147.24</v>
      </c>
      <c r="AZ1125">
        <v>12.0158</v>
      </c>
      <c r="BC1125" t="s">
        <v>108</v>
      </c>
    </row>
    <row r="1126" spans="3:55" x14ac:dyDescent="0.45">
      <c r="C1126">
        <v>86.63</v>
      </c>
      <c r="D1126">
        <v>5</v>
      </c>
      <c r="E1126">
        <v>0</v>
      </c>
      <c r="F1126">
        <v>0</v>
      </c>
      <c r="G1126">
        <v>0</v>
      </c>
      <c r="H1126">
        <v>1.62</v>
      </c>
      <c r="I1126">
        <v>0</v>
      </c>
      <c r="J1126">
        <v>0</v>
      </c>
      <c r="K1126">
        <v>0</v>
      </c>
      <c r="L1126">
        <v>6.65</v>
      </c>
      <c r="M1126">
        <v>0</v>
      </c>
      <c r="N1126">
        <v>0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1</v>
      </c>
      <c r="W1126">
        <v>950</v>
      </c>
      <c r="X1126">
        <v>0</v>
      </c>
      <c r="Y1126">
        <v>0</v>
      </c>
      <c r="Z1126">
        <v>0</v>
      </c>
      <c r="AA1126">
        <v>1</v>
      </c>
      <c r="AB1126">
        <v>0</v>
      </c>
      <c r="AC1126">
        <v>780</v>
      </c>
      <c r="AD1126">
        <v>1</v>
      </c>
      <c r="AE1126">
        <v>0</v>
      </c>
      <c r="AF1126">
        <v>1</v>
      </c>
      <c r="AG1126">
        <v>0</v>
      </c>
      <c r="AH1126">
        <v>560</v>
      </c>
      <c r="AI1126">
        <v>6</v>
      </c>
      <c r="AJ1126">
        <v>0</v>
      </c>
      <c r="AK1126">
        <v>1</v>
      </c>
      <c r="AL1126">
        <v>0</v>
      </c>
      <c r="AM1126">
        <v>0</v>
      </c>
      <c r="AN1126">
        <v>0</v>
      </c>
      <c r="AO1126">
        <v>0</v>
      </c>
      <c r="AP1126">
        <v>0</v>
      </c>
      <c r="AQ1126">
        <v>0</v>
      </c>
      <c r="AR1126">
        <v>0</v>
      </c>
      <c r="AS1126">
        <v>0</v>
      </c>
      <c r="AT1126">
        <f t="shared" si="53"/>
        <v>6.3480000000000008</v>
      </c>
      <c r="AU1126">
        <f t="shared" si="51"/>
        <v>5</v>
      </c>
      <c r="AV1126">
        <f t="shared" si="52"/>
        <v>804.37700000000007</v>
      </c>
      <c r="AX1126">
        <v>1126.51</v>
      </c>
      <c r="AY1126">
        <v>1186.3699999999999</v>
      </c>
      <c r="AZ1126">
        <v>12.077500000000001</v>
      </c>
      <c r="BC1126" t="s">
        <v>108</v>
      </c>
    </row>
    <row r="1127" spans="3:55" x14ac:dyDescent="0.45">
      <c r="C1127">
        <v>93.388000000000005</v>
      </c>
      <c r="D1127">
        <v>2.61</v>
      </c>
      <c r="E1127">
        <v>0</v>
      </c>
      <c r="F1127">
        <v>0</v>
      </c>
      <c r="G1127">
        <v>0</v>
      </c>
      <c r="H1127">
        <v>0</v>
      </c>
      <c r="I1127">
        <v>0</v>
      </c>
      <c r="J1127">
        <v>3.07</v>
      </c>
      <c r="K1127">
        <v>0.02</v>
      </c>
      <c r="L1127">
        <v>0.86</v>
      </c>
      <c r="M1127">
        <v>0</v>
      </c>
      <c r="N1127">
        <v>0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1</v>
      </c>
      <c r="W1127">
        <v>0</v>
      </c>
      <c r="X1127">
        <v>0</v>
      </c>
      <c r="Y1127">
        <v>0</v>
      </c>
      <c r="Z1127">
        <v>0</v>
      </c>
      <c r="AA1127">
        <v>1</v>
      </c>
      <c r="AB1127">
        <v>0</v>
      </c>
      <c r="AC1127">
        <v>950</v>
      </c>
      <c r="AD1127">
        <v>1</v>
      </c>
      <c r="AE1127">
        <v>0</v>
      </c>
      <c r="AF1127">
        <v>0</v>
      </c>
      <c r="AG1127">
        <v>0</v>
      </c>
      <c r="AH1127">
        <v>0</v>
      </c>
      <c r="AI1127">
        <v>0</v>
      </c>
      <c r="AJ1127">
        <v>0</v>
      </c>
      <c r="AK1127">
        <v>0</v>
      </c>
      <c r="AL1127">
        <v>0</v>
      </c>
      <c r="AM1127">
        <v>0</v>
      </c>
      <c r="AN1127">
        <v>0</v>
      </c>
      <c r="AO1127">
        <v>0</v>
      </c>
      <c r="AP1127">
        <v>0</v>
      </c>
      <c r="AQ1127">
        <v>0</v>
      </c>
      <c r="AR1127">
        <v>0</v>
      </c>
      <c r="AS1127">
        <v>0</v>
      </c>
      <c r="AT1127">
        <f t="shared" si="53"/>
        <v>-1.7443999999999997</v>
      </c>
      <c r="AU1127">
        <f t="shared" si="51"/>
        <v>3.1216666666666666</v>
      </c>
      <c r="AV1127">
        <f t="shared" si="52"/>
        <v>858.12800000000004</v>
      </c>
      <c r="BB1127" t="s">
        <v>322</v>
      </c>
      <c r="BC1127" t="s">
        <v>188</v>
      </c>
    </row>
    <row r="1128" spans="3:55" x14ac:dyDescent="0.45">
      <c r="C1128">
        <v>93.388000000000005</v>
      </c>
      <c r="D1128">
        <v>2.61</v>
      </c>
      <c r="E1128">
        <v>0</v>
      </c>
      <c r="F1128">
        <v>0</v>
      </c>
      <c r="G1128">
        <v>0</v>
      </c>
      <c r="H1128">
        <v>0</v>
      </c>
      <c r="I1128">
        <v>0</v>
      </c>
      <c r="J1128">
        <v>3.07</v>
      </c>
      <c r="K1128">
        <v>0.02</v>
      </c>
      <c r="L1128">
        <v>0.86</v>
      </c>
      <c r="M1128">
        <v>0</v>
      </c>
      <c r="N1128">
        <v>0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1</v>
      </c>
      <c r="W1128">
        <v>0</v>
      </c>
      <c r="X1128">
        <v>0</v>
      </c>
      <c r="Y1128">
        <v>0</v>
      </c>
      <c r="Z1128">
        <v>0</v>
      </c>
      <c r="AA1128">
        <v>1</v>
      </c>
      <c r="AB1128">
        <v>0</v>
      </c>
      <c r="AC1128">
        <v>950</v>
      </c>
      <c r="AD1128">
        <v>1</v>
      </c>
      <c r="AE1128">
        <v>0</v>
      </c>
      <c r="AF1128">
        <v>0</v>
      </c>
      <c r="AG1128">
        <v>0</v>
      </c>
      <c r="AH1128">
        <v>0</v>
      </c>
      <c r="AI1128">
        <v>0</v>
      </c>
      <c r="AJ1128">
        <v>0</v>
      </c>
      <c r="AK1128">
        <v>0</v>
      </c>
      <c r="AL1128">
        <v>0</v>
      </c>
      <c r="AM1128">
        <v>0</v>
      </c>
      <c r="AN1128">
        <v>0</v>
      </c>
      <c r="AO1128">
        <v>0</v>
      </c>
      <c r="AP1128">
        <v>0</v>
      </c>
      <c r="AQ1128">
        <v>0</v>
      </c>
      <c r="AR1128">
        <v>0</v>
      </c>
      <c r="AS1128">
        <v>0</v>
      </c>
      <c r="AT1128">
        <f t="shared" si="53"/>
        <v>-1.7443999999999997</v>
      </c>
      <c r="AU1128">
        <f t="shared" si="51"/>
        <v>3.1216666666666666</v>
      </c>
      <c r="AV1128">
        <f t="shared" si="52"/>
        <v>858.12800000000004</v>
      </c>
      <c r="BB1128" t="s">
        <v>323</v>
      </c>
      <c r="BC1128" t="s">
        <v>188</v>
      </c>
    </row>
    <row r="1129" spans="3:55" x14ac:dyDescent="0.45">
      <c r="C1129">
        <v>93.388000000000005</v>
      </c>
      <c r="D1129">
        <v>2.61</v>
      </c>
      <c r="E1129">
        <v>0</v>
      </c>
      <c r="F1129">
        <v>0</v>
      </c>
      <c r="G1129">
        <v>0</v>
      </c>
      <c r="H1129">
        <v>0</v>
      </c>
      <c r="I1129">
        <v>0</v>
      </c>
      <c r="J1129">
        <v>3.07</v>
      </c>
      <c r="K1129">
        <v>0.02</v>
      </c>
      <c r="L1129">
        <v>0.86</v>
      </c>
      <c r="M1129">
        <v>0</v>
      </c>
      <c r="N1129">
        <v>0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1</v>
      </c>
      <c r="W1129">
        <v>0</v>
      </c>
      <c r="X1129">
        <v>0</v>
      </c>
      <c r="Y1129">
        <v>0</v>
      </c>
      <c r="Z1129">
        <v>0</v>
      </c>
      <c r="AA1129">
        <v>1</v>
      </c>
      <c r="AB1129">
        <v>0</v>
      </c>
      <c r="AC1129">
        <v>950</v>
      </c>
      <c r="AD1129">
        <v>1</v>
      </c>
      <c r="AE1129">
        <v>0</v>
      </c>
      <c r="AF1129">
        <v>0</v>
      </c>
      <c r="AG1129">
        <v>0</v>
      </c>
      <c r="AH1129">
        <v>0</v>
      </c>
      <c r="AI1129">
        <v>0</v>
      </c>
      <c r="AJ1129">
        <v>0</v>
      </c>
      <c r="AK1129">
        <v>0</v>
      </c>
      <c r="AL1129">
        <v>0</v>
      </c>
      <c r="AM1129">
        <v>0</v>
      </c>
      <c r="AN1129">
        <v>0</v>
      </c>
      <c r="AO1129">
        <v>0</v>
      </c>
      <c r="AP1129">
        <v>0</v>
      </c>
      <c r="AQ1129">
        <v>0</v>
      </c>
      <c r="AR1129">
        <v>0</v>
      </c>
      <c r="AS1129">
        <v>0</v>
      </c>
      <c r="AT1129">
        <f t="shared" si="53"/>
        <v>-1.7443999999999997</v>
      </c>
      <c r="AU1129">
        <f t="shared" si="51"/>
        <v>3.1216666666666666</v>
      </c>
      <c r="AV1129">
        <f t="shared" si="52"/>
        <v>858.12800000000004</v>
      </c>
      <c r="BB1129" t="s">
        <v>324</v>
      </c>
      <c r="BC1129" t="s">
        <v>188</v>
      </c>
    </row>
    <row r="1130" spans="3:55" x14ac:dyDescent="0.45">
      <c r="C1130">
        <v>93.388000000000005</v>
      </c>
      <c r="D1130">
        <v>2.61</v>
      </c>
      <c r="E1130">
        <v>0</v>
      </c>
      <c r="F1130">
        <v>0</v>
      </c>
      <c r="G1130">
        <v>0</v>
      </c>
      <c r="H1130">
        <v>0</v>
      </c>
      <c r="I1130">
        <v>0</v>
      </c>
      <c r="J1130">
        <v>3.07</v>
      </c>
      <c r="K1130">
        <v>0.02</v>
      </c>
      <c r="L1130">
        <v>0.86</v>
      </c>
      <c r="M1130">
        <v>0</v>
      </c>
      <c r="N1130">
        <v>0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1</v>
      </c>
      <c r="W1130">
        <v>0</v>
      </c>
      <c r="X1130">
        <v>0</v>
      </c>
      <c r="Y1130">
        <v>0</v>
      </c>
      <c r="Z1130">
        <v>0</v>
      </c>
      <c r="AA1130">
        <v>1</v>
      </c>
      <c r="AB1130">
        <v>0</v>
      </c>
      <c r="AC1130">
        <v>950</v>
      </c>
      <c r="AD1130">
        <v>1</v>
      </c>
      <c r="AE1130">
        <v>0</v>
      </c>
      <c r="AF1130">
        <v>0</v>
      </c>
      <c r="AG1130">
        <v>0</v>
      </c>
      <c r="AH1130">
        <v>0</v>
      </c>
      <c r="AI1130">
        <v>0</v>
      </c>
      <c r="AJ1130">
        <v>0</v>
      </c>
      <c r="AK1130">
        <v>0</v>
      </c>
      <c r="AL1130">
        <v>0</v>
      </c>
      <c r="AM1130">
        <v>0</v>
      </c>
      <c r="AN1130">
        <v>0</v>
      </c>
      <c r="AO1130">
        <v>0</v>
      </c>
      <c r="AP1130">
        <v>0</v>
      </c>
      <c r="AQ1130">
        <v>0</v>
      </c>
      <c r="AR1130">
        <v>0</v>
      </c>
      <c r="AS1130">
        <v>0</v>
      </c>
      <c r="AT1130">
        <f t="shared" si="53"/>
        <v>-1.7443999999999997</v>
      </c>
      <c r="AU1130">
        <f t="shared" si="51"/>
        <v>3.1216666666666666</v>
      </c>
      <c r="AV1130">
        <f t="shared" si="52"/>
        <v>858.12800000000004</v>
      </c>
      <c r="BB1130" t="s">
        <v>325</v>
      </c>
      <c r="BC1130" t="s">
        <v>188</v>
      </c>
    </row>
    <row r="1131" spans="3:55" x14ac:dyDescent="0.45">
      <c r="C1131">
        <v>93.388000000000005</v>
      </c>
      <c r="D1131">
        <v>2.61</v>
      </c>
      <c r="E1131">
        <v>0</v>
      </c>
      <c r="F1131">
        <v>0</v>
      </c>
      <c r="G1131">
        <v>0</v>
      </c>
      <c r="H1131">
        <v>0</v>
      </c>
      <c r="I1131">
        <v>0</v>
      </c>
      <c r="J1131">
        <v>3.07</v>
      </c>
      <c r="K1131">
        <v>0.02</v>
      </c>
      <c r="L1131">
        <v>0.86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1</v>
      </c>
      <c r="W1131">
        <v>0</v>
      </c>
      <c r="X1131">
        <v>0</v>
      </c>
      <c r="Y1131">
        <v>0</v>
      </c>
      <c r="Z1131">
        <v>0</v>
      </c>
      <c r="AA1131">
        <v>1</v>
      </c>
      <c r="AB1131">
        <v>0</v>
      </c>
      <c r="AC1131">
        <v>950</v>
      </c>
      <c r="AD1131">
        <v>1</v>
      </c>
      <c r="AE1131">
        <v>0</v>
      </c>
      <c r="AF1131">
        <v>0</v>
      </c>
      <c r="AG1131">
        <v>0</v>
      </c>
      <c r="AH1131">
        <v>0</v>
      </c>
      <c r="AI1131">
        <v>0</v>
      </c>
      <c r="AJ1131">
        <v>0</v>
      </c>
      <c r="AK1131">
        <v>0</v>
      </c>
      <c r="AL1131">
        <v>0</v>
      </c>
      <c r="AM1131">
        <v>0</v>
      </c>
      <c r="AN1131">
        <v>0</v>
      </c>
      <c r="AO1131">
        <v>0</v>
      </c>
      <c r="AP1131">
        <v>0</v>
      </c>
      <c r="AQ1131">
        <v>0</v>
      </c>
      <c r="AR1131">
        <v>0</v>
      </c>
      <c r="AS1131">
        <v>0</v>
      </c>
      <c r="AT1131">
        <f t="shared" si="53"/>
        <v>-1.7443999999999997</v>
      </c>
      <c r="AU1131">
        <f t="shared" ref="AU1131:AU1194" si="54">D1131+J1131/6+M1131/3+(T1131+S1131)/10</f>
        <v>3.1216666666666666</v>
      </c>
      <c r="AV1131">
        <f t="shared" si="52"/>
        <v>858.12800000000004</v>
      </c>
      <c r="BB1131" t="s">
        <v>326</v>
      </c>
      <c r="BC1131" t="s">
        <v>188</v>
      </c>
    </row>
    <row r="1132" spans="3:55" x14ac:dyDescent="0.45">
      <c r="C1132">
        <v>87.93</v>
      </c>
      <c r="D1132">
        <v>6.13</v>
      </c>
      <c r="E1132">
        <v>0</v>
      </c>
      <c r="F1132">
        <v>0</v>
      </c>
      <c r="G1132">
        <v>0</v>
      </c>
      <c r="H1132">
        <v>0</v>
      </c>
      <c r="I1132">
        <v>0</v>
      </c>
      <c r="J1132">
        <v>1.95</v>
      </c>
      <c r="K1132">
        <v>3.02</v>
      </c>
      <c r="L1132">
        <v>0.97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1</v>
      </c>
      <c r="W1132">
        <v>940</v>
      </c>
      <c r="X1132">
        <v>80</v>
      </c>
      <c r="Y1132">
        <v>0</v>
      </c>
      <c r="Z1132">
        <v>0</v>
      </c>
      <c r="AA1132">
        <v>1</v>
      </c>
      <c r="AB1132">
        <v>0</v>
      </c>
      <c r="AC1132">
        <v>900</v>
      </c>
      <c r="AD1132">
        <v>1.5</v>
      </c>
      <c r="AE1132">
        <v>0</v>
      </c>
      <c r="AF1132">
        <v>1</v>
      </c>
      <c r="AG1132">
        <v>0</v>
      </c>
      <c r="AH1132">
        <v>0</v>
      </c>
      <c r="AI1132">
        <v>0</v>
      </c>
      <c r="AJ1132">
        <v>0</v>
      </c>
      <c r="AK1132">
        <v>0</v>
      </c>
      <c r="AL1132">
        <v>0</v>
      </c>
      <c r="AM1132">
        <v>0</v>
      </c>
      <c r="AN1132">
        <v>0</v>
      </c>
      <c r="AO1132">
        <v>0</v>
      </c>
      <c r="AP1132">
        <v>0</v>
      </c>
      <c r="AQ1132">
        <v>0</v>
      </c>
      <c r="AR1132">
        <v>0</v>
      </c>
      <c r="AS1132">
        <v>0</v>
      </c>
      <c r="AT1132">
        <f t="shared" si="53"/>
        <v>-4.3144</v>
      </c>
      <c r="AU1132">
        <f t="shared" si="54"/>
        <v>6.4550000000000001</v>
      </c>
      <c r="AV1132">
        <f t="shared" si="52"/>
        <v>872.20299999999997</v>
      </c>
      <c r="AX1132">
        <v>782.3</v>
      </c>
      <c r="AY1132">
        <v>931.90700000000004</v>
      </c>
      <c r="AZ1132">
        <v>14.5983</v>
      </c>
      <c r="BB1132" t="s">
        <v>327</v>
      </c>
      <c r="BC1132" t="s">
        <v>108</v>
      </c>
    </row>
    <row r="1133" spans="3:55" x14ac:dyDescent="0.45">
      <c r="C1133">
        <v>87.93</v>
      </c>
      <c r="D1133">
        <v>6.13</v>
      </c>
      <c r="E1133">
        <v>0</v>
      </c>
      <c r="F1133">
        <v>0</v>
      </c>
      <c r="G1133">
        <v>0</v>
      </c>
      <c r="H1133">
        <v>0</v>
      </c>
      <c r="I1133">
        <v>0</v>
      </c>
      <c r="J1133">
        <v>1.95</v>
      </c>
      <c r="K1133">
        <v>3.02</v>
      </c>
      <c r="L1133">
        <v>0.97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1</v>
      </c>
      <c r="W1133">
        <v>940</v>
      </c>
      <c r="X1133">
        <v>70</v>
      </c>
      <c r="Y1133">
        <v>0</v>
      </c>
      <c r="Z1133">
        <v>0</v>
      </c>
      <c r="AA1133">
        <v>1</v>
      </c>
      <c r="AB1133">
        <v>0</v>
      </c>
      <c r="AC1133">
        <v>900</v>
      </c>
      <c r="AD1133">
        <v>1.5</v>
      </c>
      <c r="AE1133">
        <v>0</v>
      </c>
      <c r="AF1133">
        <v>1</v>
      </c>
      <c r="AG1133">
        <v>0</v>
      </c>
      <c r="AH1133">
        <v>0</v>
      </c>
      <c r="AI1133">
        <v>0</v>
      </c>
      <c r="AJ1133">
        <v>0</v>
      </c>
      <c r="AK1133">
        <v>0</v>
      </c>
      <c r="AL1133">
        <v>0</v>
      </c>
      <c r="AM1133">
        <v>0</v>
      </c>
      <c r="AN1133">
        <v>0</v>
      </c>
      <c r="AO1133">
        <v>0</v>
      </c>
      <c r="AP1133">
        <v>0</v>
      </c>
      <c r="AQ1133">
        <v>0</v>
      </c>
      <c r="AR1133">
        <v>0</v>
      </c>
      <c r="AS1133">
        <v>0</v>
      </c>
      <c r="AT1133">
        <f t="shared" si="53"/>
        <v>-4.3144</v>
      </c>
      <c r="AU1133">
        <f t="shared" si="54"/>
        <v>6.4550000000000001</v>
      </c>
      <c r="AV1133">
        <f t="shared" si="52"/>
        <v>872.20299999999997</v>
      </c>
      <c r="AX1133">
        <v>783.63800000000003</v>
      </c>
      <c r="AY1133">
        <v>901.572</v>
      </c>
      <c r="AZ1133">
        <v>18.001799999999999</v>
      </c>
      <c r="BB1133" t="s">
        <v>328</v>
      </c>
      <c r="BC1133" t="s">
        <v>108</v>
      </c>
    </row>
    <row r="1134" spans="3:55" x14ac:dyDescent="0.45">
      <c r="C1134">
        <v>87.93</v>
      </c>
      <c r="D1134">
        <v>6.13</v>
      </c>
      <c r="E1134">
        <v>0</v>
      </c>
      <c r="F1134">
        <v>0</v>
      </c>
      <c r="G1134">
        <v>0</v>
      </c>
      <c r="H1134">
        <v>0</v>
      </c>
      <c r="I1134">
        <v>0</v>
      </c>
      <c r="J1134">
        <v>1.95</v>
      </c>
      <c r="K1134">
        <v>3.02</v>
      </c>
      <c r="L1134">
        <v>0.97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1</v>
      </c>
      <c r="W1134">
        <v>940</v>
      </c>
      <c r="X1134">
        <v>70</v>
      </c>
      <c r="Y1134">
        <v>0</v>
      </c>
      <c r="Z1134">
        <v>0</v>
      </c>
      <c r="AA1134">
        <v>1</v>
      </c>
      <c r="AB1134">
        <v>0</v>
      </c>
      <c r="AC1134">
        <v>800</v>
      </c>
      <c r="AD1134">
        <v>1.5</v>
      </c>
      <c r="AE1134">
        <v>0</v>
      </c>
      <c r="AF1134">
        <v>1</v>
      </c>
      <c r="AG1134">
        <v>0</v>
      </c>
      <c r="AH1134">
        <v>0</v>
      </c>
      <c r="AI1134">
        <v>0</v>
      </c>
      <c r="AJ1134">
        <v>0</v>
      </c>
      <c r="AK1134">
        <v>0</v>
      </c>
      <c r="AL1134">
        <v>0</v>
      </c>
      <c r="AM1134">
        <v>0</v>
      </c>
      <c r="AN1134">
        <v>0</v>
      </c>
      <c r="AO1134">
        <v>0</v>
      </c>
      <c r="AP1134">
        <v>0</v>
      </c>
      <c r="AQ1134">
        <v>0</v>
      </c>
      <c r="AR1134">
        <v>0</v>
      </c>
      <c r="AS1134">
        <v>0</v>
      </c>
      <c r="AT1134">
        <f t="shared" si="53"/>
        <v>-4.3144</v>
      </c>
      <c r="AU1134">
        <f t="shared" si="54"/>
        <v>6.4550000000000001</v>
      </c>
      <c r="AV1134">
        <f t="shared" si="52"/>
        <v>872.20299999999997</v>
      </c>
      <c r="AX1134">
        <v>795.87599999999998</v>
      </c>
      <c r="AY1134">
        <v>919.58799999999997</v>
      </c>
      <c r="AZ1134">
        <v>15.9739</v>
      </c>
      <c r="BB1134" t="s">
        <v>329</v>
      </c>
      <c r="BC1134" t="s">
        <v>108</v>
      </c>
    </row>
    <row r="1135" spans="3:55" x14ac:dyDescent="0.45">
      <c r="C1135">
        <v>87.93</v>
      </c>
      <c r="D1135">
        <v>6.13</v>
      </c>
      <c r="E1135">
        <v>0</v>
      </c>
      <c r="F1135">
        <v>0</v>
      </c>
      <c r="G1135">
        <v>0</v>
      </c>
      <c r="H1135">
        <v>0</v>
      </c>
      <c r="I1135">
        <v>0</v>
      </c>
      <c r="J1135">
        <v>1.95</v>
      </c>
      <c r="K1135">
        <v>3.02</v>
      </c>
      <c r="L1135">
        <v>0.97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1</v>
      </c>
      <c r="W1135">
        <v>940</v>
      </c>
      <c r="X1135">
        <v>70</v>
      </c>
      <c r="Y1135">
        <v>0</v>
      </c>
      <c r="Z1135">
        <v>0</v>
      </c>
      <c r="AA1135">
        <v>1</v>
      </c>
      <c r="AB1135">
        <v>0</v>
      </c>
      <c r="AC1135">
        <v>960</v>
      </c>
      <c r="AD1135">
        <v>1.5</v>
      </c>
      <c r="AE1135">
        <v>0</v>
      </c>
      <c r="AF1135">
        <v>1</v>
      </c>
      <c r="AG1135">
        <v>0</v>
      </c>
      <c r="AH1135">
        <v>0</v>
      </c>
      <c r="AI1135">
        <v>0</v>
      </c>
      <c r="AJ1135">
        <v>0</v>
      </c>
      <c r="AK1135">
        <v>0</v>
      </c>
      <c r="AL1135">
        <v>0</v>
      </c>
      <c r="AM1135">
        <v>0</v>
      </c>
      <c r="AN1135">
        <v>0</v>
      </c>
      <c r="AO1135">
        <v>0</v>
      </c>
      <c r="AP1135">
        <v>0</v>
      </c>
      <c r="AQ1135">
        <v>0</v>
      </c>
      <c r="AR1135">
        <v>0</v>
      </c>
      <c r="AS1135">
        <v>0</v>
      </c>
      <c r="AT1135">
        <f t="shared" si="53"/>
        <v>-4.3144</v>
      </c>
      <c r="AU1135">
        <f t="shared" si="54"/>
        <v>6.4550000000000001</v>
      </c>
      <c r="AV1135">
        <f t="shared" si="52"/>
        <v>872.20299999999997</v>
      </c>
      <c r="AX1135">
        <v>744.33</v>
      </c>
      <c r="AY1135">
        <v>880.41200000000003</v>
      </c>
      <c r="AZ1135">
        <v>17.083200000000001</v>
      </c>
      <c r="BB1135" t="s">
        <v>330</v>
      </c>
      <c r="BC1135" t="s">
        <v>108</v>
      </c>
    </row>
    <row r="1136" spans="3:55" x14ac:dyDescent="0.45">
      <c r="C1136">
        <v>87.93</v>
      </c>
      <c r="D1136">
        <v>6.13</v>
      </c>
      <c r="E1136">
        <v>0</v>
      </c>
      <c r="F1136">
        <v>0</v>
      </c>
      <c r="G1136">
        <v>0</v>
      </c>
      <c r="H1136">
        <v>0</v>
      </c>
      <c r="I1136">
        <v>0</v>
      </c>
      <c r="J1136">
        <v>1.95</v>
      </c>
      <c r="K1136">
        <v>3.02</v>
      </c>
      <c r="L1136">
        <v>0.97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1</v>
      </c>
      <c r="W1136">
        <v>940</v>
      </c>
      <c r="X1136">
        <v>70</v>
      </c>
      <c r="Y1136">
        <v>0</v>
      </c>
      <c r="Z1136">
        <v>0</v>
      </c>
      <c r="AA1136">
        <v>1</v>
      </c>
      <c r="AB1136">
        <v>0</v>
      </c>
      <c r="AC1136">
        <v>1020</v>
      </c>
      <c r="AD1136">
        <v>1.5</v>
      </c>
      <c r="AE1136">
        <v>0</v>
      </c>
      <c r="AF1136">
        <v>1</v>
      </c>
      <c r="AG1136">
        <v>0</v>
      </c>
      <c r="AH1136">
        <v>0</v>
      </c>
      <c r="AI1136">
        <v>0</v>
      </c>
      <c r="AJ1136">
        <v>0</v>
      </c>
      <c r="AK1136">
        <v>0</v>
      </c>
      <c r="AL1136">
        <v>0</v>
      </c>
      <c r="AM1136">
        <v>0</v>
      </c>
      <c r="AN1136">
        <v>0</v>
      </c>
      <c r="AO1136">
        <v>0</v>
      </c>
      <c r="AP1136">
        <v>0</v>
      </c>
      <c r="AQ1136">
        <v>0</v>
      </c>
      <c r="AR1136">
        <v>0</v>
      </c>
      <c r="AS1136">
        <v>0</v>
      </c>
      <c r="AT1136">
        <f t="shared" si="53"/>
        <v>-4.3144</v>
      </c>
      <c r="AU1136">
        <f t="shared" si="54"/>
        <v>6.4550000000000001</v>
      </c>
      <c r="AV1136">
        <f t="shared" si="52"/>
        <v>872.20299999999997</v>
      </c>
      <c r="AX1136">
        <v>777.32</v>
      </c>
      <c r="AY1136">
        <v>880.41200000000003</v>
      </c>
      <c r="AZ1136">
        <v>10.9894</v>
      </c>
      <c r="BB1136" t="s">
        <v>331</v>
      </c>
      <c r="BC1136" t="s">
        <v>108</v>
      </c>
    </row>
    <row r="1137" spans="3:55" x14ac:dyDescent="0.45">
      <c r="C1137">
        <v>87.93</v>
      </c>
      <c r="D1137">
        <v>6.13</v>
      </c>
      <c r="E1137">
        <v>0</v>
      </c>
      <c r="F1137">
        <v>0</v>
      </c>
      <c r="G1137">
        <v>0</v>
      </c>
      <c r="H1137">
        <v>0</v>
      </c>
      <c r="I1137">
        <v>0</v>
      </c>
      <c r="J1137">
        <v>1.95</v>
      </c>
      <c r="K1137">
        <v>3.02</v>
      </c>
      <c r="L1137">
        <v>0.97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1</v>
      </c>
      <c r="W1137">
        <v>940</v>
      </c>
      <c r="X1137">
        <v>70</v>
      </c>
      <c r="Y1137">
        <v>0</v>
      </c>
      <c r="Z1137">
        <v>0</v>
      </c>
      <c r="AA1137">
        <v>1</v>
      </c>
      <c r="AB1137">
        <v>0</v>
      </c>
      <c r="AC1137">
        <v>970</v>
      </c>
      <c r="AD1137">
        <v>1.5</v>
      </c>
      <c r="AE1137">
        <v>0</v>
      </c>
      <c r="AF1137">
        <v>1</v>
      </c>
      <c r="AG1137">
        <v>0</v>
      </c>
      <c r="AH1137">
        <v>0</v>
      </c>
      <c r="AI1137">
        <v>0</v>
      </c>
      <c r="AJ1137">
        <v>0</v>
      </c>
      <c r="AK1137">
        <v>0</v>
      </c>
      <c r="AL1137">
        <v>0</v>
      </c>
      <c r="AM1137">
        <v>0</v>
      </c>
      <c r="AN1137">
        <v>0</v>
      </c>
      <c r="AO1137">
        <v>0</v>
      </c>
      <c r="AP1137">
        <v>0</v>
      </c>
      <c r="AQ1137">
        <v>0</v>
      </c>
      <c r="AR1137">
        <v>0</v>
      </c>
      <c r="AS1137">
        <v>0</v>
      </c>
      <c r="AT1137">
        <f t="shared" si="53"/>
        <v>-4.3144</v>
      </c>
      <c r="AU1137">
        <f t="shared" si="54"/>
        <v>6.4550000000000001</v>
      </c>
      <c r="AV1137">
        <f t="shared" si="52"/>
        <v>872.20299999999997</v>
      </c>
      <c r="AX1137">
        <v>793.81399999999996</v>
      </c>
      <c r="AY1137">
        <v>903.09299999999996</v>
      </c>
      <c r="AZ1137">
        <v>18.148900000000001</v>
      </c>
      <c r="BB1137" t="s">
        <v>332</v>
      </c>
      <c r="BC1137" t="s">
        <v>108</v>
      </c>
    </row>
    <row r="1138" spans="3:55" x14ac:dyDescent="0.45">
      <c r="C1138">
        <v>87.93</v>
      </c>
      <c r="D1138">
        <v>6.13</v>
      </c>
      <c r="E1138">
        <v>0</v>
      </c>
      <c r="F1138">
        <v>0</v>
      </c>
      <c r="G1138">
        <v>0</v>
      </c>
      <c r="H1138">
        <v>0</v>
      </c>
      <c r="I1138">
        <v>0</v>
      </c>
      <c r="J1138">
        <v>1.95</v>
      </c>
      <c r="K1138">
        <v>3.02</v>
      </c>
      <c r="L1138">
        <v>0.97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0</v>
      </c>
      <c r="S1138">
        <v>0</v>
      </c>
      <c r="T1138">
        <v>0</v>
      </c>
      <c r="U1138">
        <v>0</v>
      </c>
      <c r="V1138">
        <v>1</v>
      </c>
      <c r="W1138">
        <v>940</v>
      </c>
      <c r="X1138">
        <v>70</v>
      </c>
      <c r="Y1138">
        <v>0</v>
      </c>
      <c r="Z1138">
        <v>0</v>
      </c>
      <c r="AA1138">
        <v>1</v>
      </c>
      <c r="AB1138">
        <v>0</v>
      </c>
      <c r="AC1138">
        <v>970</v>
      </c>
      <c r="AD1138">
        <v>1.5</v>
      </c>
      <c r="AE1138">
        <v>1</v>
      </c>
      <c r="AF1138">
        <v>0</v>
      </c>
      <c r="AG1138">
        <v>0</v>
      </c>
      <c r="AH1138">
        <v>600</v>
      </c>
      <c r="AI1138">
        <v>4</v>
      </c>
      <c r="AJ1138">
        <v>0</v>
      </c>
      <c r="AK1138">
        <v>1</v>
      </c>
      <c r="AL1138">
        <v>0</v>
      </c>
      <c r="AM1138">
        <v>0</v>
      </c>
      <c r="AN1138">
        <v>0</v>
      </c>
      <c r="AO1138">
        <v>0</v>
      </c>
      <c r="AP1138">
        <v>0</v>
      </c>
      <c r="AQ1138">
        <v>0</v>
      </c>
      <c r="AR1138">
        <v>0</v>
      </c>
      <c r="AS1138">
        <v>0</v>
      </c>
      <c r="AT1138">
        <f t="shared" si="53"/>
        <v>-4.3144</v>
      </c>
      <c r="AU1138">
        <f t="shared" si="54"/>
        <v>6.4550000000000001</v>
      </c>
      <c r="AV1138">
        <f t="shared" si="52"/>
        <v>872.20299999999997</v>
      </c>
      <c r="AX1138">
        <v>859.79399999999998</v>
      </c>
      <c r="AY1138">
        <v>983.505</v>
      </c>
      <c r="AZ1138">
        <v>16.833200000000001</v>
      </c>
      <c r="BB1138" t="s">
        <v>333</v>
      </c>
      <c r="BC1138" t="s">
        <v>108</v>
      </c>
    </row>
    <row r="1139" spans="3:55" x14ac:dyDescent="0.45">
      <c r="C1139">
        <v>87.93</v>
      </c>
      <c r="D1139">
        <v>6.13</v>
      </c>
      <c r="E1139">
        <v>0</v>
      </c>
      <c r="F1139">
        <v>0</v>
      </c>
      <c r="G1139">
        <v>0</v>
      </c>
      <c r="H1139">
        <v>0</v>
      </c>
      <c r="I1139">
        <v>0</v>
      </c>
      <c r="J1139">
        <v>1.95</v>
      </c>
      <c r="K1139">
        <v>3.02</v>
      </c>
      <c r="L1139">
        <v>0.97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  <c r="V1139">
        <v>1</v>
      </c>
      <c r="W1139">
        <v>940</v>
      </c>
      <c r="X1139">
        <v>60</v>
      </c>
      <c r="Y1139">
        <v>0</v>
      </c>
      <c r="Z1139">
        <v>0</v>
      </c>
      <c r="AA1139">
        <v>1</v>
      </c>
      <c r="AB1139">
        <v>0</v>
      </c>
      <c r="AC1139">
        <v>900</v>
      </c>
      <c r="AD1139">
        <v>1.5</v>
      </c>
      <c r="AE1139">
        <v>0</v>
      </c>
      <c r="AF1139">
        <v>1</v>
      </c>
      <c r="AG1139">
        <v>0</v>
      </c>
      <c r="AH1139">
        <v>0</v>
      </c>
      <c r="AI1139">
        <v>0</v>
      </c>
      <c r="AJ1139">
        <v>0</v>
      </c>
      <c r="AK1139">
        <v>0</v>
      </c>
      <c r="AL1139">
        <v>0</v>
      </c>
      <c r="AM1139">
        <v>0</v>
      </c>
      <c r="AN1139">
        <v>0</v>
      </c>
      <c r="AO1139">
        <v>0</v>
      </c>
      <c r="AP1139">
        <v>0</v>
      </c>
      <c r="AQ1139">
        <v>0</v>
      </c>
      <c r="AR1139">
        <v>0</v>
      </c>
      <c r="AS1139">
        <v>0</v>
      </c>
      <c r="AT1139">
        <f t="shared" si="53"/>
        <v>-4.3144</v>
      </c>
      <c r="AU1139">
        <f t="shared" si="54"/>
        <v>6.4550000000000001</v>
      </c>
      <c r="AV1139">
        <f t="shared" si="52"/>
        <v>872.20299999999997</v>
      </c>
      <c r="AX1139">
        <v>777.18299999999999</v>
      </c>
      <c r="AY1139">
        <v>899.50099999999998</v>
      </c>
      <c r="AZ1139">
        <v>17.545300000000001</v>
      </c>
      <c r="BB1139" t="s">
        <v>334</v>
      </c>
      <c r="BC1139" t="s">
        <v>108</v>
      </c>
    </row>
    <row r="1140" spans="3:55" x14ac:dyDescent="0.45">
      <c r="C1140">
        <v>87.93</v>
      </c>
      <c r="D1140">
        <v>6.13</v>
      </c>
      <c r="E1140">
        <v>0</v>
      </c>
      <c r="F1140">
        <v>0</v>
      </c>
      <c r="G1140">
        <v>0</v>
      </c>
      <c r="H1140">
        <v>0</v>
      </c>
      <c r="I1140">
        <v>0</v>
      </c>
      <c r="J1140">
        <v>1.95</v>
      </c>
      <c r="K1140">
        <v>3.02</v>
      </c>
      <c r="L1140">
        <v>0.97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0</v>
      </c>
      <c r="S1140">
        <v>0</v>
      </c>
      <c r="T1140">
        <v>0</v>
      </c>
      <c r="U1140">
        <v>0</v>
      </c>
      <c r="V1140">
        <v>1</v>
      </c>
      <c r="W1140">
        <v>940</v>
      </c>
      <c r="X1140">
        <v>50</v>
      </c>
      <c r="Y1140">
        <v>0</v>
      </c>
      <c r="Z1140">
        <v>0</v>
      </c>
      <c r="AA1140">
        <v>1</v>
      </c>
      <c r="AB1140">
        <v>0</v>
      </c>
      <c r="AC1140">
        <v>900</v>
      </c>
      <c r="AD1140">
        <v>1.5</v>
      </c>
      <c r="AE1140">
        <v>0</v>
      </c>
      <c r="AF1140">
        <v>1</v>
      </c>
      <c r="AG1140">
        <v>0</v>
      </c>
      <c r="AH1140">
        <v>0</v>
      </c>
      <c r="AI1140">
        <v>0</v>
      </c>
      <c r="AJ1140">
        <v>0</v>
      </c>
      <c r="AK1140">
        <v>0</v>
      </c>
      <c r="AL1140">
        <v>0</v>
      </c>
      <c r="AM1140">
        <v>0</v>
      </c>
      <c r="AN1140">
        <v>0</v>
      </c>
      <c r="AO1140">
        <v>0</v>
      </c>
      <c r="AP1140">
        <v>0</v>
      </c>
      <c r="AQ1140">
        <v>0</v>
      </c>
      <c r="AR1140">
        <v>0</v>
      </c>
      <c r="AS1140">
        <v>0</v>
      </c>
      <c r="AT1140">
        <f t="shared" si="53"/>
        <v>-4.3144</v>
      </c>
      <c r="AU1140">
        <f t="shared" si="54"/>
        <v>6.4550000000000001</v>
      </c>
      <c r="AV1140">
        <f t="shared" si="52"/>
        <v>872.20299999999997</v>
      </c>
      <c r="AX1140">
        <v>770.72400000000005</v>
      </c>
      <c r="AY1140">
        <v>887.19500000000005</v>
      </c>
      <c r="AZ1140">
        <v>16.174199999999999</v>
      </c>
      <c r="BC1140" t="s">
        <v>108</v>
      </c>
    </row>
    <row r="1141" spans="3:55" x14ac:dyDescent="0.45">
      <c r="C1141">
        <v>86.2</v>
      </c>
      <c r="D1141">
        <v>6</v>
      </c>
      <c r="E1141">
        <v>0.5</v>
      </c>
      <c r="F1141">
        <v>0</v>
      </c>
      <c r="G1141">
        <v>0</v>
      </c>
      <c r="H1141">
        <v>0</v>
      </c>
      <c r="I1141">
        <v>0</v>
      </c>
      <c r="J1141">
        <v>0</v>
      </c>
      <c r="K1141">
        <v>0</v>
      </c>
      <c r="L1141">
        <v>5</v>
      </c>
      <c r="M1141">
        <v>2</v>
      </c>
      <c r="N1141">
        <v>0</v>
      </c>
      <c r="O1141">
        <v>0</v>
      </c>
      <c r="P1141">
        <v>0</v>
      </c>
      <c r="Q1141">
        <v>0</v>
      </c>
      <c r="R1141">
        <v>0</v>
      </c>
      <c r="S1141">
        <v>0</v>
      </c>
      <c r="T1141">
        <v>0</v>
      </c>
      <c r="U1141">
        <v>0</v>
      </c>
      <c r="V1141">
        <v>1</v>
      </c>
      <c r="W1141">
        <v>0</v>
      </c>
      <c r="X1141">
        <v>0</v>
      </c>
      <c r="Y1141">
        <v>0</v>
      </c>
      <c r="Z1141">
        <v>0</v>
      </c>
      <c r="AA1141">
        <v>1</v>
      </c>
      <c r="AB1141">
        <v>0</v>
      </c>
      <c r="AC1141">
        <v>990</v>
      </c>
      <c r="AD1141">
        <v>1</v>
      </c>
      <c r="AE1141">
        <v>0</v>
      </c>
      <c r="AF1141">
        <v>0</v>
      </c>
      <c r="AG1141">
        <v>1</v>
      </c>
      <c r="AH1141">
        <v>700</v>
      </c>
      <c r="AI1141">
        <v>2</v>
      </c>
      <c r="AJ1141">
        <v>0</v>
      </c>
      <c r="AK1141">
        <v>1</v>
      </c>
      <c r="AL1141">
        <v>0</v>
      </c>
      <c r="AM1141">
        <v>0</v>
      </c>
      <c r="AN1141">
        <v>0</v>
      </c>
      <c r="AO1141">
        <v>0</v>
      </c>
      <c r="AP1141">
        <v>0</v>
      </c>
      <c r="AQ1141">
        <v>0</v>
      </c>
      <c r="AR1141">
        <v>0</v>
      </c>
      <c r="AS1141">
        <v>0</v>
      </c>
      <c r="AT1141">
        <f t="shared" si="53"/>
        <v>-0.66500000000000004</v>
      </c>
      <c r="AU1141">
        <f t="shared" si="54"/>
        <v>6.666666666666667</v>
      </c>
      <c r="AV1141">
        <f t="shared" si="52"/>
        <v>849.6</v>
      </c>
      <c r="AX1141">
        <v>927</v>
      </c>
      <c r="AY1141">
        <v>1125</v>
      </c>
      <c r="AZ1141">
        <v>12.5</v>
      </c>
      <c r="BC1141" t="s">
        <v>189</v>
      </c>
    </row>
    <row r="1142" spans="3:55" x14ac:dyDescent="0.45">
      <c r="C1142">
        <v>86.2</v>
      </c>
      <c r="D1142">
        <v>6</v>
      </c>
      <c r="E1142">
        <v>0.5</v>
      </c>
      <c r="F1142">
        <v>0</v>
      </c>
      <c r="G1142">
        <v>0</v>
      </c>
      <c r="H1142">
        <v>0</v>
      </c>
      <c r="I1142">
        <v>0</v>
      </c>
      <c r="J1142">
        <v>0</v>
      </c>
      <c r="K1142">
        <v>0</v>
      </c>
      <c r="L1142">
        <v>5</v>
      </c>
      <c r="M1142">
        <v>2</v>
      </c>
      <c r="N1142">
        <v>0</v>
      </c>
      <c r="O1142">
        <v>0</v>
      </c>
      <c r="P1142">
        <v>0</v>
      </c>
      <c r="Q1142">
        <v>0</v>
      </c>
      <c r="R1142">
        <v>0</v>
      </c>
      <c r="S1142">
        <v>0</v>
      </c>
      <c r="T1142">
        <v>0</v>
      </c>
      <c r="U1142">
        <v>0</v>
      </c>
      <c r="V1142">
        <v>1</v>
      </c>
      <c r="W1142">
        <v>0</v>
      </c>
      <c r="X1142">
        <v>0</v>
      </c>
      <c r="Y1142">
        <v>0</v>
      </c>
      <c r="Z1142">
        <v>0</v>
      </c>
      <c r="AA1142">
        <v>1</v>
      </c>
      <c r="AB1142">
        <v>0</v>
      </c>
      <c r="AC1142">
        <v>600</v>
      </c>
      <c r="AD1142">
        <v>2</v>
      </c>
      <c r="AE1142">
        <v>0</v>
      </c>
      <c r="AF1142">
        <v>1</v>
      </c>
      <c r="AG1142">
        <v>0</v>
      </c>
      <c r="AH1142">
        <v>0</v>
      </c>
      <c r="AI1142">
        <v>0</v>
      </c>
      <c r="AJ1142">
        <v>0</v>
      </c>
      <c r="AK1142">
        <v>0</v>
      </c>
      <c r="AL1142">
        <v>0</v>
      </c>
      <c r="AM1142">
        <v>0</v>
      </c>
      <c r="AN1142">
        <v>0</v>
      </c>
      <c r="AO1142">
        <v>0</v>
      </c>
      <c r="AP1142">
        <v>0</v>
      </c>
      <c r="AQ1142">
        <v>0</v>
      </c>
      <c r="AR1142">
        <v>0</v>
      </c>
      <c r="AS1142">
        <v>0</v>
      </c>
      <c r="AT1142">
        <f t="shared" si="53"/>
        <v>-0.66500000000000004</v>
      </c>
      <c r="AU1142">
        <f t="shared" si="54"/>
        <v>6.666666666666667</v>
      </c>
      <c r="AV1142">
        <f t="shared" si="52"/>
        <v>849.6</v>
      </c>
      <c r="AX1142">
        <v>1060</v>
      </c>
      <c r="AY1142">
        <v>1231</v>
      </c>
      <c r="AZ1142">
        <v>19.3</v>
      </c>
      <c r="BC1142" t="s">
        <v>189</v>
      </c>
    </row>
    <row r="1143" spans="3:55" x14ac:dyDescent="0.45">
      <c r="C1143">
        <v>86.2</v>
      </c>
      <c r="D1143">
        <v>6</v>
      </c>
      <c r="E1143">
        <v>0.5</v>
      </c>
      <c r="F1143">
        <v>0</v>
      </c>
      <c r="G1143">
        <v>0</v>
      </c>
      <c r="H1143">
        <v>0</v>
      </c>
      <c r="I1143">
        <v>0</v>
      </c>
      <c r="J1143">
        <v>0</v>
      </c>
      <c r="K1143">
        <v>0</v>
      </c>
      <c r="L1143">
        <v>5</v>
      </c>
      <c r="M1143">
        <v>2</v>
      </c>
      <c r="N1143">
        <v>0</v>
      </c>
      <c r="O1143">
        <v>0</v>
      </c>
      <c r="P1143">
        <v>0</v>
      </c>
      <c r="Q1143">
        <v>0</v>
      </c>
      <c r="R1143">
        <v>0</v>
      </c>
      <c r="S1143">
        <v>0</v>
      </c>
      <c r="T1143">
        <v>0</v>
      </c>
      <c r="U1143">
        <v>0</v>
      </c>
      <c r="V1143">
        <v>1</v>
      </c>
      <c r="W1143">
        <v>0</v>
      </c>
      <c r="X1143">
        <v>0</v>
      </c>
      <c r="Y1143">
        <v>0</v>
      </c>
      <c r="Z1143">
        <v>0</v>
      </c>
      <c r="AA1143">
        <v>1</v>
      </c>
      <c r="AB1143">
        <v>0</v>
      </c>
      <c r="AC1143">
        <v>955</v>
      </c>
      <c r="AD1143">
        <v>1</v>
      </c>
      <c r="AE1143">
        <v>1</v>
      </c>
      <c r="AF1143">
        <v>0</v>
      </c>
      <c r="AG1143">
        <v>0</v>
      </c>
      <c r="AH1143">
        <v>910</v>
      </c>
      <c r="AI1143">
        <v>1</v>
      </c>
      <c r="AJ1143">
        <v>0</v>
      </c>
      <c r="AK1143">
        <v>1</v>
      </c>
      <c r="AL1143">
        <v>0</v>
      </c>
      <c r="AM1143">
        <v>0</v>
      </c>
      <c r="AN1143">
        <v>0</v>
      </c>
      <c r="AO1143">
        <v>0</v>
      </c>
      <c r="AP1143">
        <v>0</v>
      </c>
      <c r="AQ1143">
        <v>0</v>
      </c>
      <c r="AR1143">
        <v>0</v>
      </c>
      <c r="AS1143">
        <v>0</v>
      </c>
      <c r="AT1143">
        <f t="shared" si="53"/>
        <v>-0.66500000000000004</v>
      </c>
      <c r="AU1143">
        <f t="shared" si="54"/>
        <v>6.666666666666667</v>
      </c>
      <c r="AV1143">
        <f t="shared" si="52"/>
        <v>849.6</v>
      </c>
      <c r="AX1143">
        <v>1055</v>
      </c>
      <c r="AY1143">
        <v>1197</v>
      </c>
      <c r="AZ1143">
        <v>14.9</v>
      </c>
      <c r="BC1143" t="s">
        <v>189</v>
      </c>
    </row>
    <row r="1144" spans="3:55" x14ac:dyDescent="0.45">
      <c r="C1144">
        <v>86.7</v>
      </c>
      <c r="D1144">
        <v>4.8</v>
      </c>
      <c r="E1144">
        <v>0</v>
      </c>
      <c r="F1144">
        <v>0</v>
      </c>
      <c r="G1144">
        <v>0</v>
      </c>
      <c r="H1144">
        <v>0</v>
      </c>
      <c r="I1144">
        <v>0</v>
      </c>
      <c r="J1144">
        <v>4.2</v>
      </c>
      <c r="K1144">
        <v>0</v>
      </c>
      <c r="L1144">
        <v>2</v>
      </c>
      <c r="M1144">
        <v>2.2999999999999998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1</v>
      </c>
      <c r="W1144">
        <v>0</v>
      </c>
      <c r="X1144">
        <v>50</v>
      </c>
      <c r="Y1144">
        <v>0</v>
      </c>
      <c r="Z1144">
        <v>0</v>
      </c>
      <c r="AA1144">
        <v>1</v>
      </c>
      <c r="AB1144">
        <v>0</v>
      </c>
      <c r="AC1144">
        <v>950</v>
      </c>
      <c r="AD1144">
        <v>1</v>
      </c>
      <c r="AE1144">
        <v>0</v>
      </c>
      <c r="AF1144">
        <v>1</v>
      </c>
      <c r="AG1144">
        <v>0</v>
      </c>
      <c r="AH1144">
        <v>590</v>
      </c>
      <c r="AI1144">
        <v>8</v>
      </c>
      <c r="AJ1144">
        <v>0</v>
      </c>
      <c r="AK1144">
        <v>1</v>
      </c>
      <c r="AL1144">
        <v>0</v>
      </c>
      <c r="AM1144">
        <v>0</v>
      </c>
      <c r="AN1144">
        <v>0</v>
      </c>
      <c r="AO1144">
        <v>0</v>
      </c>
      <c r="AP1144">
        <v>0</v>
      </c>
      <c r="AQ1144">
        <v>0</v>
      </c>
      <c r="AR1144">
        <v>0</v>
      </c>
      <c r="AS1144">
        <v>0</v>
      </c>
      <c r="AT1144">
        <f t="shared" si="53"/>
        <v>-2.8</v>
      </c>
      <c r="AU1144">
        <f t="shared" si="54"/>
        <v>6.2666666666666666</v>
      </c>
      <c r="AV1144">
        <f t="shared" si="52"/>
        <v>853.76</v>
      </c>
      <c r="BC1144" t="s">
        <v>190</v>
      </c>
    </row>
    <row r="1145" spans="3:55" x14ac:dyDescent="0.45">
      <c r="C1145">
        <v>85.8</v>
      </c>
      <c r="D1145">
        <v>4.8</v>
      </c>
      <c r="E1145">
        <v>0</v>
      </c>
      <c r="F1145">
        <v>0</v>
      </c>
      <c r="G1145">
        <v>0</v>
      </c>
      <c r="H1145">
        <v>0</v>
      </c>
      <c r="I1145">
        <v>0</v>
      </c>
      <c r="J1145">
        <v>4.0999999999999996</v>
      </c>
      <c r="K1145">
        <v>0</v>
      </c>
      <c r="L1145">
        <v>2</v>
      </c>
      <c r="M1145">
        <v>2.2000000000000002</v>
      </c>
      <c r="N1145">
        <v>0</v>
      </c>
      <c r="O1145">
        <v>0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1</v>
      </c>
      <c r="W1145">
        <v>0</v>
      </c>
      <c r="X1145">
        <v>50</v>
      </c>
      <c r="Y1145">
        <v>0</v>
      </c>
      <c r="Z1145">
        <v>0</v>
      </c>
      <c r="AA1145">
        <v>1</v>
      </c>
      <c r="AB1145">
        <v>0</v>
      </c>
      <c r="AC1145">
        <v>950</v>
      </c>
      <c r="AD1145">
        <v>1</v>
      </c>
      <c r="AE1145">
        <v>0</v>
      </c>
      <c r="AF1145">
        <v>1</v>
      </c>
      <c r="AG1145">
        <v>0</v>
      </c>
      <c r="AH1145">
        <v>590</v>
      </c>
      <c r="AI1145">
        <v>8</v>
      </c>
      <c r="AJ1145">
        <v>0</v>
      </c>
      <c r="AK1145">
        <v>1</v>
      </c>
      <c r="AL1145">
        <v>0</v>
      </c>
      <c r="AM1145">
        <v>0</v>
      </c>
      <c r="AN1145">
        <v>0</v>
      </c>
      <c r="AO1145">
        <v>0</v>
      </c>
      <c r="AP1145">
        <v>0</v>
      </c>
      <c r="AQ1145">
        <v>0</v>
      </c>
      <c r="AR1145">
        <v>0</v>
      </c>
      <c r="AS1145">
        <v>0</v>
      </c>
      <c r="AT1145">
        <f t="shared" si="53"/>
        <v>-2.8</v>
      </c>
      <c r="AU1145">
        <f t="shared" si="54"/>
        <v>6.2166666666666668</v>
      </c>
      <c r="AV1145">
        <f t="shared" si="52"/>
        <v>854.03000000000009</v>
      </c>
      <c r="BC1145" t="s">
        <v>190</v>
      </c>
    </row>
    <row r="1146" spans="3:55" x14ac:dyDescent="0.45">
      <c r="C1146">
        <v>82.4</v>
      </c>
      <c r="D1146">
        <v>5</v>
      </c>
      <c r="E1146">
        <v>0</v>
      </c>
      <c r="F1146">
        <v>0</v>
      </c>
      <c r="G1146">
        <v>0</v>
      </c>
      <c r="H1146">
        <v>0</v>
      </c>
      <c r="I1146">
        <v>0</v>
      </c>
      <c r="J1146">
        <v>4</v>
      </c>
      <c r="K1146">
        <v>0</v>
      </c>
      <c r="L1146">
        <v>2.1</v>
      </c>
      <c r="M1146">
        <v>2.4</v>
      </c>
      <c r="N1146">
        <v>0</v>
      </c>
      <c r="O1146">
        <v>0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1</v>
      </c>
      <c r="W1146">
        <v>0</v>
      </c>
      <c r="X1146">
        <v>50</v>
      </c>
      <c r="Y1146">
        <v>0</v>
      </c>
      <c r="Z1146">
        <v>0</v>
      </c>
      <c r="AA1146">
        <v>1</v>
      </c>
      <c r="AB1146">
        <v>0</v>
      </c>
      <c r="AC1146">
        <v>950</v>
      </c>
      <c r="AD1146">
        <v>1</v>
      </c>
      <c r="AE1146">
        <v>0</v>
      </c>
      <c r="AF1146">
        <v>1</v>
      </c>
      <c r="AG1146">
        <v>0</v>
      </c>
      <c r="AH1146">
        <v>590</v>
      </c>
      <c r="AI1146">
        <v>8</v>
      </c>
      <c r="AJ1146">
        <v>0</v>
      </c>
      <c r="AK1146">
        <v>1</v>
      </c>
      <c r="AL1146">
        <v>0</v>
      </c>
      <c r="AM1146">
        <v>0</v>
      </c>
      <c r="AN1146">
        <v>0</v>
      </c>
      <c r="AO1146">
        <v>0</v>
      </c>
      <c r="AP1146">
        <v>0</v>
      </c>
      <c r="AQ1146">
        <v>0</v>
      </c>
      <c r="AR1146">
        <v>0</v>
      </c>
      <c r="AS1146">
        <v>0</v>
      </c>
      <c r="AT1146">
        <f t="shared" si="53"/>
        <v>-2.9</v>
      </c>
      <c r="AU1146">
        <f t="shared" si="54"/>
        <v>6.4666666666666668</v>
      </c>
      <c r="AV1146">
        <f t="shared" si="52"/>
        <v>855.03</v>
      </c>
      <c r="BC1146" t="s">
        <v>190</v>
      </c>
    </row>
    <row r="1147" spans="3:55" x14ac:dyDescent="0.45">
      <c r="C1147">
        <v>89.034999999999997</v>
      </c>
      <c r="D1147">
        <v>6.2</v>
      </c>
      <c r="E1147">
        <v>4.3</v>
      </c>
      <c r="F1147">
        <v>0</v>
      </c>
      <c r="G1147">
        <v>0</v>
      </c>
      <c r="H1147">
        <v>0.16</v>
      </c>
      <c r="I1147">
        <v>0</v>
      </c>
      <c r="J1147">
        <v>0.02</v>
      </c>
      <c r="K1147">
        <v>0</v>
      </c>
      <c r="L1147">
        <v>0</v>
      </c>
      <c r="M1147">
        <v>0</v>
      </c>
      <c r="N1147">
        <v>0</v>
      </c>
      <c r="O1147">
        <v>0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1</v>
      </c>
      <c r="W1147">
        <v>0</v>
      </c>
      <c r="X1147">
        <v>0</v>
      </c>
      <c r="Y1147">
        <v>0</v>
      </c>
      <c r="Z1147">
        <v>0</v>
      </c>
      <c r="AA1147">
        <v>1</v>
      </c>
      <c r="AB1147">
        <v>0</v>
      </c>
      <c r="AC1147">
        <v>0</v>
      </c>
      <c r="AD1147">
        <v>0</v>
      </c>
      <c r="AE1147">
        <v>0</v>
      </c>
      <c r="AF1147">
        <v>0</v>
      </c>
      <c r="AG1147">
        <v>0</v>
      </c>
      <c r="AH1147">
        <v>0</v>
      </c>
      <c r="AI1147">
        <v>0</v>
      </c>
      <c r="AJ1147">
        <v>0</v>
      </c>
      <c r="AK1147">
        <v>0</v>
      </c>
      <c r="AL1147">
        <v>0</v>
      </c>
      <c r="AM1147">
        <v>0</v>
      </c>
      <c r="AN1147">
        <v>0</v>
      </c>
      <c r="AO1147">
        <v>0</v>
      </c>
      <c r="AP1147">
        <v>0</v>
      </c>
      <c r="AQ1147">
        <v>0</v>
      </c>
      <c r="AR1147">
        <v>0</v>
      </c>
      <c r="AS1147">
        <v>0</v>
      </c>
      <c r="AT1147">
        <f t="shared" si="53"/>
        <v>-2.855</v>
      </c>
      <c r="AU1147">
        <f t="shared" si="54"/>
        <v>6.2033333333333331</v>
      </c>
      <c r="AV1147">
        <f t="shared" si="52"/>
        <v>841.67799999999988</v>
      </c>
      <c r="AX1147">
        <v>1180</v>
      </c>
      <c r="AY1147">
        <v>1220</v>
      </c>
      <c r="AZ1147">
        <v>16</v>
      </c>
      <c r="BC1147" t="s">
        <v>193</v>
      </c>
    </row>
    <row r="1148" spans="3:55" x14ac:dyDescent="0.45">
      <c r="C1148">
        <v>84.62</v>
      </c>
      <c r="D1148">
        <v>5.21</v>
      </c>
      <c r="E1148">
        <v>0</v>
      </c>
      <c r="F1148">
        <v>4.05</v>
      </c>
      <c r="G1148">
        <v>0</v>
      </c>
      <c r="H1148">
        <v>0</v>
      </c>
      <c r="I1148">
        <v>0</v>
      </c>
      <c r="J1148">
        <v>0</v>
      </c>
      <c r="K1148">
        <v>0</v>
      </c>
      <c r="L1148">
        <v>4.0599999999999996</v>
      </c>
      <c r="M1148">
        <v>2.06</v>
      </c>
      <c r="N1148">
        <v>0</v>
      </c>
      <c r="O1148">
        <v>0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1</v>
      </c>
      <c r="W1148">
        <v>883</v>
      </c>
      <c r="X1148">
        <v>30</v>
      </c>
      <c r="Y1148">
        <v>0</v>
      </c>
      <c r="Z1148">
        <v>0</v>
      </c>
      <c r="AA1148">
        <v>1</v>
      </c>
      <c r="AB1148">
        <v>0</v>
      </c>
      <c r="AC1148">
        <v>800</v>
      </c>
      <c r="AD1148">
        <v>4</v>
      </c>
      <c r="AE1148">
        <v>1</v>
      </c>
      <c r="AF1148">
        <v>0</v>
      </c>
      <c r="AG1148">
        <v>0</v>
      </c>
      <c r="AH1148">
        <v>640</v>
      </c>
      <c r="AI1148">
        <v>8</v>
      </c>
      <c r="AJ1148">
        <v>0</v>
      </c>
      <c r="AK1148">
        <v>1</v>
      </c>
      <c r="AL1148">
        <v>0</v>
      </c>
      <c r="AM1148">
        <v>0</v>
      </c>
      <c r="AN1148">
        <v>0</v>
      </c>
      <c r="AO1148">
        <v>0</v>
      </c>
      <c r="AP1148">
        <v>0</v>
      </c>
      <c r="AQ1148">
        <v>0</v>
      </c>
      <c r="AR1148">
        <v>0</v>
      </c>
      <c r="AS1148">
        <v>0</v>
      </c>
      <c r="AT1148">
        <f t="shared" si="53"/>
        <v>5.3299999999999992</v>
      </c>
      <c r="AU1148">
        <f t="shared" si="54"/>
        <v>5.8966666666666665</v>
      </c>
      <c r="AV1148">
        <f t="shared" si="52"/>
        <v>814.01800000000014</v>
      </c>
      <c r="AX1148">
        <v>1230.5</v>
      </c>
      <c r="AY1148">
        <v>1265</v>
      </c>
      <c r="AZ1148">
        <v>9.5</v>
      </c>
      <c r="BC1148" t="s">
        <v>108</v>
      </c>
    </row>
    <row r="1149" spans="3:55" x14ac:dyDescent="0.45">
      <c r="C1149">
        <v>84.62</v>
      </c>
      <c r="D1149">
        <v>5.21</v>
      </c>
      <c r="E1149">
        <v>0</v>
      </c>
      <c r="F1149">
        <v>4.05</v>
      </c>
      <c r="G1149">
        <v>0</v>
      </c>
      <c r="H1149">
        <v>0</v>
      </c>
      <c r="I1149">
        <v>0</v>
      </c>
      <c r="J1149">
        <v>0</v>
      </c>
      <c r="K1149">
        <v>0</v>
      </c>
      <c r="L1149">
        <v>4.0599999999999996</v>
      </c>
      <c r="M1149">
        <v>2.06</v>
      </c>
      <c r="N1149">
        <v>0</v>
      </c>
      <c r="O1149">
        <v>0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1</v>
      </c>
      <c r="W1149">
        <v>883</v>
      </c>
      <c r="X1149">
        <v>30</v>
      </c>
      <c r="Y1149">
        <v>0</v>
      </c>
      <c r="Z1149">
        <v>0</v>
      </c>
      <c r="AA1149">
        <v>1</v>
      </c>
      <c r="AB1149">
        <v>0</v>
      </c>
      <c r="AC1149">
        <v>800</v>
      </c>
      <c r="AD1149">
        <v>4</v>
      </c>
      <c r="AE1149">
        <v>1</v>
      </c>
      <c r="AF1149">
        <v>0</v>
      </c>
      <c r="AG1149">
        <v>0</v>
      </c>
      <c r="AH1149">
        <v>640</v>
      </c>
      <c r="AI1149">
        <v>8</v>
      </c>
      <c r="AJ1149">
        <v>0</v>
      </c>
      <c r="AK1149">
        <v>1</v>
      </c>
      <c r="AL1149">
        <v>0</v>
      </c>
      <c r="AM1149">
        <v>0</v>
      </c>
      <c r="AN1149">
        <v>0</v>
      </c>
      <c r="AO1149">
        <v>0</v>
      </c>
      <c r="AP1149">
        <v>0</v>
      </c>
      <c r="AQ1149">
        <v>0</v>
      </c>
      <c r="AR1149">
        <v>0</v>
      </c>
      <c r="AS1149">
        <v>0</v>
      </c>
      <c r="AT1149">
        <f t="shared" si="53"/>
        <v>5.3299999999999992</v>
      </c>
      <c r="AU1149">
        <f t="shared" si="54"/>
        <v>5.8966666666666665</v>
      </c>
      <c r="AV1149">
        <f t="shared" si="52"/>
        <v>814.01800000000014</v>
      </c>
      <c r="AX1149">
        <v>1250</v>
      </c>
      <c r="AY1149">
        <v>1287.5</v>
      </c>
      <c r="AZ1149">
        <v>9.25</v>
      </c>
      <c r="BC1149" t="s">
        <v>108</v>
      </c>
    </row>
    <row r="1150" spans="3:55" x14ac:dyDescent="0.45">
      <c r="C1150">
        <v>82.67</v>
      </c>
      <c r="D1150">
        <v>5.47</v>
      </c>
      <c r="E1150">
        <v>4.8099999999999996</v>
      </c>
      <c r="F1150">
        <v>1.03</v>
      </c>
      <c r="G1150">
        <v>0</v>
      </c>
      <c r="H1150">
        <v>1.5</v>
      </c>
      <c r="I1150">
        <v>0</v>
      </c>
      <c r="J1150">
        <v>0</v>
      </c>
      <c r="K1150">
        <v>0</v>
      </c>
      <c r="L1150">
        <v>4.5199999999999996</v>
      </c>
      <c r="M1150">
        <v>0</v>
      </c>
      <c r="N1150">
        <v>0</v>
      </c>
      <c r="O1150">
        <v>0</v>
      </c>
      <c r="P1150">
        <v>0</v>
      </c>
      <c r="Q1150">
        <v>0</v>
      </c>
      <c r="R1150">
        <v>0</v>
      </c>
      <c r="S1150">
        <v>0</v>
      </c>
      <c r="T1150">
        <v>0</v>
      </c>
      <c r="U1150">
        <v>0</v>
      </c>
      <c r="V1150">
        <v>1</v>
      </c>
      <c r="W1150">
        <v>0</v>
      </c>
      <c r="X1150">
        <v>0</v>
      </c>
      <c r="Y1150">
        <v>0</v>
      </c>
      <c r="Z1150">
        <v>0</v>
      </c>
      <c r="AA1150">
        <v>1</v>
      </c>
      <c r="AB1150">
        <v>0</v>
      </c>
      <c r="AC1150">
        <v>710</v>
      </c>
      <c r="AD1150">
        <v>2</v>
      </c>
      <c r="AE1150">
        <v>0</v>
      </c>
      <c r="AF1150">
        <v>1</v>
      </c>
      <c r="AG1150">
        <v>0</v>
      </c>
      <c r="AH1150">
        <v>500</v>
      </c>
      <c r="AI1150">
        <v>3</v>
      </c>
      <c r="AJ1150">
        <v>0</v>
      </c>
      <c r="AK1150">
        <v>1</v>
      </c>
      <c r="AL1150">
        <v>0</v>
      </c>
      <c r="AM1150">
        <v>0</v>
      </c>
      <c r="AN1150">
        <v>0</v>
      </c>
      <c r="AO1150">
        <v>0</v>
      </c>
      <c r="AP1150">
        <v>0</v>
      </c>
      <c r="AQ1150">
        <v>0</v>
      </c>
      <c r="AR1150">
        <v>0</v>
      </c>
      <c r="AS1150">
        <v>0</v>
      </c>
      <c r="AT1150">
        <f t="shared" si="53"/>
        <v>8.2706999999999979</v>
      </c>
      <c r="AU1150">
        <f t="shared" si="54"/>
        <v>5.47</v>
      </c>
      <c r="AV1150">
        <f t="shared" si="52"/>
        <v>758.226</v>
      </c>
      <c r="AY1150">
        <v>1219.1500000000001</v>
      </c>
      <c r="AZ1150">
        <v>12.67</v>
      </c>
      <c r="BC1150" t="s">
        <v>194</v>
      </c>
    </row>
    <row r="1151" spans="3:55" x14ac:dyDescent="0.45">
      <c r="C1151">
        <v>82.67</v>
      </c>
      <c r="D1151">
        <v>5.47</v>
      </c>
      <c r="E1151">
        <v>4.8099999999999996</v>
      </c>
      <c r="F1151">
        <v>1.03</v>
      </c>
      <c r="G1151">
        <v>0</v>
      </c>
      <c r="H1151">
        <v>1.5</v>
      </c>
      <c r="I1151">
        <v>0</v>
      </c>
      <c r="J1151">
        <v>0</v>
      </c>
      <c r="K1151">
        <v>0</v>
      </c>
      <c r="L1151">
        <v>4.5199999999999996</v>
      </c>
      <c r="M1151">
        <v>0</v>
      </c>
      <c r="N1151">
        <v>0</v>
      </c>
      <c r="O1151">
        <v>0</v>
      </c>
      <c r="P1151">
        <v>0</v>
      </c>
      <c r="Q1151">
        <v>0</v>
      </c>
      <c r="R1151">
        <v>0</v>
      </c>
      <c r="S1151">
        <v>0</v>
      </c>
      <c r="T1151">
        <v>0</v>
      </c>
      <c r="U1151">
        <v>0</v>
      </c>
      <c r="V1151">
        <v>1</v>
      </c>
      <c r="W1151">
        <v>0</v>
      </c>
      <c r="X1151">
        <v>0</v>
      </c>
      <c r="Y1151">
        <v>0</v>
      </c>
      <c r="Z1151">
        <v>0</v>
      </c>
      <c r="AA1151">
        <v>1</v>
      </c>
      <c r="AB1151">
        <v>0</v>
      </c>
      <c r="AC1151">
        <v>720</v>
      </c>
      <c r="AD1151">
        <v>2</v>
      </c>
      <c r="AE1151">
        <v>0</v>
      </c>
      <c r="AF1151">
        <v>1</v>
      </c>
      <c r="AG1151">
        <v>0</v>
      </c>
      <c r="AH1151">
        <v>500</v>
      </c>
      <c r="AI1151">
        <v>3</v>
      </c>
      <c r="AJ1151">
        <v>0</v>
      </c>
      <c r="AK1151">
        <v>1</v>
      </c>
      <c r="AL1151">
        <v>0</v>
      </c>
      <c r="AM1151">
        <v>0</v>
      </c>
      <c r="AN1151">
        <v>0</v>
      </c>
      <c r="AO1151">
        <v>0</v>
      </c>
      <c r="AP1151">
        <v>0</v>
      </c>
      <c r="AQ1151">
        <v>0</v>
      </c>
      <c r="AR1151">
        <v>0</v>
      </c>
      <c r="AS1151">
        <v>0</v>
      </c>
      <c r="AT1151">
        <f t="shared" si="53"/>
        <v>8.2706999999999979</v>
      </c>
      <c r="AU1151">
        <f t="shared" si="54"/>
        <v>5.47</v>
      </c>
      <c r="AV1151">
        <f t="shared" si="52"/>
        <v>758.226</v>
      </c>
      <c r="AY1151">
        <v>1234.01</v>
      </c>
      <c r="AZ1151">
        <v>10.44</v>
      </c>
      <c r="BC1151" t="s">
        <v>194</v>
      </c>
    </row>
    <row r="1152" spans="3:55" x14ac:dyDescent="0.45">
      <c r="C1152">
        <v>82.67</v>
      </c>
      <c r="D1152">
        <v>5.47</v>
      </c>
      <c r="E1152">
        <v>4.8099999999999996</v>
      </c>
      <c r="F1152">
        <v>1.03</v>
      </c>
      <c r="G1152">
        <v>0</v>
      </c>
      <c r="H1152">
        <v>1.5</v>
      </c>
      <c r="I1152">
        <v>0</v>
      </c>
      <c r="J1152">
        <v>0</v>
      </c>
      <c r="K1152">
        <v>0</v>
      </c>
      <c r="L1152">
        <v>4.5199999999999996</v>
      </c>
      <c r="M1152">
        <v>0</v>
      </c>
      <c r="N1152">
        <v>0</v>
      </c>
      <c r="O1152">
        <v>0</v>
      </c>
      <c r="P1152">
        <v>0</v>
      </c>
      <c r="Q1152">
        <v>0</v>
      </c>
      <c r="R1152">
        <v>0</v>
      </c>
      <c r="S1152">
        <v>0</v>
      </c>
      <c r="T1152">
        <v>0</v>
      </c>
      <c r="U1152">
        <v>0</v>
      </c>
      <c r="V1152">
        <v>1</v>
      </c>
      <c r="W1152">
        <v>0</v>
      </c>
      <c r="X1152">
        <v>0</v>
      </c>
      <c r="Y1152">
        <v>0</v>
      </c>
      <c r="Z1152">
        <v>0</v>
      </c>
      <c r="AA1152">
        <v>1</v>
      </c>
      <c r="AB1152">
        <v>0</v>
      </c>
      <c r="AC1152">
        <v>730</v>
      </c>
      <c r="AD1152">
        <v>2</v>
      </c>
      <c r="AE1152">
        <v>0</v>
      </c>
      <c r="AF1152">
        <v>1</v>
      </c>
      <c r="AG1152">
        <v>0</v>
      </c>
      <c r="AH1152">
        <v>500</v>
      </c>
      <c r="AI1152">
        <v>3</v>
      </c>
      <c r="AJ1152">
        <v>0</v>
      </c>
      <c r="AK1152">
        <v>1</v>
      </c>
      <c r="AL1152">
        <v>0</v>
      </c>
      <c r="AM1152">
        <v>0</v>
      </c>
      <c r="AN1152">
        <v>0</v>
      </c>
      <c r="AO1152">
        <v>0</v>
      </c>
      <c r="AP1152">
        <v>0</v>
      </c>
      <c r="AQ1152">
        <v>0</v>
      </c>
      <c r="AR1152">
        <v>0</v>
      </c>
      <c r="AS1152">
        <v>0</v>
      </c>
      <c r="AT1152">
        <f t="shared" si="53"/>
        <v>8.2706999999999979</v>
      </c>
      <c r="AU1152">
        <f t="shared" si="54"/>
        <v>5.47</v>
      </c>
      <c r="AV1152">
        <f t="shared" si="52"/>
        <v>758.226</v>
      </c>
      <c r="AY1152">
        <v>1241.76</v>
      </c>
      <c r="AZ1152">
        <v>9.75</v>
      </c>
      <c r="BC1152" t="s">
        <v>194</v>
      </c>
    </row>
    <row r="1153" spans="3:55" x14ac:dyDescent="0.45">
      <c r="C1153">
        <v>82.67</v>
      </c>
      <c r="D1153">
        <v>5.47</v>
      </c>
      <c r="E1153">
        <v>4.8099999999999996</v>
      </c>
      <c r="F1153">
        <v>1.03</v>
      </c>
      <c r="G1153">
        <v>0</v>
      </c>
      <c r="H1153">
        <v>1.5</v>
      </c>
      <c r="I1153">
        <v>0</v>
      </c>
      <c r="J1153">
        <v>0</v>
      </c>
      <c r="K1153">
        <v>0</v>
      </c>
      <c r="L1153">
        <v>4.5199999999999996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0</v>
      </c>
      <c r="S1153">
        <v>0</v>
      </c>
      <c r="T1153">
        <v>0</v>
      </c>
      <c r="U1153">
        <v>0</v>
      </c>
      <c r="V1153">
        <v>1</v>
      </c>
      <c r="W1153">
        <v>0</v>
      </c>
      <c r="X1153">
        <v>0</v>
      </c>
      <c r="Y1153">
        <v>0</v>
      </c>
      <c r="Z1153">
        <v>0</v>
      </c>
      <c r="AA1153">
        <v>1</v>
      </c>
      <c r="AB1153">
        <v>0</v>
      </c>
      <c r="AC1153">
        <v>740</v>
      </c>
      <c r="AD1153">
        <v>2</v>
      </c>
      <c r="AE1153">
        <v>0</v>
      </c>
      <c r="AF1153">
        <v>1</v>
      </c>
      <c r="AG1153">
        <v>0</v>
      </c>
      <c r="AH1153">
        <v>500</v>
      </c>
      <c r="AI1153">
        <v>3</v>
      </c>
      <c r="AJ1153">
        <v>0</v>
      </c>
      <c r="AK1153">
        <v>1</v>
      </c>
      <c r="AL1153">
        <v>0</v>
      </c>
      <c r="AM1153">
        <v>0</v>
      </c>
      <c r="AN1153">
        <v>0</v>
      </c>
      <c r="AO1153">
        <v>0</v>
      </c>
      <c r="AP1153">
        <v>0</v>
      </c>
      <c r="AQ1153">
        <v>0</v>
      </c>
      <c r="AR1153">
        <v>0</v>
      </c>
      <c r="AS1153">
        <v>0</v>
      </c>
      <c r="AT1153">
        <f t="shared" si="53"/>
        <v>8.2706999999999979</v>
      </c>
      <c r="AU1153">
        <f t="shared" si="54"/>
        <v>5.47</v>
      </c>
      <c r="AV1153">
        <f t="shared" si="52"/>
        <v>758.226</v>
      </c>
      <c r="AY1153">
        <v>1276.29</v>
      </c>
      <c r="AZ1153">
        <v>9</v>
      </c>
      <c r="BC1153" t="s">
        <v>194</v>
      </c>
    </row>
    <row r="1154" spans="3:55" x14ac:dyDescent="0.45">
      <c r="C1154">
        <v>82.67</v>
      </c>
      <c r="D1154">
        <v>5.47</v>
      </c>
      <c r="E1154">
        <v>4.8099999999999996</v>
      </c>
      <c r="F1154">
        <v>1.03</v>
      </c>
      <c r="G1154">
        <v>0</v>
      </c>
      <c r="H1154">
        <v>1.5</v>
      </c>
      <c r="I1154">
        <v>0</v>
      </c>
      <c r="J1154">
        <v>0</v>
      </c>
      <c r="K1154">
        <v>0</v>
      </c>
      <c r="L1154">
        <v>4.5199999999999996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0</v>
      </c>
      <c r="S1154">
        <v>0</v>
      </c>
      <c r="T1154">
        <v>0</v>
      </c>
      <c r="U1154">
        <v>0</v>
      </c>
      <c r="V1154">
        <v>1</v>
      </c>
      <c r="W1154">
        <v>0</v>
      </c>
      <c r="X1154">
        <v>0</v>
      </c>
      <c r="Y1154">
        <v>0</v>
      </c>
      <c r="Z1154">
        <v>0</v>
      </c>
      <c r="AA1154">
        <v>1</v>
      </c>
      <c r="AB1154">
        <v>0</v>
      </c>
      <c r="AC1154">
        <v>750</v>
      </c>
      <c r="AD1154">
        <v>2</v>
      </c>
      <c r="AE1154">
        <v>0</v>
      </c>
      <c r="AF1154">
        <v>1</v>
      </c>
      <c r="AG1154">
        <v>0</v>
      </c>
      <c r="AH1154">
        <v>500</v>
      </c>
      <c r="AI1154">
        <v>3</v>
      </c>
      <c r="AJ1154">
        <v>0</v>
      </c>
      <c r="AK1154">
        <v>1</v>
      </c>
      <c r="AL1154">
        <v>0</v>
      </c>
      <c r="AM1154">
        <v>0</v>
      </c>
      <c r="AN1154">
        <v>0</v>
      </c>
      <c r="AO1154">
        <v>0</v>
      </c>
      <c r="AP1154">
        <v>0</v>
      </c>
      <c r="AQ1154">
        <v>0</v>
      </c>
      <c r="AR1154">
        <v>0</v>
      </c>
      <c r="AS1154">
        <v>0</v>
      </c>
      <c r="AT1154">
        <f t="shared" si="53"/>
        <v>8.2706999999999979</v>
      </c>
      <c r="AU1154">
        <f t="shared" si="54"/>
        <v>5.47</v>
      </c>
      <c r="AV1154">
        <f t="shared" ref="AV1154:AV1205" si="55">882+2.1*D1154-9.5*L1154+4.2*M1154-6.9*J1154-11.8*E1154-12.1*F1154-15.4*H1154+23.3*Q1154+123*T1154</f>
        <v>758.226</v>
      </c>
      <c r="AY1154">
        <v>1309.5899999999999</v>
      </c>
      <c r="AZ1154">
        <v>6.75</v>
      </c>
      <c r="BC1154" t="s">
        <v>194</v>
      </c>
    </row>
    <row r="1155" spans="3:55" x14ac:dyDescent="0.45">
      <c r="C1155">
        <v>82.67</v>
      </c>
      <c r="D1155">
        <v>5.47</v>
      </c>
      <c r="E1155">
        <v>4.8099999999999996</v>
      </c>
      <c r="F1155">
        <v>1.03</v>
      </c>
      <c r="G1155">
        <v>0</v>
      </c>
      <c r="H1155">
        <v>1.5</v>
      </c>
      <c r="I1155">
        <v>0</v>
      </c>
      <c r="J1155">
        <v>0</v>
      </c>
      <c r="K1155">
        <v>0</v>
      </c>
      <c r="L1155">
        <v>4.5199999999999996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0</v>
      </c>
      <c r="S1155">
        <v>0</v>
      </c>
      <c r="T1155">
        <v>0</v>
      </c>
      <c r="U1155">
        <v>0</v>
      </c>
      <c r="V1155">
        <v>1</v>
      </c>
      <c r="W1155">
        <v>0</v>
      </c>
      <c r="X1155">
        <v>0</v>
      </c>
      <c r="Y1155">
        <v>0</v>
      </c>
      <c r="Z1155">
        <v>0</v>
      </c>
      <c r="AA1155">
        <v>1</v>
      </c>
      <c r="AB1155">
        <v>0</v>
      </c>
      <c r="AC1155">
        <v>760</v>
      </c>
      <c r="AD1155">
        <v>2</v>
      </c>
      <c r="AE1155">
        <v>0</v>
      </c>
      <c r="AF1155">
        <v>1</v>
      </c>
      <c r="AG1155">
        <v>0</v>
      </c>
      <c r="AH1155">
        <v>500</v>
      </c>
      <c r="AI1155">
        <v>3</v>
      </c>
      <c r="AJ1155">
        <v>0</v>
      </c>
      <c r="AK1155">
        <v>1</v>
      </c>
      <c r="AL1155">
        <v>0</v>
      </c>
      <c r="AM1155">
        <v>0</v>
      </c>
      <c r="AN1155">
        <v>0</v>
      </c>
      <c r="AO1155">
        <v>0</v>
      </c>
      <c r="AP1155">
        <v>0</v>
      </c>
      <c r="AQ1155">
        <v>0</v>
      </c>
      <c r="AR1155">
        <v>0</v>
      </c>
      <c r="AS1155">
        <v>0</v>
      </c>
      <c r="AT1155">
        <f t="shared" ref="AT1155:AT1205" si="56">L1155+0.67*E1155+0.44*P1155+0.28*K1155+0.22*O1155+2.9*H1155+1.6*F1155+1.7*G1155-D1155</f>
        <v>8.2706999999999979</v>
      </c>
      <c r="AU1155">
        <f t="shared" si="54"/>
        <v>5.47</v>
      </c>
      <c r="AV1155">
        <f t="shared" si="55"/>
        <v>758.226</v>
      </c>
      <c r="AY1155">
        <v>1362.37</v>
      </c>
      <c r="AZ1155">
        <v>4.97</v>
      </c>
      <c r="BC1155" t="s">
        <v>194</v>
      </c>
    </row>
    <row r="1156" spans="3:55" x14ac:dyDescent="0.45">
      <c r="C1156">
        <v>82.67</v>
      </c>
      <c r="D1156">
        <v>5.47</v>
      </c>
      <c r="E1156">
        <v>4.8099999999999996</v>
      </c>
      <c r="F1156">
        <v>1.03</v>
      </c>
      <c r="G1156">
        <v>0</v>
      </c>
      <c r="H1156">
        <v>1.5</v>
      </c>
      <c r="I1156">
        <v>0</v>
      </c>
      <c r="J1156">
        <v>0</v>
      </c>
      <c r="K1156">
        <v>0</v>
      </c>
      <c r="L1156">
        <v>4.5199999999999996</v>
      </c>
      <c r="M1156">
        <v>0</v>
      </c>
      <c r="N1156">
        <v>0</v>
      </c>
      <c r="O1156">
        <v>0</v>
      </c>
      <c r="P1156">
        <v>0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1</v>
      </c>
      <c r="W1156">
        <v>0</v>
      </c>
      <c r="X1156">
        <v>0</v>
      </c>
      <c r="Y1156">
        <v>0</v>
      </c>
      <c r="Z1156">
        <v>0</v>
      </c>
      <c r="AA1156">
        <v>1</v>
      </c>
      <c r="AB1156">
        <v>0</v>
      </c>
      <c r="AC1156">
        <v>770</v>
      </c>
      <c r="AD1156">
        <v>2</v>
      </c>
      <c r="AE1156">
        <v>0</v>
      </c>
      <c r="AF1156">
        <v>1</v>
      </c>
      <c r="AG1156">
        <v>0</v>
      </c>
      <c r="AH1156">
        <v>500</v>
      </c>
      <c r="AI1156">
        <v>3</v>
      </c>
      <c r="AJ1156">
        <v>0</v>
      </c>
      <c r="AK1156">
        <v>1</v>
      </c>
      <c r="AL1156">
        <v>0</v>
      </c>
      <c r="AM1156">
        <v>0</v>
      </c>
      <c r="AN1156">
        <v>0</v>
      </c>
      <c r="AO1156">
        <v>0</v>
      </c>
      <c r="AP1156">
        <v>0</v>
      </c>
      <c r="AQ1156">
        <v>0</v>
      </c>
      <c r="AR1156">
        <v>0</v>
      </c>
      <c r="AS1156">
        <v>0</v>
      </c>
      <c r="AT1156">
        <f t="shared" si="56"/>
        <v>8.2706999999999979</v>
      </c>
      <c r="AU1156">
        <f t="shared" si="54"/>
        <v>5.47</v>
      </c>
      <c r="AV1156">
        <f t="shared" si="55"/>
        <v>758.226</v>
      </c>
      <c r="AY1156">
        <v>1415.95</v>
      </c>
      <c r="AZ1156">
        <v>4.38</v>
      </c>
      <c r="BC1156" t="s">
        <v>194</v>
      </c>
    </row>
    <row r="1157" spans="3:55" x14ac:dyDescent="0.45">
      <c r="C1157">
        <v>82.67</v>
      </c>
      <c r="D1157">
        <v>5.47</v>
      </c>
      <c r="E1157">
        <v>4.8099999999999996</v>
      </c>
      <c r="F1157">
        <v>1.03</v>
      </c>
      <c r="G1157">
        <v>0</v>
      </c>
      <c r="H1157">
        <v>1.5</v>
      </c>
      <c r="I1157">
        <v>0</v>
      </c>
      <c r="J1157">
        <v>0</v>
      </c>
      <c r="K1157">
        <v>0</v>
      </c>
      <c r="L1157">
        <v>4.5199999999999996</v>
      </c>
      <c r="M1157">
        <v>0</v>
      </c>
      <c r="N1157">
        <v>0</v>
      </c>
      <c r="O1157">
        <v>0</v>
      </c>
      <c r="P1157">
        <v>0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1</v>
      </c>
      <c r="W1157">
        <v>0</v>
      </c>
      <c r="X1157">
        <v>0</v>
      </c>
      <c r="Y1157">
        <v>0</v>
      </c>
      <c r="Z1157">
        <v>0</v>
      </c>
      <c r="AA1157">
        <v>1</v>
      </c>
      <c r="AB1157">
        <v>0</v>
      </c>
      <c r="AC1157">
        <v>780</v>
      </c>
      <c r="AD1157">
        <v>2</v>
      </c>
      <c r="AE1157">
        <v>0</v>
      </c>
      <c r="AF1157">
        <v>1</v>
      </c>
      <c r="AG1157">
        <v>0</v>
      </c>
      <c r="AH1157">
        <v>500</v>
      </c>
      <c r="AI1157">
        <v>3</v>
      </c>
      <c r="AJ1157">
        <v>0</v>
      </c>
      <c r="AK1157">
        <v>1</v>
      </c>
      <c r="AL1157">
        <v>0</v>
      </c>
      <c r="AM1157">
        <v>0</v>
      </c>
      <c r="AN1157">
        <v>0</v>
      </c>
      <c r="AO1157">
        <v>0</v>
      </c>
      <c r="AP1157">
        <v>0</v>
      </c>
      <c r="AQ1157">
        <v>0</v>
      </c>
      <c r="AR1157">
        <v>0</v>
      </c>
      <c r="AS1157">
        <v>0</v>
      </c>
      <c r="AT1157">
        <f t="shared" si="56"/>
        <v>8.2706999999999979</v>
      </c>
      <c r="AU1157">
        <f t="shared" si="54"/>
        <v>5.47</v>
      </c>
      <c r="AV1157">
        <f t="shared" si="55"/>
        <v>758.226</v>
      </c>
      <c r="AY1157">
        <v>1436.27</v>
      </c>
      <c r="AZ1157">
        <v>3.46</v>
      </c>
      <c r="BC1157" t="s">
        <v>194</v>
      </c>
    </row>
    <row r="1158" spans="3:55" x14ac:dyDescent="0.45">
      <c r="C1158">
        <v>82.67</v>
      </c>
      <c r="D1158">
        <v>5.47</v>
      </c>
      <c r="E1158">
        <v>4.8099999999999996</v>
      </c>
      <c r="F1158">
        <v>1.03</v>
      </c>
      <c r="G1158">
        <v>0</v>
      </c>
      <c r="H1158">
        <v>1.5</v>
      </c>
      <c r="I1158">
        <v>0</v>
      </c>
      <c r="J1158">
        <v>0</v>
      </c>
      <c r="K1158">
        <v>0</v>
      </c>
      <c r="L1158">
        <v>4.5199999999999996</v>
      </c>
      <c r="M1158">
        <v>0</v>
      </c>
      <c r="N1158">
        <v>0</v>
      </c>
      <c r="O1158">
        <v>0</v>
      </c>
      <c r="P1158">
        <v>0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1</v>
      </c>
      <c r="W1158">
        <v>0</v>
      </c>
      <c r="X1158">
        <v>0</v>
      </c>
      <c r="Y1158">
        <v>0</v>
      </c>
      <c r="Z1158">
        <v>0</v>
      </c>
      <c r="AA1158">
        <v>1</v>
      </c>
      <c r="AB1158">
        <v>0</v>
      </c>
      <c r="AC1158">
        <v>790</v>
      </c>
      <c r="AD1158">
        <v>2</v>
      </c>
      <c r="AE1158">
        <v>0</v>
      </c>
      <c r="AF1158">
        <v>1</v>
      </c>
      <c r="AG1158">
        <v>0</v>
      </c>
      <c r="AH1158">
        <v>500</v>
      </c>
      <c r="AI1158">
        <v>3</v>
      </c>
      <c r="AJ1158">
        <v>0</v>
      </c>
      <c r="AK1158">
        <v>1</v>
      </c>
      <c r="AL1158">
        <v>0</v>
      </c>
      <c r="AM1158">
        <v>0</v>
      </c>
      <c r="AN1158">
        <v>0</v>
      </c>
      <c r="AO1158">
        <v>0</v>
      </c>
      <c r="AP1158">
        <v>0</v>
      </c>
      <c r="AQ1158">
        <v>0</v>
      </c>
      <c r="AR1158">
        <v>0</v>
      </c>
      <c r="AS1158">
        <v>0</v>
      </c>
      <c r="AT1158">
        <f t="shared" si="56"/>
        <v>8.2706999999999979</v>
      </c>
      <c r="AU1158">
        <f t="shared" si="54"/>
        <v>5.47</v>
      </c>
      <c r="AV1158">
        <f t="shared" si="55"/>
        <v>758.226</v>
      </c>
      <c r="AY1158">
        <v>1446.05</v>
      </c>
      <c r="AZ1158">
        <v>3.27</v>
      </c>
      <c r="BC1158" t="s">
        <v>194</v>
      </c>
    </row>
    <row r="1159" spans="3:55" x14ac:dyDescent="0.45">
      <c r="C1159">
        <v>82.67</v>
      </c>
      <c r="D1159">
        <v>5.47</v>
      </c>
      <c r="E1159">
        <v>4.8099999999999996</v>
      </c>
      <c r="F1159">
        <v>1.03</v>
      </c>
      <c r="G1159">
        <v>0</v>
      </c>
      <c r="H1159">
        <v>1.5</v>
      </c>
      <c r="I1159">
        <v>0</v>
      </c>
      <c r="J1159">
        <v>0</v>
      </c>
      <c r="K1159">
        <v>0</v>
      </c>
      <c r="L1159">
        <v>4.5199999999999996</v>
      </c>
      <c r="M1159">
        <v>0</v>
      </c>
      <c r="N1159">
        <v>0</v>
      </c>
      <c r="O1159">
        <v>0</v>
      </c>
      <c r="P1159">
        <v>0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1</v>
      </c>
      <c r="W1159">
        <v>0</v>
      </c>
      <c r="X1159">
        <v>0</v>
      </c>
      <c r="Y1159">
        <v>0</v>
      </c>
      <c r="Z1159">
        <v>0</v>
      </c>
      <c r="AA1159">
        <v>1</v>
      </c>
      <c r="AB1159">
        <v>0</v>
      </c>
      <c r="AC1159">
        <v>800</v>
      </c>
      <c r="AD1159">
        <v>2</v>
      </c>
      <c r="AE1159">
        <v>0</v>
      </c>
      <c r="AF1159">
        <v>1</v>
      </c>
      <c r="AG1159">
        <v>0</v>
      </c>
      <c r="AH1159">
        <v>500</v>
      </c>
      <c r="AI1159">
        <v>3</v>
      </c>
      <c r="AJ1159">
        <v>0</v>
      </c>
      <c r="AK1159">
        <v>1</v>
      </c>
      <c r="AL1159">
        <v>0</v>
      </c>
      <c r="AM1159">
        <v>0</v>
      </c>
      <c r="AN1159">
        <v>0</v>
      </c>
      <c r="AO1159">
        <v>0</v>
      </c>
      <c r="AP1159">
        <v>0</v>
      </c>
      <c r="AQ1159">
        <v>0</v>
      </c>
      <c r="AR1159">
        <v>0</v>
      </c>
      <c r="AS1159">
        <v>0</v>
      </c>
      <c r="AT1159">
        <f t="shared" si="56"/>
        <v>8.2706999999999979</v>
      </c>
      <c r="AU1159">
        <f t="shared" si="54"/>
        <v>5.47</v>
      </c>
      <c r="AV1159">
        <f t="shared" si="55"/>
        <v>758.226</v>
      </c>
      <c r="AY1159">
        <v>1454.21</v>
      </c>
      <c r="AZ1159">
        <v>3.54</v>
      </c>
      <c r="BC1159" t="s">
        <v>194</v>
      </c>
    </row>
    <row r="1160" spans="3:55" x14ac:dyDescent="0.45">
      <c r="C1160">
        <v>82.67</v>
      </c>
      <c r="D1160">
        <v>5.47</v>
      </c>
      <c r="E1160">
        <v>4.8099999999999996</v>
      </c>
      <c r="F1160">
        <v>1.03</v>
      </c>
      <c r="G1160">
        <v>0</v>
      </c>
      <c r="H1160">
        <v>1.5</v>
      </c>
      <c r="I1160">
        <v>0</v>
      </c>
      <c r="J1160">
        <v>0</v>
      </c>
      <c r="K1160">
        <v>0</v>
      </c>
      <c r="L1160">
        <v>4.5199999999999996</v>
      </c>
      <c r="M1160">
        <v>0</v>
      </c>
      <c r="N1160">
        <v>0</v>
      </c>
      <c r="O1160">
        <v>0</v>
      </c>
      <c r="P1160">
        <v>0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1</v>
      </c>
      <c r="W1160">
        <v>0</v>
      </c>
      <c r="X1160">
        <v>0</v>
      </c>
      <c r="Y1160">
        <v>0</v>
      </c>
      <c r="Z1160">
        <v>0</v>
      </c>
      <c r="AA1160">
        <v>1</v>
      </c>
      <c r="AB1160">
        <v>0</v>
      </c>
      <c r="AC1160">
        <v>810</v>
      </c>
      <c r="AD1160">
        <v>2</v>
      </c>
      <c r="AE1160">
        <v>0</v>
      </c>
      <c r="AF1160">
        <v>1</v>
      </c>
      <c r="AG1160">
        <v>0</v>
      </c>
      <c r="AH1160">
        <v>500</v>
      </c>
      <c r="AI1160">
        <v>3</v>
      </c>
      <c r="AJ1160">
        <v>0</v>
      </c>
      <c r="AK1160">
        <v>1</v>
      </c>
      <c r="AL1160">
        <v>0</v>
      </c>
      <c r="AM1160">
        <v>0</v>
      </c>
      <c r="AN1160">
        <v>0</v>
      </c>
      <c r="AO1160">
        <v>0</v>
      </c>
      <c r="AP1160">
        <v>0</v>
      </c>
      <c r="AQ1160">
        <v>0</v>
      </c>
      <c r="AR1160">
        <v>0</v>
      </c>
      <c r="AS1160">
        <v>0</v>
      </c>
      <c r="AT1160">
        <f t="shared" si="56"/>
        <v>8.2706999999999979</v>
      </c>
      <c r="AU1160">
        <f t="shared" si="54"/>
        <v>5.47</v>
      </c>
      <c r="AV1160">
        <f t="shared" si="55"/>
        <v>758.226</v>
      </c>
      <c r="AY1160">
        <v>1460.74</v>
      </c>
      <c r="AZ1160">
        <v>3.58</v>
      </c>
      <c r="BC1160" t="s">
        <v>194</v>
      </c>
    </row>
    <row r="1161" spans="3:55" x14ac:dyDescent="0.45">
      <c r="C1161">
        <v>82.67</v>
      </c>
      <c r="D1161">
        <v>5.47</v>
      </c>
      <c r="E1161">
        <v>4.8099999999999996</v>
      </c>
      <c r="F1161">
        <v>1.03</v>
      </c>
      <c r="G1161">
        <v>0</v>
      </c>
      <c r="H1161">
        <v>1.5</v>
      </c>
      <c r="I1161">
        <v>0</v>
      </c>
      <c r="J1161">
        <v>0</v>
      </c>
      <c r="K1161">
        <v>0</v>
      </c>
      <c r="L1161">
        <v>4.5199999999999996</v>
      </c>
      <c r="M1161">
        <v>0</v>
      </c>
      <c r="N1161">
        <v>0</v>
      </c>
      <c r="O1161">
        <v>0</v>
      </c>
      <c r="P1161">
        <v>0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1</v>
      </c>
      <c r="W1161">
        <v>0</v>
      </c>
      <c r="X1161">
        <v>0</v>
      </c>
      <c r="Y1161">
        <v>0</v>
      </c>
      <c r="Z1161">
        <v>0</v>
      </c>
      <c r="AA1161">
        <v>1</v>
      </c>
      <c r="AB1161">
        <v>0</v>
      </c>
      <c r="AC1161">
        <v>820</v>
      </c>
      <c r="AD1161">
        <v>2</v>
      </c>
      <c r="AE1161">
        <v>0</v>
      </c>
      <c r="AF1161">
        <v>1</v>
      </c>
      <c r="AG1161">
        <v>0</v>
      </c>
      <c r="AH1161">
        <v>500</v>
      </c>
      <c r="AI1161">
        <v>3</v>
      </c>
      <c r="AJ1161">
        <v>0</v>
      </c>
      <c r="AK1161">
        <v>1</v>
      </c>
      <c r="AL1161">
        <v>0</v>
      </c>
      <c r="AM1161">
        <v>0</v>
      </c>
      <c r="AN1161">
        <v>0</v>
      </c>
      <c r="AO1161">
        <v>0</v>
      </c>
      <c r="AP1161">
        <v>0</v>
      </c>
      <c r="AQ1161">
        <v>0</v>
      </c>
      <c r="AR1161">
        <v>0</v>
      </c>
      <c r="AS1161">
        <v>0</v>
      </c>
      <c r="AT1161">
        <f t="shared" si="56"/>
        <v>8.2706999999999979</v>
      </c>
      <c r="AU1161">
        <f t="shared" si="54"/>
        <v>5.47</v>
      </c>
      <c r="AV1161">
        <f t="shared" si="55"/>
        <v>758.226</v>
      </c>
      <c r="AY1161">
        <v>1460.8</v>
      </c>
      <c r="AZ1161">
        <v>3.31</v>
      </c>
      <c r="BC1161" t="s">
        <v>194</v>
      </c>
    </row>
    <row r="1162" spans="3:55" x14ac:dyDescent="0.45">
      <c r="C1162">
        <v>82.67</v>
      </c>
      <c r="D1162">
        <v>5.47</v>
      </c>
      <c r="E1162">
        <v>4.8099999999999996</v>
      </c>
      <c r="F1162">
        <v>1.03</v>
      </c>
      <c r="G1162">
        <v>0</v>
      </c>
      <c r="H1162">
        <v>1.5</v>
      </c>
      <c r="I1162">
        <v>0</v>
      </c>
      <c r="J1162">
        <v>0</v>
      </c>
      <c r="K1162">
        <v>0</v>
      </c>
      <c r="L1162">
        <v>4.5199999999999996</v>
      </c>
      <c r="M1162">
        <v>0</v>
      </c>
      <c r="N1162">
        <v>0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1</v>
      </c>
      <c r="W1162">
        <v>0</v>
      </c>
      <c r="X1162">
        <v>0</v>
      </c>
      <c r="Y1162">
        <v>0</v>
      </c>
      <c r="Z1162">
        <v>0</v>
      </c>
      <c r="AA1162">
        <v>1</v>
      </c>
      <c r="AB1162">
        <v>0</v>
      </c>
      <c r="AC1162">
        <v>830</v>
      </c>
      <c r="AD1162">
        <v>2</v>
      </c>
      <c r="AE1162">
        <v>0</v>
      </c>
      <c r="AF1162">
        <v>1</v>
      </c>
      <c r="AG1162">
        <v>0</v>
      </c>
      <c r="AH1162">
        <v>500</v>
      </c>
      <c r="AI1162">
        <v>3</v>
      </c>
      <c r="AJ1162">
        <v>0</v>
      </c>
      <c r="AK1162">
        <v>1</v>
      </c>
      <c r="AL1162">
        <v>0</v>
      </c>
      <c r="AM1162">
        <v>0</v>
      </c>
      <c r="AN1162">
        <v>0</v>
      </c>
      <c r="AO1162">
        <v>0</v>
      </c>
      <c r="AP1162">
        <v>0</v>
      </c>
      <c r="AQ1162">
        <v>0</v>
      </c>
      <c r="AR1162">
        <v>0</v>
      </c>
      <c r="AS1162">
        <v>0</v>
      </c>
      <c r="AT1162">
        <f t="shared" si="56"/>
        <v>8.2706999999999979</v>
      </c>
      <c r="AU1162">
        <f t="shared" si="54"/>
        <v>5.47</v>
      </c>
      <c r="AV1162">
        <f t="shared" si="55"/>
        <v>758.226</v>
      </c>
      <c r="AY1162">
        <v>1469.76</v>
      </c>
      <c r="AZ1162">
        <v>3.53</v>
      </c>
      <c r="BC1162" t="s">
        <v>194</v>
      </c>
    </row>
    <row r="1163" spans="3:55" x14ac:dyDescent="0.45">
      <c r="C1163">
        <v>82.67</v>
      </c>
      <c r="D1163">
        <v>5.47</v>
      </c>
      <c r="E1163">
        <v>4.8099999999999996</v>
      </c>
      <c r="F1163">
        <v>1.03</v>
      </c>
      <c r="G1163">
        <v>0</v>
      </c>
      <c r="H1163">
        <v>1.5</v>
      </c>
      <c r="I1163">
        <v>0</v>
      </c>
      <c r="J1163">
        <v>0</v>
      </c>
      <c r="K1163">
        <v>0</v>
      </c>
      <c r="L1163">
        <v>4.5199999999999996</v>
      </c>
      <c r="M1163">
        <v>0</v>
      </c>
      <c r="N1163">
        <v>0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1</v>
      </c>
      <c r="W1163">
        <v>0</v>
      </c>
      <c r="X1163">
        <v>0</v>
      </c>
      <c r="Y1163">
        <v>0</v>
      </c>
      <c r="Z1163">
        <v>0</v>
      </c>
      <c r="AA1163">
        <v>1</v>
      </c>
      <c r="AB1163">
        <v>0</v>
      </c>
      <c r="AC1163">
        <v>840</v>
      </c>
      <c r="AD1163">
        <v>2</v>
      </c>
      <c r="AE1163">
        <v>0</v>
      </c>
      <c r="AF1163">
        <v>1</v>
      </c>
      <c r="AG1163">
        <v>0</v>
      </c>
      <c r="AH1163">
        <v>500</v>
      </c>
      <c r="AI1163">
        <v>3</v>
      </c>
      <c r="AJ1163">
        <v>0</v>
      </c>
      <c r="AK1163">
        <v>1</v>
      </c>
      <c r="AL1163">
        <v>0</v>
      </c>
      <c r="AM1163">
        <v>0</v>
      </c>
      <c r="AN1163">
        <v>0</v>
      </c>
      <c r="AO1163">
        <v>0</v>
      </c>
      <c r="AP1163">
        <v>0</v>
      </c>
      <c r="AQ1163">
        <v>0</v>
      </c>
      <c r="AR1163">
        <v>0</v>
      </c>
      <c r="AS1163">
        <v>0</v>
      </c>
      <c r="AT1163">
        <f t="shared" si="56"/>
        <v>8.2706999999999979</v>
      </c>
      <c r="AU1163">
        <f t="shared" si="54"/>
        <v>5.47</v>
      </c>
      <c r="AV1163">
        <f t="shared" si="55"/>
        <v>758.226</v>
      </c>
      <c r="AY1163">
        <v>1473.05</v>
      </c>
      <c r="AZ1163">
        <v>3.41</v>
      </c>
      <c r="BC1163" t="s">
        <v>194</v>
      </c>
    </row>
    <row r="1164" spans="3:55" x14ac:dyDescent="0.45">
      <c r="C1164">
        <v>82.67</v>
      </c>
      <c r="D1164">
        <v>5.47</v>
      </c>
      <c r="E1164">
        <v>4.8099999999999996</v>
      </c>
      <c r="F1164">
        <v>1.03</v>
      </c>
      <c r="G1164">
        <v>0</v>
      </c>
      <c r="H1164">
        <v>1.5</v>
      </c>
      <c r="I1164">
        <v>0</v>
      </c>
      <c r="J1164">
        <v>0</v>
      </c>
      <c r="K1164">
        <v>0</v>
      </c>
      <c r="L1164">
        <v>4.5199999999999996</v>
      </c>
      <c r="M1164">
        <v>0</v>
      </c>
      <c r="N1164">
        <v>0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1</v>
      </c>
      <c r="W1164">
        <v>0</v>
      </c>
      <c r="X1164">
        <v>0</v>
      </c>
      <c r="Y1164">
        <v>0</v>
      </c>
      <c r="Z1164">
        <v>0</v>
      </c>
      <c r="AA1164">
        <v>1</v>
      </c>
      <c r="AB1164">
        <v>0</v>
      </c>
      <c r="AC1164">
        <v>850</v>
      </c>
      <c r="AD1164">
        <v>2</v>
      </c>
      <c r="AE1164">
        <v>0</v>
      </c>
      <c r="AF1164">
        <v>1</v>
      </c>
      <c r="AG1164">
        <v>0</v>
      </c>
      <c r="AH1164">
        <v>500</v>
      </c>
      <c r="AI1164">
        <v>3</v>
      </c>
      <c r="AJ1164">
        <v>0</v>
      </c>
      <c r="AK1164">
        <v>1</v>
      </c>
      <c r="AL1164">
        <v>0</v>
      </c>
      <c r="AM1164">
        <v>0</v>
      </c>
      <c r="AN1164">
        <v>0</v>
      </c>
      <c r="AO1164">
        <v>0</v>
      </c>
      <c r="AP1164">
        <v>0</v>
      </c>
      <c r="AQ1164">
        <v>0</v>
      </c>
      <c r="AR1164">
        <v>0</v>
      </c>
      <c r="AS1164">
        <v>0</v>
      </c>
      <c r="AT1164">
        <f t="shared" si="56"/>
        <v>8.2706999999999979</v>
      </c>
      <c r="AU1164">
        <f t="shared" si="54"/>
        <v>5.47</v>
      </c>
      <c r="AV1164">
        <f t="shared" si="55"/>
        <v>758.226</v>
      </c>
      <c r="AY1164">
        <v>1482.83</v>
      </c>
      <c r="AZ1164">
        <v>3.3</v>
      </c>
      <c r="BC1164" t="s">
        <v>194</v>
      </c>
    </row>
    <row r="1165" spans="3:55" x14ac:dyDescent="0.45">
      <c r="C1165">
        <v>82.67</v>
      </c>
      <c r="D1165">
        <v>5.47</v>
      </c>
      <c r="E1165">
        <v>4.8099999999999996</v>
      </c>
      <c r="F1165">
        <v>1.03</v>
      </c>
      <c r="G1165">
        <v>0</v>
      </c>
      <c r="H1165">
        <v>1.5</v>
      </c>
      <c r="I1165">
        <v>0</v>
      </c>
      <c r="J1165">
        <v>0</v>
      </c>
      <c r="K1165">
        <v>0</v>
      </c>
      <c r="L1165">
        <v>4.5199999999999996</v>
      </c>
      <c r="M1165">
        <v>0</v>
      </c>
      <c r="N1165">
        <v>0</v>
      </c>
      <c r="O1165">
        <v>0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1</v>
      </c>
      <c r="W1165">
        <v>0</v>
      </c>
      <c r="X1165">
        <v>0</v>
      </c>
      <c r="Y1165">
        <v>0</v>
      </c>
      <c r="Z1165">
        <v>0</v>
      </c>
      <c r="AA1165">
        <v>1</v>
      </c>
      <c r="AB1165">
        <v>0</v>
      </c>
      <c r="AC1165">
        <v>860</v>
      </c>
      <c r="AD1165">
        <v>2</v>
      </c>
      <c r="AE1165">
        <v>0</v>
      </c>
      <c r="AF1165">
        <v>1</v>
      </c>
      <c r="AG1165">
        <v>0</v>
      </c>
      <c r="AH1165">
        <v>500</v>
      </c>
      <c r="AI1165">
        <v>3</v>
      </c>
      <c r="AJ1165">
        <v>0</v>
      </c>
      <c r="AK1165">
        <v>1</v>
      </c>
      <c r="AL1165">
        <v>0</v>
      </c>
      <c r="AM1165">
        <v>0</v>
      </c>
      <c r="AN1165">
        <v>0</v>
      </c>
      <c r="AO1165">
        <v>0</v>
      </c>
      <c r="AP1165">
        <v>0</v>
      </c>
      <c r="AQ1165">
        <v>0</v>
      </c>
      <c r="AR1165">
        <v>0</v>
      </c>
      <c r="AS1165">
        <v>0</v>
      </c>
      <c r="AT1165">
        <f t="shared" si="56"/>
        <v>8.2706999999999979</v>
      </c>
      <c r="AU1165">
        <f t="shared" si="54"/>
        <v>5.47</v>
      </c>
      <c r="AV1165">
        <f t="shared" si="55"/>
        <v>758.226</v>
      </c>
      <c r="AY1165">
        <v>1492.81</v>
      </c>
      <c r="AZ1165">
        <v>3.32</v>
      </c>
      <c r="BC1165" t="s">
        <v>194</v>
      </c>
    </row>
    <row r="1166" spans="3:55" x14ac:dyDescent="0.45">
      <c r="C1166">
        <v>82.67</v>
      </c>
      <c r="D1166">
        <v>5.47</v>
      </c>
      <c r="E1166">
        <v>4.8099999999999996</v>
      </c>
      <c r="F1166">
        <v>1.03</v>
      </c>
      <c r="G1166">
        <v>0</v>
      </c>
      <c r="H1166">
        <v>1.5</v>
      </c>
      <c r="I1166">
        <v>0</v>
      </c>
      <c r="J1166">
        <v>0</v>
      </c>
      <c r="K1166">
        <v>0</v>
      </c>
      <c r="L1166">
        <v>4.5199999999999996</v>
      </c>
      <c r="M1166">
        <v>0</v>
      </c>
      <c r="N1166">
        <v>0</v>
      </c>
      <c r="O1166">
        <v>0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1</v>
      </c>
      <c r="W1166">
        <v>0</v>
      </c>
      <c r="X1166">
        <v>0</v>
      </c>
      <c r="Y1166">
        <v>0</v>
      </c>
      <c r="Z1166">
        <v>0</v>
      </c>
      <c r="AA1166">
        <v>1</v>
      </c>
      <c r="AB1166">
        <v>0</v>
      </c>
      <c r="AC1166">
        <v>710</v>
      </c>
      <c r="AD1166">
        <v>2</v>
      </c>
      <c r="AE1166">
        <v>0</v>
      </c>
      <c r="AF1166">
        <v>1</v>
      </c>
      <c r="AG1166">
        <v>0</v>
      </c>
      <c r="AH1166">
        <v>550</v>
      </c>
      <c r="AI1166">
        <v>3</v>
      </c>
      <c r="AJ1166">
        <v>0</v>
      </c>
      <c r="AK1166">
        <v>1</v>
      </c>
      <c r="AL1166">
        <v>0</v>
      </c>
      <c r="AM1166">
        <v>0</v>
      </c>
      <c r="AN1166">
        <v>0</v>
      </c>
      <c r="AO1166">
        <v>0</v>
      </c>
      <c r="AP1166">
        <v>0</v>
      </c>
      <c r="AQ1166">
        <v>0</v>
      </c>
      <c r="AR1166">
        <v>0</v>
      </c>
      <c r="AS1166">
        <v>0</v>
      </c>
      <c r="AT1166">
        <f t="shared" si="56"/>
        <v>8.2706999999999979</v>
      </c>
      <c r="AU1166">
        <f t="shared" si="54"/>
        <v>5.47</v>
      </c>
      <c r="AV1166">
        <f t="shared" si="55"/>
        <v>758.226</v>
      </c>
      <c r="AY1166">
        <v>1056.45</v>
      </c>
      <c r="AZ1166">
        <v>13.14</v>
      </c>
      <c r="BC1166" t="s">
        <v>194</v>
      </c>
    </row>
    <row r="1167" spans="3:55" x14ac:dyDescent="0.45">
      <c r="C1167">
        <v>82.67</v>
      </c>
      <c r="D1167">
        <v>5.47</v>
      </c>
      <c r="E1167">
        <v>4.8099999999999996</v>
      </c>
      <c r="F1167">
        <v>1.03</v>
      </c>
      <c r="G1167">
        <v>0</v>
      </c>
      <c r="H1167">
        <v>1.5</v>
      </c>
      <c r="I1167">
        <v>0</v>
      </c>
      <c r="J1167">
        <v>0</v>
      </c>
      <c r="K1167">
        <v>0</v>
      </c>
      <c r="L1167">
        <v>4.5199999999999996</v>
      </c>
      <c r="M1167">
        <v>0</v>
      </c>
      <c r="N1167">
        <v>0</v>
      </c>
      <c r="O1167">
        <v>0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1</v>
      </c>
      <c r="W1167">
        <v>0</v>
      </c>
      <c r="X1167">
        <v>0</v>
      </c>
      <c r="Y1167">
        <v>0</v>
      </c>
      <c r="Z1167">
        <v>0</v>
      </c>
      <c r="AA1167">
        <v>1</v>
      </c>
      <c r="AB1167">
        <v>0</v>
      </c>
      <c r="AC1167">
        <v>720</v>
      </c>
      <c r="AD1167">
        <v>2</v>
      </c>
      <c r="AE1167">
        <v>0</v>
      </c>
      <c r="AF1167">
        <v>1</v>
      </c>
      <c r="AG1167">
        <v>0</v>
      </c>
      <c r="AH1167">
        <v>550</v>
      </c>
      <c r="AI1167">
        <v>3</v>
      </c>
      <c r="AJ1167">
        <v>0</v>
      </c>
      <c r="AK1167">
        <v>1</v>
      </c>
      <c r="AL1167">
        <v>0</v>
      </c>
      <c r="AM1167">
        <v>0</v>
      </c>
      <c r="AN1167">
        <v>0</v>
      </c>
      <c r="AO1167">
        <v>0</v>
      </c>
      <c r="AP1167">
        <v>0</v>
      </c>
      <c r="AQ1167">
        <v>0</v>
      </c>
      <c r="AR1167">
        <v>0</v>
      </c>
      <c r="AS1167">
        <v>0</v>
      </c>
      <c r="AT1167">
        <f t="shared" si="56"/>
        <v>8.2706999999999979</v>
      </c>
      <c r="AU1167">
        <f t="shared" si="54"/>
        <v>5.47</v>
      </c>
      <c r="AV1167">
        <f t="shared" si="55"/>
        <v>758.226</v>
      </c>
      <c r="AY1167">
        <v>1113</v>
      </c>
      <c r="AZ1167">
        <v>12.59</v>
      </c>
      <c r="BC1167" t="s">
        <v>194</v>
      </c>
    </row>
    <row r="1168" spans="3:55" x14ac:dyDescent="0.45">
      <c r="C1168">
        <v>82.67</v>
      </c>
      <c r="D1168">
        <v>5.47</v>
      </c>
      <c r="E1168">
        <v>4.8099999999999996</v>
      </c>
      <c r="F1168">
        <v>1.03</v>
      </c>
      <c r="G1168">
        <v>0</v>
      </c>
      <c r="H1168">
        <v>1.5</v>
      </c>
      <c r="I1168">
        <v>0</v>
      </c>
      <c r="J1168">
        <v>0</v>
      </c>
      <c r="K1168">
        <v>0</v>
      </c>
      <c r="L1168">
        <v>4.5199999999999996</v>
      </c>
      <c r="M1168">
        <v>0</v>
      </c>
      <c r="N1168">
        <v>0</v>
      </c>
      <c r="O1168">
        <v>0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1</v>
      </c>
      <c r="W1168">
        <v>0</v>
      </c>
      <c r="X1168">
        <v>0</v>
      </c>
      <c r="Y1168">
        <v>0</v>
      </c>
      <c r="Z1168">
        <v>0</v>
      </c>
      <c r="AA1168">
        <v>1</v>
      </c>
      <c r="AB1168">
        <v>0</v>
      </c>
      <c r="AC1168">
        <v>730</v>
      </c>
      <c r="AD1168">
        <v>2</v>
      </c>
      <c r="AE1168">
        <v>0</v>
      </c>
      <c r="AF1168">
        <v>1</v>
      </c>
      <c r="AG1168">
        <v>0</v>
      </c>
      <c r="AH1168">
        <v>550</v>
      </c>
      <c r="AI1168">
        <v>3</v>
      </c>
      <c r="AJ1168">
        <v>0</v>
      </c>
      <c r="AK1168">
        <v>1</v>
      </c>
      <c r="AL1168">
        <v>0</v>
      </c>
      <c r="AM1168">
        <v>0</v>
      </c>
      <c r="AN1168">
        <v>0</v>
      </c>
      <c r="AO1168">
        <v>0</v>
      </c>
      <c r="AP1168">
        <v>0</v>
      </c>
      <c r="AQ1168">
        <v>0</v>
      </c>
      <c r="AR1168">
        <v>0</v>
      </c>
      <c r="AS1168">
        <v>0</v>
      </c>
      <c r="AT1168">
        <f t="shared" si="56"/>
        <v>8.2706999999999979</v>
      </c>
      <c r="AU1168">
        <f t="shared" si="54"/>
        <v>5.47</v>
      </c>
      <c r="AV1168">
        <f t="shared" si="55"/>
        <v>758.226</v>
      </c>
      <c r="AY1168">
        <v>1160.26</v>
      </c>
      <c r="AZ1168">
        <v>11.55</v>
      </c>
      <c r="BC1168" t="s">
        <v>194</v>
      </c>
    </row>
    <row r="1169" spans="3:55" x14ac:dyDescent="0.45">
      <c r="C1169">
        <v>82.67</v>
      </c>
      <c r="D1169">
        <v>5.47</v>
      </c>
      <c r="E1169">
        <v>4.8099999999999996</v>
      </c>
      <c r="F1169">
        <v>1.03</v>
      </c>
      <c r="G1169">
        <v>0</v>
      </c>
      <c r="H1169">
        <v>1.5</v>
      </c>
      <c r="I1169">
        <v>0</v>
      </c>
      <c r="J1169">
        <v>0</v>
      </c>
      <c r="K1169">
        <v>0</v>
      </c>
      <c r="L1169">
        <v>4.5199999999999996</v>
      </c>
      <c r="M1169">
        <v>0</v>
      </c>
      <c r="N1169">
        <v>0</v>
      </c>
      <c r="O1169">
        <v>0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1</v>
      </c>
      <c r="W1169">
        <v>0</v>
      </c>
      <c r="X1169">
        <v>0</v>
      </c>
      <c r="Y1169">
        <v>0</v>
      </c>
      <c r="Z1169">
        <v>0</v>
      </c>
      <c r="AA1169">
        <v>1</v>
      </c>
      <c r="AB1169">
        <v>0</v>
      </c>
      <c r="AC1169">
        <v>740</v>
      </c>
      <c r="AD1169">
        <v>2</v>
      </c>
      <c r="AE1169">
        <v>0</v>
      </c>
      <c r="AF1169">
        <v>1</v>
      </c>
      <c r="AG1169">
        <v>0</v>
      </c>
      <c r="AH1169">
        <v>550</v>
      </c>
      <c r="AI1169">
        <v>3</v>
      </c>
      <c r="AJ1169">
        <v>0</v>
      </c>
      <c r="AK1169">
        <v>1</v>
      </c>
      <c r="AL1169">
        <v>0</v>
      </c>
      <c r="AM1169">
        <v>0</v>
      </c>
      <c r="AN1169">
        <v>0</v>
      </c>
      <c r="AO1169">
        <v>0</v>
      </c>
      <c r="AP1169">
        <v>0</v>
      </c>
      <c r="AQ1169">
        <v>0</v>
      </c>
      <c r="AR1169">
        <v>0</v>
      </c>
      <c r="AS1169">
        <v>0</v>
      </c>
      <c r="AT1169">
        <f t="shared" si="56"/>
        <v>8.2706999999999979</v>
      </c>
      <c r="AU1169">
        <f t="shared" si="54"/>
        <v>5.47</v>
      </c>
      <c r="AV1169">
        <f t="shared" si="55"/>
        <v>758.226</v>
      </c>
      <c r="AY1169">
        <v>1200.71</v>
      </c>
      <c r="AZ1169">
        <v>10.38</v>
      </c>
      <c r="BC1169" t="s">
        <v>194</v>
      </c>
    </row>
    <row r="1170" spans="3:55" x14ac:dyDescent="0.45">
      <c r="C1170">
        <v>82.67</v>
      </c>
      <c r="D1170">
        <v>5.47</v>
      </c>
      <c r="E1170">
        <v>4.8099999999999996</v>
      </c>
      <c r="F1170">
        <v>1.03</v>
      </c>
      <c r="G1170">
        <v>0</v>
      </c>
      <c r="H1170">
        <v>1.5</v>
      </c>
      <c r="I1170">
        <v>0</v>
      </c>
      <c r="J1170">
        <v>0</v>
      </c>
      <c r="K1170">
        <v>0</v>
      </c>
      <c r="L1170">
        <v>4.5199999999999996</v>
      </c>
      <c r="M1170">
        <v>0</v>
      </c>
      <c r="N1170">
        <v>0</v>
      </c>
      <c r="O1170">
        <v>0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1</v>
      </c>
      <c r="W1170">
        <v>0</v>
      </c>
      <c r="X1170">
        <v>0</v>
      </c>
      <c r="Y1170">
        <v>0</v>
      </c>
      <c r="Z1170">
        <v>0</v>
      </c>
      <c r="AA1170">
        <v>1</v>
      </c>
      <c r="AB1170">
        <v>0</v>
      </c>
      <c r="AC1170">
        <v>750</v>
      </c>
      <c r="AD1170">
        <v>2</v>
      </c>
      <c r="AE1170">
        <v>0</v>
      </c>
      <c r="AF1170">
        <v>1</v>
      </c>
      <c r="AG1170">
        <v>0</v>
      </c>
      <c r="AH1170">
        <v>550</v>
      </c>
      <c r="AI1170">
        <v>3</v>
      </c>
      <c r="AJ1170">
        <v>0</v>
      </c>
      <c r="AK1170">
        <v>1</v>
      </c>
      <c r="AL1170">
        <v>0</v>
      </c>
      <c r="AM1170">
        <v>0</v>
      </c>
      <c r="AN1170">
        <v>0</v>
      </c>
      <c r="AO1170">
        <v>0</v>
      </c>
      <c r="AP1170">
        <v>0</v>
      </c>
      <c r="AQ1170">
        <v>0</v>
      </c>
      <c r="AR1170">
        <v>0</v>
      </c>
      <c r="AS1170">
        <v>0</v>
      </c>
      <c r="AT1170">
        <f t="shared" si="56"/>
        <v>8.2706999999999979</v>
      </c>
      <c r="AU1170">
        <f t="shared" si="54"/>
        <v>5.47</v>
      </c>
      <c r="AV1170">
        <f t="shared" si="55"/>
        <v>758.226</v>
      </c>
      <c r="AY1170">
        <v>1251.8499999999999</v>
      </c>
      <c r="AZ1170">
        <v>8.42</v>
      </c>
      <c r="BC1170" t="s">
        <v>194</v>
      </c>
    </row>
    <row r="1171" spans="3:55" x14ac:dyDescent="0.45">
      <c r="C1171">
        <v>82.67</v>
      </c>
      <c r="D1171">
        <v>5.47</v>
      </c>
      <c r="E1171">
        <v>4.8099999999999996</v>
      </c>
      <c r="F1171">
        <v>1.03</v>
      </c>
      <c r="G1171">
        <v>0</v>
      </c>
      <c r="H1171">
        <v>1.5</v>
      </c>
      <c r="I1171">
        <v>0</v>
      </c>
      <c r="J1171">
        <v>0</v>
      </c>
      <c r="K1171">
        <v>0</v>
      </c>
      <c r="L1171">
        <v>4.5199999999999996</v>
      </c>
      <c r="M1171">
        <v>0</v>
      </c>
      <c r="N1171">
        <v>0</v>
      </c>
      <c r="O1171">
        <v>0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1</v>
      </c>
      <c r="W1171">
        <v>0</v>
      </c>
      <c r="X1171">
        <v>0</v>
      </c>
      <c r="Y1171">
        <v>0</v>
      </c>
      <c r="Z1171">
        <v>0</v>
      </c>
      <c r="AA1171">
        <v>1</v>
      </c>
      <c r="AB1171">
        <v>0</v>
      </c>
      <c r="AC1171">
        <v>760</v>
      </c>
      <c r="AD1171">
        <v>2</v>
      </c>
      <c r="AE1171">
        <v>0</v>
      </c>
      <c r="AF1171">
        <v>1</v>
      </c>
      <c r="AG1171">
        <v>0</v>
      </c>
      <c r="AH1171">
        <v>550</v>
      </c>
      <c r="AI1171">
        <v>3</v>
      </c>
      <c r="AJ1171">
        <v>0</v>
      </c>
      <c r="AK1171">
        <v>1</v>
      </c>
      <c r="AL1171">
        <v>0</v>
      </c>
      <c r="AM1171">
        <v>0</v>
      </c>
      <c r="AN1171">
        <v>0</v>
      </c>
      <c r="AO1171">
        <v>0</v>
      </c>
      <c r="AP1171">
        <v>0</v>
      </c>
      <c r="AQ1171">
        <v>0</v>
      </c>
      <c r="AR1171">
        <v>0</v>
      </c>
      <c r="AS1171">
        <v>0</v>
      </c>
      <c r="AT1171">
        <f t="shared" si="56"/>
        <v>8.2706999999999979</v>
      </c>
      <c r="AU1171">
        <f t="shared" si="54"/>
        <v>5.47</v>
      </c>
      <c r="AV1171">
        <f t="shared" si="55"/>
        <v>758.226</v>
      </c>
      <c r="AY1171">
        <v>1253.9000000000001</v>
      </c>
      <c r="AZ1171">
        <v>5.91</v>
      </c>
      <c r="BC1171" t="s">
        <v>194</v>
      </c>
    </row>
    <row r="1172" spans="3:55" x14ac:dyDescent="0.45">
      <c r="C1172">
        <v>82.67</v>
      </c>
      <c r="D1172">
        <v>5.47</v>
      </c>
      <c r="E1172">
        <v>4.8099999999999996</v>
      </c>
      <c r="F1172">
        <v>1.03</v>
      </c>
      <c r="G1172">
        <v>0</v>
      </c>
      <c r="H1172">
        <v>1.5</v>
      </c>
      <c r="I1172">
        <v>0</v>
      </c>
      <c r="J1172">
        <v>0</v>
      </c>
      <c r="K1172">
        <v>0</v>
      </c>
      <c r="L1172">
        <v>4.5199999999999996</v>
      </c>
      <c r="M1172">
        <v>0</v>
      </c>
      <c r="N1172">
        <v>0</v>
      </c>
      <c r="O1172">
        <v>0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1</v>
      </c>
      <c r="W1172">
        <v>0</v>
      </c>
      <c r="X1172">
        <v>0</v>
      </c>
      <c r="Y1172">
        <v>0</v>
      </c>
      <c r="Z1172">
        <v>0</v>
      </c>
      <c r="AA1172">
        <v>1</v>
      </c>
      <c r="AB1172">
        <v>0</v>
      </c>
      <c r="AC1172">
        <v>770</v>
      </c>
      <c r="AD1172">
        <v>2</v>
      </c>
      <c r="AE1172">
        <v>0</v>
      </c>
      <c r="AF1172">
        <v>1</v>
      </c>
      <c r="AG1172">
        <v>0</v>
      </c>
      <c r="AH1172">
        <v>550</v>
      </c>
      <c r="AI1172">
        <v>3</v>
      </c>
      <c r="AJ1172">
        <v>0</v>
      </c>
      <c r="AK1172">
        <v>1</v>
      </c>
      <c r="AL1172">
        <v>0</v>
      </c>
      <c r="AM1172">
        <v>0</v>
      </c>
      <c r="AN1172">
        <v>0</v>
      </c>
      <c r="AO1172">
        <v>0</v>
      </c>
      <c r="AP1172">
        <v>0</v>
      </c>
      <c r="AQ1172">
        <v>0</v>
      </c>
      <c r="AR1172">
        <v>0</v>
      </c>
      <c r="AS1172">
        <v>0</v>
      </c>
      <c r="AT1172">
        <f t="shared" si="56"/>
        <v>8.2706999999999979</v>
      </c>
      <c r="AU1172">
        <f t="shared" si="54"/>
        <v>5.47</v>
      </c>
      <c r="AV1172">
        <f t="shared" si="55"/>
        <v>758.226</v>
      </c>
      <c r="AY1172">
        <v>1284.99</v>
      </c>
      <c r="AZ1172">
        <v>5.1100000000000003</v>
      </c>
      <c r="BC1172" t="s">
        <v>194</v>
      </c>
    </row>
    <row r="1173" spans="3:55" x14ac:dyDescent="0.45">
      <c r="C1173">
        <v>82.67</v>
      </c>
      <c r="D1173">
        <v>5.47</v>
      </c>
      <c r="E1173">
        <v>4.8099999999999996</v>
      </c>
      <c r="F1173">
        <v>1.03</v>
      </c>
      <c r="G1173">
        <v>0</v>
      </c>
      <c r="H1173">
        <v>1.5</v>
      </c>
      <c r="I1173">
        <v>0</v>
      </c>
      <c r="J1173">
        <v>0</v>
      </c>
      <c r="K1173">
        <v>0</v>
      </c>
      <c r="L1173">
        <v>4.5199999999999996</v>
      </c>
      <c r="M1173">
        <v>0</v>
      </c>
      <c r="N1173">
        <v>0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1</v>
      </c>
      <c r="W1173">
        <v>0</v>
      </c>
      <c r="X1173">
        <v>0</v>
      </c>
      <c r="Y1173">
        <v>0</v>
      </c>
      <c r="Z1173">
        <v>0</v>
      </c>
      <c r="AA1173">
        <v>1</v>
      </c>
      <c r="AB1173">
        <v>0</v>
      </c>
      <c r="AC1173">
        <v>780</v>
      </c>
      <c r="AD1173">
        <v>2</v>
      </c>
      <c r="AE1173">
        <v>0</v>
      </c>
      <c r="AF1173">
        <v>1</v>
      </c>
      <c r="AG1173">
        <v>0</v>
      </c>
      <c r="AH1173">
        <v>550</v>
      </c>
      <c r="AI1173">
        <v>3</v>
      </c>
      <c r="AJ1173">
        <v>0</v>
      </c>
      <c r="AK1173">
        <v>1</v>
      </c>
      <c r="AL1173">
        <v>0</v>
      </c>
      <c r="AM1173">
        <v>0</v>
      </c>
      <c r="AN1173">
        <v>0</v>
      </c>
      <c r="AO1173">
        <v>0</v>
      </c>
      <c r="AP1173">
        <v>0</v>
      </c>
      <c r="AQ1173">
        <v>0</v>
      </c>
      <c r="AR1173">
        <v>0</v>
      </c>
      <c r="AS1173">
        <v>0</v>
      </c>
      <c r="AT1173">
        <f t="shared" si="56"/>
        <v>8.2706999999999979</v>
      </c>
      <c r="AU1173">
        <f t="shared" si="54"/>
        <v>5.47</v>
      </c>
      <c r="AV1173">
        <f t="shared" si="55"/>
        <v>758.226</v>
      </c>
      <c r="AY1173">
        <v>1300.6099999999999</v>
      </c>
      <c r="AZ1173">
        <v>4.05</v>
      </c>
      <c r="BC1173" t="s">
        <v>194</v>
      </c>
    </row>
    <row r="1174" spans="3:55" x14ac:dyDescent="0.45">
      <c r="C1174">
        <v>82.67</v>
      </c>
      <c r="D1174">
        <v>5.47</v>
      </c>
      <c r="E1174">
        <v>4.8099999999999996</v>
      </c>
      <c r="F1174">
        <v>1.03</v>
      </c>
      <c r="G1174">
        <v>0</v>
      </c>
      <c r="H1174">
        <v>1.5</v>
      </c>
      <c r="I1174">
        <v>0</v>
      </c>
      <c r="J1174">
        <v>0</v>
      </c>
      <c r="K1174">
        <v>0</v>
      </c>
      <c r="L1174">
        <v>4.5199999999999996</v>
      </c>
      <c r="M1174">
        <v>0</v>
      </c>
      <c r="N1174">
        <v>0</v>
      </c>
      <c r="O1174">
        <v>0</v>
      </c>
      <c r="P1174">
        <v>0</v>
      </c>
      <c r="Q1174">
        <v>0</v>
      </c>
      <c r="R1174">
        <v>0</v>
      </c>
      <c r="S1174">
        <v>0</v>
      </c>
      <c r="T1174">
        <v>0</v>
      </c>
      <c r="U1174">
        <v>0</v>
      </c>
      <c r="V1174">
        <v>1</v>
      </c>
      <c r="W1174">
        <v>0</v>
      </c>
      <c r="X1174">
        <v>0</v>
      </c>
      <c r="Y1174">
        <v>0</v>
      </c>
      <c r="Z1174">
        <v>0</v>
      </c>
      <c r="AA1174">
        <v>1</v>
      </c>
      <c r="AB1174">
        <v>0</v>
      </c>
      <c r="AC1174">
        <v>790</v>
      </c>
      <c r="AD1174">
        <v>2</v>
      </c>
      <c r="AE1174">
        <v>0</v>
      </c>
      <c r="AF1174">
        <v>1</v>
      </c>
      <c r="AG1174">
        <v>0</v>
      </c>
      <c r="AH1174">
        <v>550</v>
      </c>
      <c r="AI1174">
        <v>3</v>
      </c>
      <c r="AJ1174">
        <v>0</v>
      </c>
      <c r="AK1174">
        <v>1</v>
      </c>
      <c r="AL1174">
        <v>0</v>
      </c>
      <c r="AM1174">
        <v>0</v>
      </c>
      <c r="AN1174">
        <v>0</v>
      </c>
      <c r="AO1174">
        <v>0</v>
      </c>
      <c r="AP1174">
        <v>0</v>
      </c>
      <c r="AQ1174">
        <v>0</v>
      </c>
      <c r="AR1174">
        <v>0</v>
      </c>
      <c r="AS1174">
        <v>0</v>
      </c>
      <c r="AT1174">
        <f t="shared" si="56"/>
        <v>8.2706999999999979</v>
      </c>
      <c r="AU1174">
        <f t="shared" si="54"/>
        <v>5.47</v>
      </c>
      <c r="AV1174">
        <f t="shared" si="55"/>
        <v>758.226</v>
      </c>
      <c r="AY1174">
        <v>1336.48</v>
      </c>
      <c r="AZ1174">
        <v>3.76</v>
      </c>
      <c r="BB1174" t="s">
        <v>353</v>
      </c>
      <c r="BC1174" t="s">
        <v>194</v>
      </c>
    </row>
    <row r="1175" spans="3:55" x14ac:dyDescent="0.45">
      <c r="C1175">
        <v>82.67</v>
      </c>
      <c r="D1175">
        <v>5.47</v>
      </c>
      <c r="E1175">
        <v>4.8099999999999996</v>
      </c>
      <c r="F1175">
        <v>1.03</v>
      </c>
      <c r="G1175">
        <v>0</v>
      </c>
      <c r="H1175">
        <v>1.5</v>
      </c>
      <c r="I1175">
        <v>0</v>
      </c>
      <c r="J1175">
        <v>0</v>
      </c>
      <c r="K1175">
        <v>0</v>
      </c>
      <c r="L1175">
        <v>4.5199999999999996</v>
      </c>
      <c r="M1175">
        <v>0</v>
      </c>
      <c r="N1175">
        <v>0</v>
      </c>
      <c r="O1175">
        <v>0</v>
      </c>
      <c r="P1175">
        <v>0</v>
      </c>
      <c r="Q1175">
        <v>0</v>
      </c>
      <c r="R1175">
        <v>0</v>
      </c>
      <c r="S1175">
        <v>0</v>
      </c>
      <c r="T1175">
        <v>0</v>
      </c>
      <c r="U1175">
        <v>0</v>
      </c>
      <c r="V1175">
        <v>1</v>
      </c>
      <c r="W1175">
        <v>0</v>
      </c>
      <c r="X1175">
        <v>0</v>
      </c>
      <c r="Y1175">
        <v>0</v>
      </c>
      <c r="Z1175">
        <v>0</v>
      </c>
      <c r="AA1175">
        <v>1</v>
      </c>
      <c r="AB1175">
        <v>0</v>
      </c>
      <c r="AC1175">
        <v>800</v>
      </c>
      <c r="AD1175">
        <v>2</v>
      </c>
      <c r="AE1175">
        <v>0</v>
      </c>
      <c r="AF1175">
        <v>1</v>
      </c>
      <c r="AG1175">
        <v>0</v>
      </c>
      <c r="AH1175">
        <v>550</v>
      </c>
      <c r="AI1175">
        <v>3</v>
      </c>
      <c r="AJ1175">
        <v>0</v>
      </c>
      <c r="AK1175">
        <v>1</v>
      </c>
      <c r="AL1175">
        <v>0</v>
      </c>
      <c r="AM1175">
        <v>0</v>
      </c>
      <c r="AN1175">
        <v>0</v>
      </c>
      <c r="AO1175">
        <v>0</v>
      </c>
      <c r="AP1175">
        <v>0</v>
      </c>
      <c r="AQ1175">
        <v>0</v>
      </c>
      <c r="AR1175">
        <v>0</v>
      </c>
      <c r="AS1175">
        <v>0</v>
      </c>
      <c r="AT1175">
        <f t="shared" si="56"/>
        <v>8.2706999999999979</v>
      </c>
      <c r="AU1175">
        <f t="shared" si="54"/>
        <v>5.47</v>
      </c>
      <c r="AV1175">
        <f t="shared" si="55"/>
        <v>758.226</v>
      </c>
      <c r="AY1175">
        <v>1377.68</v>
      </c>
      <c r="AZ1175">
        <v>3.7</v>
      </c>
      <c r="BB1175" t="s">
        <v>353</v>
      </c>
      <c r="BC1175" t="s">
        <v>194</v>
      </c>
    </row>
    <row r="1176" spans="3:55" x14ac:dyDescent="0.45">
      <c r="C1176">
        <v>82.67</v>
      </c>
      <c r="D1176">
        <v>5.47</v>
      </c>
      <c r="E1176">
        <v>4.8099999999999996</v>
      </c>
      <c r="F1176">
        <v>1.03</v>
      </c>
      <c r="G1176">
        <v>0</v>
      </c>
      <c r="H1176">
        <v>1.5</v>
      </c>
      <c r="I1176">
        <v>0</v>
      </c>
      <c r="J1176">
        <v>0</v>
      </c>
      <c r="K1176">
        <v>0</v>
      </c>
      <c r="L1176">
        <v>4.5199999999999996</v>
      </c>
      <c r="M1176">
        <v>0</v>
      </c>
      <c r="N1176">
        <v>0</v>
      </c>
      <c r="O1176">
        <v>0</v>
      </c>
      <c r="P1176">
        <v>0</v>
      </c>
      <c r="Q1176">
        <v>0</v>
      </c>
      <c r="R1176">
        <v>0</v>
      </c>
      <c r="S1176">
        <v>0</v>
      </c>
      <c r="T1176">
        <v>0</v>
      </c>
      <c r="U1176">
        <v>0</v>
      </c>
      <c r="V1176">
        <v>1</v>
      </c>
      <c r="W1176">
        <v>0</v>
      </c>
      <c r="X1176">
        <v>0</v>
      </c>
      <c r="Y1176">
        <v>0</v>
      </c>
      <c r="Z1176">
        <v>0</v>
      </c>
      <c r="AA1176">
        <v>1</v>
      </c>
      <c r="AB1176">
        <v>0</v>
      </c>
      <c r="AC1176">
        <v>810</v>
      </c>
      <c r="AD1176">
        <v>2</v>
      </c>
      <c r="AE1176">
        <v>0</v>
      </c>
      <c r="AF1176">
        <v>1</v>
      </c>
      <c r="AG1176">
        <v>0</v>
      </c>
      <c r="AH1176">
        <v>550</v>
      </c>
      <c r="AI1176">
        <v>3</v>
      </c>
      <c r="AJ1176">
        <v>0</v>
      </c>
      <c r="AK1176">
        <v>1</v>
      </c>
      <c r="AL1176">
        <v>0</v>
      </c>
      <c r="AM1176">
        <v>0</v>
      </c>
      <c r="AN1176">
        <v>0</v>
      </c>
      <c r="AO1176">
        <v>0</v>
      </c>
      <c r="AP1176">
        <v>0</v>
      </c>
      <c r="AQ1176">
        <v>0</v>
      </c>
      <c r="AR1176">
        <v>0</v>
      </c>
      <c r="AS1176">
        <v>0</v>
      </c>
      <c r="AT1176">
        <f t="shared" si="56"/>
        <v>8.2706999999999979</v>
      </c>
      <c r="AU1176">
        <f t="shared" si="54"/>
        <v>5.47</v>
      </c>
      <c r="AV1176">
        <f t="shared" si="55"/>
        <v>758.226</v>
      </c>
      <c r="AY1176">
        <v>1354.34</v>
      </c>
      <c r="AZ1176">
        <v>3.61</v>
      </c>
      <c r="BB1176" t="s">
        <v>353</v>
      </c>
      <c r="BC1176" t="s">
        <v>194</v>
      </c>
    </row>
    <row r="1177" spans="3:55" x14ac:dyDescent="0.45">
      <c r="C1177">
        <v>82.67</v>
      </c>
      <c r="D1177">
        <v>5.47</v>
      </c>
      <c r="E1177">
        <v>4.8099999999999996</v>
      </c>
      <c r="F1177">
        <v>1.03</v>
      </c>
      <c r="G1177">
        <v>0</v>
      </c>
      <c r="H1177">
        <v>1.5</v>
      </c>
      <c r="I1177">
        <v>0</v>
      </c>
      <c r="J1177">
        <v>0</v>
      </c>
      <c r="K1177">
        <v>0</v>
      </c>
      <c r="L1177">
        <v>4.5199999999999996</v>
      </c>
      <c r="M1177">
        <v>0</v>
      </c>
      <c r="N1177">
        <v>0</v>
      </c>
      <c r="O1177">
        <v>0</v>
      </c>
      <c r="P1177">
        <v>0</v>
      </c>
      <c r="Q1177">
        <v>0</v>
      </c>
      <c r="R1177">
        <v>0</v>
      </c>
      <c r="S1177">
        <v>0</v>
      </c>
      <c r="T1177">
        <v>0</v>
      </c>
      <c r="U1177">
        <v>0</v>
      </c>
      <c r="V1177">
        <v>1</v>
      </c>
      <c r="W1177">
        <v>0</v>
      </c>
      <c r="X1177">
        <v>0</v>
      </c>
      <c r="Y1177">
        <v>0</v>
      </c>
      <c r="Z1177">
        <v>0</v>
      </c>
      <c r="AA1177">
        <v>1</v>
      </c>
      <c r="AB1177">
        <v>0</v>
      </c>
      <c r="AC1177">
        <v>820</v>
      </c>
      <c r="AD1177">
        <v>2</v>
      </c>
      <c r="AE1177">
        <v>0</v>
      </c>
      <c r="AF1177">
        <v>1</v>
      </c>
      <c r="AG1177">
        <v>0</v>
      </c>
      <c r="AH1177">
        <v>550</v>
      </c>
      <c r="AI1177">
        <v>3</v>
      </c>
      <c r="AJ1177">
        <v>0</v>
      </c>
      <c r="AK1177">
        <v>1</v>
      </c>
      <c r="AL1177">
        <v>0</v>
      </c>
      <c r="AM1177">
        <v>0</v>
      </c>
      <c r="AN1177">
        <v>0</v>
      </c>
      <c r="AO1177">
        <v>0</v>
      </c>
      <c r="AP1177">
        <v>0</v>
      </c>
      <c r="AQ1177">
        <v>0</v>
      </c>
      <c r="AR1177">
        <v>0</v>
      </c>
      <c r="AS1177">
        <v>0</v>
      </c>
      <c r="AT1177">
        <f t="shared" si="56"/>
        <v>8.2706999999999979</v>
      </c>
      <c r="AU1177">
        <f t="shared" si="54"/>
        <v>5.47</v>
      </c>
      <c r="AV1177">
        <f t="shared" si="55"/>
        <v>758.226</v>
      </c>
      <c r="AY1177">
        <v>1361.94</v>
      </c>
      <c r="AZ1177">
        <v>3.52</v>
      </c>
      <c r="BB1177" t="s">
        <v>353</v>
      </c>
      <c r="BC1177" t="s">
        <v>194</v>
      </c>
    </row>
    <row r="1178" spans="3:55" x14ac:dyDescent="0.45">
      <c r="C1178">
        <v>82.67</v>
      </c>
      <c r="D1178">
        <v>5.47</v>
      </c>
      <c r="E1178">
        <v>4.8099999999999996</v>
      </c>
      <c r="F1178">
        <v>1.03</v>
      </c>
      <c r="G1178">
        <v>0</v>
      </c>
      <c r="H1178">
        <v>1.5</v>
      </c>
      <c r="I1178">
        <v>0</v>
      </c>
      <c r="J1178">
        <v>0</v>
      </c>
      <c r="K1178">
        <v>0</v>
      </c>
      <c r="L1178">
        <v>4.5199999999999996</v>
      </c>
      <c r="M1178">
        <v>0</v>
      </c>
      <c r="N1178">
        <v>0</v>
      </c>
      <c r="O1178">
        <v>0</v>
      </c>
      <c r="P1178">
        <v>0</v>
      </c>
      <c r="Q1178">
        <v>0</v>
      </c>
      <c r="R1178">
        <v>0</v>
      </c>
      <c r="S1178">
        <v>0</v>
      </c>
      <c r="T1178">
        <v>0</v>
      </c>
      <c r="U1178">
        <v>0</v>
      </c>
      <c r="V1178">
        <v>1</v>
      </c>
      <c r="W1178">
        <v>0</v>
      </c>
      <c r="X1178">
        <v>0</v>
      </c>
      <c r="Y1178">
        <v>0</v>
      </c>
      <c r="Z1178">
        <v>0</v>
      </c>
      <c r="AA1178">
        <v>1</v>
      </c>
      <c r="AB1178">
        <v>0</v>
      </c>
      <c r="AC1178">
        <v>830</v>
      </c>
      <c r="AD1178">
        <v>2</v>
      </c>
      <c r="AE1178">
        <v>0</v>
      </c>
      <c r="AF1178">
        <v>1</v>
      </c>
      <c r="AG1178">
        <v>0</v>
      </c>
      <c r="AH1178">
        <v>550</v>
      </c>
      <c r="AI1178">
        <v>3</v>
      </c>
      <c r="AJ1178">
        <v>0</v>
      </c>
      <c r="AK1178">
        <v>1</v>
      </c>
      <c r="AL1178">
        <v>0</v>
      </c>
      <c r="AM1178">
        <v>0</v>
      </c>
      <c r="AN1178">
        <v>0</v>
      </c>
      <c r="AO1178">
        <v>0</v>
      </c>
      <c r="AP1178">
        <v>0</v>
      </c>
      <c r="AQ1178">
        <v>0</v>
      </c>
      <c r="AR1178">
        <v>0</v>
      </c>
      <c r="AS1178">
        <v>0</v>
      </c>
      <c r="AT1178">
        <f t="shared" si="56"/>
        <v>8.2706999999999979</v>
      </c>
      <c r="AU1178">
        <f t="shared" si="54"/>
        <v>5.47</v>
      </c>
      <c r="AV1178">
        <f t="shared" si="55"/>
        <v>758.226</v>
      </c>
      <c r="AY1178">
        <v>1370.3</v>
      </c>
      <c r="AZ1178">
        <v>3.44</v>
      </c>
      <c r="BB1178" t="s">
        <v>353</v>
      </c>
      <c r="BC1178" t="s">
        <v>194</v>
      </c>
    </row>
    <row r="1179" spans="3:55" x14ac:dyDescent="0.45">
      <c r="C1179">
        <v>82.67</v>
      </c>
      <c r="D1179">
        <v>5.47</v>
      </c>
      <c r="E1179">
        <v>4.8099999999999996</v>
      </c>
      <c r="F1179">
        <v>1.03</v>
      </c>
      <c r="G1179">
        <v>0</v>
      </c>
      <c r="H1179">
        <v>1.5</v>
      </c>
      <c r="I1179">
        <v>0</v>
      </c>
      <c r="J1179">
        <v>0</v>
      </c>
      <c r="K1179">
        <v>0</v>
      </c>
      <c r="L1179">
        <v>4.5199999999999996</v>
      </c>
      <c r="M1179">
        <v>0</v>
      </c>
      <c r="N1179">
        <v>0</v>
      </c>
      <c r="O1179">
        <v>0</v>
      </c>
      <c r="P1179">
        <v>0</v>
      </c>
      <c r="Q1179">
        <v>0</v>
      </c>
      <c r="R1179">
        <v>0</v>
      </c>
      <c r="S1179">
        <v>0</v>
      </c>
      <c r="T1179">
        <v>0</v>
      </c>
      <c r="U1179">
        <v>0</v>
      </c>
      <c r="V1179">
        <v>1</v>
      </c>
      <c r="W1179">
        <v>0</v>
      </c>
      <c r="X1179">
        <v>0</v>
      </c>
      <c r="Y1179">
        <v>0</v>
      </c>
      <c r="Z1179">
        <v>0</v>
      </c>
      <c r="AA1179">
        <v>1</v>
      </c>
      <c r="AB1179">
        <v>0</v>
      </c>
      <c r="AC1179">
        <v>840</v>
      </c>
      <c r="AD1179">
        <v>2</v>
      </c>
      <c r="AE1179">
        <v>0</v>
      </c>
      <c r="AF1179">
        <v>1</v>
      </c>
      <c r="AG1179">
        <v>0</v>
      </c>
      <c r="AH1179">
        <v>550</v>
      </c>
      <c r="AI1179">
        <v>3</v>
      </c>
      <c r="AJ1179">
        <v>0</v>
      </c>
      <c r="AK1179">
        <v>1</v>
      </c>
      <c r="AL1179">
        <v>0</v>
      </c>
      <c r="AM1179">
        <v>0</v>
      </c>
      <c r="AN1179">
        <v>0</v>
      </c>
      <c r="AO1179">
        <v>0</v>
      </c>
      <c r="AP1179">
        <v>0</v>
      </c>
      <c r="AQ1179">
        <v>0</v>
      </c>
      <c r="AR1179">
        <v>0</v>
      </c>
      <c r="AS1179">
        <v>0</v>
      </c>
      <c r="AT1179">
        <f t="shared" si="56"/>
        <v>8.2706999999999979</v>
      </c>
      <c r="AU1179">
        <f t="shared" si="54"/>
        <v>5.47</v>
      </c>
      <c r="AV1179">
        <f t="shared" si="55"/>
        <v>758.226</v>
      </c>
      <c r="AY1179">
        <v>1390.12</v>
      </c>
      <c r="AZ1179">
        <v>3.4</v>
      </c>
      <c r="BB1179" t="s">
        <v>353</v>
      </c>
      <c r="BC1179" t="s">
        <v>194</v>
      </c>
    </row>
    <row r="1180" spans="3:55" x14ac:dyDescent="0.45">
      <c r="C1180">
        <v>82.67</v>
      </c>
      <c r="D1180">
        <v>5.47</v>
      </c>
      <c r="E1180">
        <v>4.8099999999999996</v>
      </c>
      <c r="F1180">
        <v>1.03</v>
      </c>
      <c r="G1180">
        <v>0</v>
      </c>
      <c r="H1180">
        <v>1.5</v>
      </c>
      <c r="I1180">
        <v>0</v>
      </c>
      <c r="J1180">
        <v>0</v>
      </c>
      <c r="K1180">
        <v>0</v>
      </c>
      <c r="L1180">
        <v>4.5199999999999996</v>
      </c>
      <c r="M1180">
        <v>0</v>
      </c>
      <c r="N1180">
        <v>0</v>
      </c>
      <c r="O1180">
        <v>0</v>
      </c>
      <c r="P1180">
        <v>0</v>
      </c>
      <c r="Q1180">
        <v>0</v>
      </c>
      <c r="R1180">
        <v>0</v>
      </c>
      <c r="S1180">
        <v>0</v>
      </c>
      <c r="T1180">
        <v>0</v>
      </c>
      <c r="U1180">
        <v>0</v>
      </c>
      <c r="V1180">
        <v>1</v>
      </c>
      <c r="W1180">
        <v>0</v>
      </c>
      <c r="X1180">
        <v>0</v>
      </c>
      <c r="Y1180">
        <v>0</v>
      </c>
      <c r="Z1180">
        <v>0</v>
      </c>
      <c r="AA1180">
        <v>1</v>
      </c>
      <c r="AB1180">
        <v>0</v>
      </c>
      <c r="AC1180">
        <v>850</v>
      </c>
      <c r="AD1180">
        <v>2</v>
      </c>
      <c r="AE1180">
        <v>0</v>
      </c>
      <c r="AF1180">
        <v>1</v>
      </c>
      <c r="AG1180">
        <v>0</v>
      </c>
      <c r="AH1180">
        <v>550</v>
      </c>
      <c r="AI1180">
        <v>3</v>
      </c>
      <c r="AJ1180">
        <v>0</v>
      </c>
      <c r="AK1180">
        <v>1</v>
      </c>
      <c r="AL1180">
        <v>0</v>
      </c>
      <c r="AM1180">
        <v>0</v>
      </c>
      <c r="AN1180">
        <v>0</v>
      </c>
      <c r="AO1180">
        <v>0</v>
      </c>
      <c r="AP1180">
        <v>0</v>
      </c>
      <c r="AQ1180">
        <v>0</v>
      </c>
      <c r="AR1180">
        <v>0</v>
      </c>
      <c r="AS1180">
        <v>0</v>
      </c>
      <c r="AT1180">
        <f t="shared" si="56"/>
        <v>8.2706999999999979</v>
      </c>
      <c r="AU1180">
        <f t="shared" si="54"/>
        <v>5.47</v>
      </c>
      <c r="AV1180">
        <f t="shared" si="55"/>
        <v>758.226</v>
      </c>
      <c r="AY1180">
        <v>1409.56</v>
      </c>
      <c r="AZ1180">
        <v>3.39</v>
      </c>
      <c r="BB1180" t="s">
        <v>353</v>
      </c>
      <c r="BC1180" t="s">
        <v>194</v>
      </c>
    </row>
    <row r="1181" spans="3:55" x14ac:dyDescent="0.45">
      <c r="C1181">
        <v>82.67</v>
      </c>
      <c r="D1181">
        <v>5.47</v>
      </c>
      <c r="E1181">
        <v>4.8099999999999996</v>
      </c>
      <c r="F1181">
        <v>1.03</v>
      </c>
      <c r="G1181">
        <v>0</v>
      </c>
      <c r="H1181">
        <v>1.5</v>
      </c>
      <c r="I1181">
        <v>0</v>
      </c>
      <c r="J1181">
        <v>0</v>
      </c>
      <c r="K1181">
        <v>0</v>
      </c>
      <c r="L1181">
        <v>4.5199999999999996</v>
      </c>
      <c r="M1181">
        <v>0</v>
      </c>
      <c r="N1181">
        <v>0</v>
      </c>
      <c r="O1181">
        <v>0</v>
      </c>
      <c r="P1181">
        <v>0</v>
      </c>
      <c r="Q1181">
        <v>0</v>
      </c>
      <c r="R1181">
        <v>0</v>
      </c>
      <c r="S1181">
        <v>0</v>
      </c>
      <c r="T1181">
        <v>0</v>
      </c>
      <c r="U1181">
        <v>0</v>
      </c>
      <c r="V1181">
        <v>1</v>
      </c>
      <c r="W1181">
        <v>0</v>
      </c>
      <c r="X1181">
        <v>0</v>
      </c>
      <c r="Y1181">
        <v>0</v>
      </c>
      <c r="Z1181">
        <v>0</v>
      </c>
      <c r="AA1181">
        <v>1</v>
      </c>
      <c r="AB1181">
        <v>0</v>
      </c>
      <c r="AC1181">
        <v>860</v>
      </c>
      <c r="AD1181">
        <v>2</v>
      </c>
      <c r="AE1181">
        <v>0</v>
      </c>
      <c r="AF1181">
        <v>1</v>
      </c>
      <c r="AG1181">
        <v>0</v>
      </c>
      <c r="AH1181">
        <v>550</v>
      </c>
      <c r="AI1181">
        <v>3</v>
      </c>
      <c r="AJ1181">
        <v>0</v>
      </c>
      <c r="AK1181">
        <v>1</v>
      </c>
      <c r="AL1181">
        <v>0</v>
      </c>
      <c r="AM1181">
        <v>0</v>
      </c>
      <c r="AN1181">
        <v>0</v>
      </c>
      <c r="AO1181">
        <v>0</v>
      </c>
      <c r="AP1181">
        <v>0</v>
      </c>
      <c r="AQ1181">
        <v>0</v>
      </c>
      <c r="AR1181">
        <v>0</v>
      </c>
      <c r="AS1181">
        <v>0</v>
      </c>
      <c r="AT1181">
        <f t="shared" si="56"/>
        <v>8.2706999999999979</v>
      </c>
      <c r="AU1181">
        <f t="shared" si="54"/>
        <v>5.47</v>
      </c>
      <c r="AV1181">
        <f t="shared" si="55"/>
        <v>758.226</v>
      </c>
      <c r="AY1181">
        <v>1423.7</v>
      </c>
      <c r="AZ1181">
        <v>3.33</v>
      </c>
      <c r="BB1181" t="s">
        <v>353</v>
      </c>
      <c r="BC1181" t="s">
        <v>194</v>
      </c>
    </row>
    <row r="1182" spans="3:55" x14ac:dyDescent="0.45">
      <c r="C1182">
        <v>82.8</v>
      </c>
      <c r="D1182">
        <v>6.2</v>
      </c>
      <c r="E1182">
        <v>0</v>
      </c>
      <c r="F1182">
        <v>1.5</v>
      </c>
      <c r="G1182">
        <v>0</v>
      </c>
      <c r="H1182">
        <v>0</v>
      </c>
      <c r="I1182">
        <v>0</v>
      </c>
      <c r="J1182">
        <v>2.6</v>
      </c>
      <c r="K1182">
        <v>2.7</v>
      </c>
      <c r="L1182">
        <v>4.2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0</v>
      </c>
      <c r="U1182">
        <v>0</v>
      </c>
      <c r="V1182">
        <v>1</v>
      </c>
      <c r="W1182">
        <v>0</v>
      </c>
      <c r="X1182">
        <v>0</v>
      </c>
      <c r="Y1182">
        <v>0</v>
      </c>
      <c r="Z1182">
        <v>0</v>
      </c>
      <c r="AA1182">
        <v>1</v>
      </c>
      <c r="AB1182">
        <v>0</v>
      </c>
      <c r="AC1182">
        <v>0</v>
      </c>
      <c r="AD1182">
        <v>0</v>
      </c>
      <c r="AE1182">
        <v>0</v>
      </c>
      <c r="AF1182">
        <v>0</v>
      </c>
      <c r="AG1182">
        <v>0</v>
      </c>
      <c r="AH1182">
        <v>0</v>
      </c>
      <c r="AI1182">
        <v>0</v>
      </c>
      <c r="AJ1182">
        <v>0</v>
      </c>
      <c r="AK1182">
        <v>0</v>
      </c>
      <c r="AL1182">
        <v>0</v>
      </c>
      <c r="AM1182">
        <v>0</v>
      </c>
      <c r="AN1182">
        <v>0</v>
      </c>
      <c r="AO1182">
        <v>0</v>
      </c>
      <c r="AP1182">
        <v>0</v>
      </c>
      <c r="AQ1182">
        <v>0</v>
      </c>
      <c r="AR1182">
        <v>0</v>
      </c>
      <c r="AS1182">
        <v>0</v>
      </c>
      <c r="AT1182">
        <f t="shared" si="56"/>
        <v>1.1560000000000006</v>
      </c>
      <c r="AU1182">
        <f t="shared" si="54"/>
        <v>6.6333333333333337</v>
      </c>
      <c r="AV1182">
        <f t="shared" si="55"/>
        <v>819.03</v>
      </c>
      <c r="AX1182">
        <v>1073</v>
      </c>
      <c r="AY1182">
        <v>1097</v>
      </c>
      <c r="AZ1182">
        <v>14</v>
      </c>
      <c r="BB1182" t="s">
        <v>353</v>
      </c>
      <c r="BC1182" t="s">
        <v>196</v>
      </c>
    </row>
    <row r="1183" spans="3:55" x14ac:dyDescent="0.45">
      <c r="C1183">
        <v>82.8</v>
      </c>
      <c r="D1183">
        <v>6.2</v>
      </c>
      <c r="E1183">
        <v>0</v>
      </c>
      <c r="F1183">
        <v>1.5</v>
      </c>
      <c r="G1183">
        <v>0</v>
      </c>
      <c r="H1183">
        <v>0</v>
      </c>
      <c r="I1183">
        <v>0</v>
      </c>
      <c r="J1183">
        <v>2.6</v>
      </c>
      <c r="K1183">
        <v>2.7</v>
      </c>
      <c r="L1183">
        <v>4.2</v>
      </c>
      <c r="M1183">
        <v>0</v>
      </c>
      <c r="N1183">
        <v>0</v>
      </c>
      <c r="O1183">
        <v>0</v>
      </c>
      <c r="P1183">
        <v>0</v>
      </c>
      <c r="Q1183">
        <v>0</v>
      </c>
      <c r="R1183">
        <v>0</v>
      </c>
      <c r="S1183">
        <v>0</v>
      </c>
      <c r="T1183">
        <v>0</v>
      </c>
      <c r="U1183">
        <v>0</v>
      </c>
      <c r="V1183">
        <v>1</v>
      </c>
      <c r="W1183">
        <v>0</v>
      </c>
      <c r="X1183">
        <v>0</v>
      </c>
      <c r="Y1183">
        <v>0</v>
      </c>
      <c r="Z1183">
        <v>0</v>
      </c>
      <c r="AA1183">
        <v>1</v>
      </c>
      <c r="AB1183">
        <v>0</v>
      </c>
      <c r="AC1183">
        <v>910</v>
      </c>
      <c r="AD1183">
        <v>1</v>
      </c>
      <c r="AE1183">
        <v>0</v>
      </c>
      <c r="AF1183">
        <v>1</v>
      </c>
      <c r="AG1183">
        <v>0</v>
      </c>
      <c r="AH1183">
        <v>590</v>
      </c>
      <c r="AI1183">
        <v>4</v>
      </c>
      <c r="AJ1183">
        <v>0</v>
      </c>
      <c r="AK1183">
        <v>1</v>
      </c>
      <c r="AL1183">
        <v>0</v>
      </c>
      <c r="AM1183">
        <v>0</v>
      </c>
      <c r="AN1183">
        <v>0</v>
      </c>
      <c r="AO1183">
        <v>0</v>
      </c>
      <c r="AP1183">
        <v>0</v>
      </c>
      <c r="AQ1183">
        <v>0</v>
      </c>
      <c r="AR1183">
        <v>0</v>
      </c>
      <c r="AS1183">
        <v>0</v>
      </c>
      <c r="AT1183">
        <f t="shared" si="56"/>
        <v>1.1560000000000006</v>
      </c>
      <c r="AU1183">
        <f t="shared" si="54"/>
        <v>6.6333333333333337</v>
      </c>
      <c r="AV1183">
        <f t="shared" si="55"/>
        <v>819.03</v>
      </c>
      <c r="AX1183">
        <v>1258</v>
      </c>
      <c r="AY1183">
        <v>1331</v>
      </c>
      <c r="AZ1183">
        <v>9.8000000000000007</v>
      </c>
      <c r="BB1183" t="s">
        <v>353</v>
      </c>
      <c r="BC1183" t="s">
        <v>196</v>
      </c>
    </row>
    <row r="1184" spans="3:55" x14ac:dyDescent="0.45">
      <c r="C1184">
        <v>82.8</v>
      </c>
      <c r="D1184">
        <v>6.2</v>
      </c>
      <c r="E1184">
        <v>0</v>
      </c>
      <c r="F1184">
        <v>1.5</v>
      </c>
      <c r="G1184">
        <v>0</v>
      </c>
      <c r="H1184">
        <v>0</v>
      </c>
      <c r="I1184">
        <v>0</v>
      </c>
      <c r="J1184">
        <v>2.6</v>
      </c>
      <c r="K1184">
        <v>2.7</v>
      </c>
      <c r="L1184">
        <v>4.2</v>
      </c>
      <c r="M1184">
        <v>0</v>
      </c>
      <c r="N1184">
        <v>0</v>
      </c>
      <c r="O1184">
        <v>0</v>
      </c>
      <c r="P1184">
        <v>0</v>
      </c>
      <c r="Q1184">
        <v>0</v>
      </c>
      <c r="R1184">
        <v>0</v>
      </c>
      <c r="S1184">
        <v>0</v>
      </c>
      <c r="T1184">
        <v>0</v>
      </c>
      <c r="U1184">
        <v>0</v>
      </c>
      <c r="V1184">
        <v>1</v>
      </c>
      <c r="W1184">
        <v>0</v>
      </c>
      <c r="X1184">
        <v>0</v>
      </c>
      <c r="Y1184">
        <v>0</v>
      </c>
      <c r="Z1184">
        <v>0</v>
      </c>
      <c r="AA1184">
        <v>1</v>
      </c>
      <c r="AB1184">
        <v>0</v>
      </c>
      <c r="AC1184">
        <v>910</v>
      </c>
      <c r="AD1184">
        <v>1</v>
      </c>
      <c r="AE1184">
        <v>0</v>
      </c>
      <c r="AF1184">
        <v>0</v>
      </c>
      <c r="AG1184">
        <v>0</v>
      </c>
      <c r="AH1184">
        <v>590</v>
      </c>
      <c r="AI1184">
        <v>4</v>
      </c>
      <c r="AJ1184">
        <v>0</v>
      </c>
      <c r="AK1184">
        <v>1</v>
      </c>
      <c r="AL1184">
        <v>0</v>
      </c>
      <c r="AM1184">
        <v>0</v>
      </c>
      <c r="AN1184">
        <v>0</v>
      </c>
      <c r="AO1184">
        <v>0</v>
      </c>
      <c r="AP1184">
        <v>0</v>
      </c>
      <c r="AQ1184">
        <v>0</v>
      </c>
      <c r="AR1184">
        <v>0</v>
      </c>
      <c r="AS1184">
        <v>0</v>
      </c>
      <c r="AT1184">
        <f t="shared" si="56"/>
        <v>1.1560000000000006</v>
      </c>
      <c r="AU1184">
        <f t="shared" si="54"/>
        <v>6.6333333333333337</v>
      </c>
      <c r="AV1184">
        <f t="shared" si="55"/>
        <v>819.03</v>
      </c>
      <c r="AX1184">
        <v>1113</v>
      </c>
      <c r="AY1184">
        <v>1188</v>
      </c>
      <c r="AZ1184">
        <v>13</v>
      </c>
      <c r="BB1184" t="s">
        <v>353</v>
      </c>
      <c r="BC1184" t="s">
        <v>196</v>
      </c>
    </row>
    <row r="1185" spans="3:55" x14ac:dyDescent="0.45">
      <c r="C1185">
        <v>82.8</v>
      </c>
      <c r="D1185">
        <v>6.2</v>
      </c>
      <c r="E1185">
        <v>0</v>
      </c>
      <c r="F1185">
        <v>1.5</v>
      </c>
      <c r="G1185">
        <v>0</v>
      </c>
      <c r="H1185">
        <v>0</v>
      </c>
      <c r="I1185">
        <v>0</v>
      </c>
      <c r="J1185">
        <v>2.6</v>
      </c>
      <c r="K1185">
        <v>2.7</v>
      </c>
      <c r="L1185">
        <v>4.2</v>
      </c>
      <c r="M1185">
        <v>0</v>
      </c>
      <c r="N1185">
        <v>0</v>
      </c>
      <c r="O1185">
        <v>0</v>
      </c>
      <c r="P1185">
        <v>0</v>
      </c>
      <c r="Q1185">
        <v>0</v>
      </c>
      <c r="R1185">
        <v>0</v>
      </c>
      <c r="S1185">
        <v>0</v>
      </c>
      <c r="T1185">
        <v>0</v>
      </c>
      <c r="U1185">
        <v>0</v>
      </c>
      <c r="V1185">
        <v>1</v>
      </c>
      <c r="W1185">
        <v>0</v>
      </c>
      <c r="X1185">
        <v>0</v>
      </c>
      <c r="Y1185">
        <v>0</v>
      </c>
      <c r="Z1185">
        <v>0</v>
      </c>
      <c r="AA1185">
        <v>1</v>
      </c>
      <c r="AB1185">
        <v>0</v>
      </c>
      <c r="AC1185">
        <v>910</v>
      </c>
      <c r="AD1185">
        <v>1</v>
      </c>
      <c r="AE1185">
        <v>0</v>
      </c>
      <c r="AF1185">
        <v>0</v>
      </c>
      <c r="AG1185">
        <v>1</v>
      </c>
      <c r="AH1185">
        <v>590</v>
      </c>
      <c r="AI1185">
        <v>4</v>
      </c>
      <c r="AJ1185">
        <v>0</v>
      </c>
      <c r="AK1185">
        <v>1</v>
      </c>
      <c r="AL1185">
        <v>0</v>
      </c>
      <c r="AM1185">
        <v>0</v>
      </c>
      <c r="AN1185">
        <v>0</v>
      </c>
      <c r="AO1185">
        <v>0</v>
      </c>
      <c r="AP1185">
        <v>0</v>
      </c>
      <c r="AQ1185">
        <v>0</v>
      </c>
      <c r="AR1185">
        <v>0</v>
      </c>
      <c r="AS1185">
        <v>0</v>
      </c>
      <c r="AT1185">
        <f t="shared" si="56"/>
        <v>1.1560000000000006</v>
      </c>
      <c r="AU1185">
        <f t="shared" si="54"/>
        <v>6.6333333333333337</v>
      </c>
      <c r="AV1185">
        <f t="shared" si="55"/>
        <v>819.03</v>
      </c>
      <c r="AX1185">
        <v>1001</v>
      </c>
      <c r="AY1185">
        <v>1048</v>
      </c>
      <c r="AZ1185">
        <v>20.3</v>
      </c>
      <c r="BB1185" t="s">
        <v>353</v>
      </c>
      <c r="BC1185" t="s">
        <v>196</v>
      </c>
    </row>
    <row r="1186" spans="3:55" x14ac:dyDescent="0.45">
      <c r="C1186">
        <v>81.05</v>
      </c>
      <c r="D1186">
        <v>5.01</v>
      </c>
      <c r="E1186">
        <v>4.9800000000000004</v>
      </c>
      <c r="F1186">
        <v>2.99</v>
      </c>
      <c r="G1186">
        <v>0</v>
      </c>
      <c r="H1186">
        <v>0</v>
      </c>
      <c r="I1186">
        <v>0</v>
      </c>
      <c r="J1186">
        <v>1</v>
      </c>
      <c r="K1186">
        <v>0</v>
      </c>
      <c r="L1186">
        <v>4.97</v>
      </c>
      <c r="M1186">
        <v>0</v>
      </c>
      <c r="N1186">
        <v>0</v>
      </c>
      <c r="O1186">
        <v>0</v>
      </c>
      <c r="P1186">
        <v>0</v>
      </c>
      <c r="Q1186">
        <v>0</v>
      </c>
      <c r="R1186">
        <v>0</v>
      </c>
      <c r="S1186">
        <v>0</v>
      </c>
      <c r="T1186">
        <v>0</v>
      </c>
      <c r="U1186">
        <v>0</v>
      </c>
      <c r="V1186">
        <v>1</v>
      </c>
      <c r="W1186">
        <v>0</v>
      </c>
      <c r="X1186">
        <v>0</v>
      </c>
      <c r="Y1186">
        <v>0</v>
      </c>
      <c r="Z1186">
        <v>0</v>
      </c>
      <c r="AA1186">
        <v>1</v>
      </c>
      <c r="AB1186">
        <v>0</v>
      </c>
      <c r="AC1186">
        <v>860</v>
      </c>
      <c r="AD1186">
        <v>2</v>
      </c>
      <c r="AE1186">
        <v>0</v>
      </c>
      <c r="AF1186">
        <v>0</v>
      </c>
      <c r="AG1186">
        <v>1</v>
      </c>
      <c r="AH1186">
        <v>610</v>
      </c>
      <c r="AI1186">
        <v>3</v>
      </c>
      <c r="AJ1186">
        <v>0</v>
      </c>
      <c r="AK1186">
        <v>1</v>
      </c>
      <c r="AL1186">
        <v>0</v>
      </c>
      <c r="AM1186">
        <v>0</v>
      </c>
      <c r="AN1186">
        <v>0</v>
      </c>
      <c r="AO1186">
        <v>0</v>
      </c>
      <c r="AP1186">
        <v>0</v>
      </c>
      <c r="AQ1186">
        <v>0</v>
      </c>
      <c r="AR1186">
        <v>0</v>
      </c>
      <c r="AS1186">
        <v>0</v>
      </c>
      <c r="AT1186">
        <f t="shared" si="56"/>
        <v>8.0806000000000004</v>
      </c>
      <c r="AU1186">
        <f t="shared" si="54"/>
        <v>5.1766666666666667</v>
      </c>
      <c r="AV1186">
        <f t="shared" si="55"/>
        <v>743.46299999999997</v>
      </c>
      <c r="BB1186" t="s">
        <v>353</v>
      </c>
      <c r="BC1186" t="s">
        <v>199</v>
      </c>
    </row>
    <row r="1187" spans="3:55" x14ac:dyDescent="0.45">
      <c r="C1187">
        <v>81.05</v>
      </c>
      <c r="D1187">
        <v>5.01</v>
      </c>
      <c r="E1187">
        <v>4.9800000000000004</v>
      </c>
      <c r="F1187">
        <v>2.99</v>
      </c>
      <c r="G1187">
        <v>0</v>
      </c>
      <c r="H1187">
        <v>0</v>
      </c>
      <c r="I1187">
        <v>0</v>
      </c>
      <c r="J1187">
        <v>1</v>
      </c>
      <c r="K1187">
        <v>0</v>
      </c>
      <c r="L1187">
        <v>4.97</v>
      </c>
      <c r="M1187">
        <v>0</v>
      </c>
      <c r="N1187">
        <v>0</v>
      </c>
      <c r="O1187">
        <v>0</v>
      </c>
      <c r="P1187">
        <v>0</v>
      </c>
      <c r="Q1187">
        <v>0</v>
      </c>
      <c r="R1187">
        <v>0</v>
      </c>
      <c r="S1187">
        <v>0</v>
      </c>
      <c r="T1187">
        <v>0</v>
      </c>
      <c r="U1187">
        <v>0</v>
      </c>
      <c r="V1187">
        <v>1</v>
      </c>
      <c r="W1187">
        <v>0</v>
      </c>
      <c r="X1187">
        <v>0</v>
      </c>
      <c r="Y1187">
        <v>0</v>
      </c>
      <c r="Z1187">
        <v>0</v>
      </c>
      <c r="AA1187">
        <v>1</v>
      </c>
      <c r="AB1187">
        <v>0</v>
      </c>
      <c r="AC1187">
        <v>860</v>
      </c>
      <c r="AD1187">
        <v>2</v>
      </c>
      <c r="AE1187">
        <v>0</v>
      </c>
      <c r="AF1187">
        <v>0</v>
      </c>
      <c r="AG1187">
        <v>1</v>
      </c>
      <c r="AH1187">
        <v>640</v>
      </c>
      <c r="AI1187">
        <v>3</v>
      </c>
      <c r="AJ1187">
        <v>0</v>
      </c>
      <c r="AK1187">
        <v>1</v>
      </c>
      <c r="AL1187">
        <v>0</v>
      </c>
      <c r="AM1187">
        <v>0</v>
      </c>
      <c r="AN1187">
        <v>0</v>
      </c>
      <c r="AO1187">
        <v>0</v>
      </c>
      <c r="AP1187">
        <v>0</v>
      </c>
      <c r="AQ1187">
        <v>0</v>
      </c>
      <c r="AR1187">
        <v>0</v>
      </c>
      <c r="AS1187">
        <v>0</v>
      </c>
      <c r="AT1187">
        <f t="shared" si="56"/>
        <v>8.0806000000000004</v>
      </c>
      <c r="AU1187">
        <f t="shared" si="54"/>
        <v>5.1766666666666667</v>
      </c>
      <c r="AV1187">
        <f t="shared" si="55"/>
        <v>743.46299999999997</v>
      </c>
      <c r="BB1187" t="s">
        <v>353</v>
      </c>
      <c r="BC1187" t="s">
        <v>199</v>
      </c>
    </row>
    <row r="1188" spans="3:55" x14ac:dyDescent="0.45">
      <c r="C1188">
        <v>81.05</v>
      </c>
      <c r="D1188">
        <v>5.01</v>
      </c>
      <c r="E1188">
        <v>4.9800000000000004</v>
      </c>
      <c r="F1188">
        <v>2.99</v>
      </c>
      <c r="G1188">
        <v>0</v>
      </c>
      <c r="H1188">
        <v>0</v>
      </c>
      <c r="I1188">
        <v>0</v>
      </c>
      <c r="J1188">
        <v>1</v>
      </c>
      <c r="K1188">
        <v>0</v>
      </c>
      <c r="L1188">
        <v>4.97</v>
      </c>
      <c r="M1188">
        <v>0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1</v>
      </c>
      <c r="W1188">
        <v>0</v>
      </c>
      <c r="X1188">
        <v>0</v>
      </c>
      <c r="Y1188">
        <v>0</v>
      </c>
      <c r="Z1188">
        <v>0</v>
      </c>
      <c r="AA1188">
        <v>1</v>
      </c>
      <c r="AB1188">
        <v>0</v>
      </c>
      <c r="AC1188">
        <v>860</v>
      </c>
      <c r="AD1188">
        <v>2</v>
      </c>
      <c r="AE1188">
        <v>0</v>
      </c>
      <c r="AF1188">
        <v>0</v>
      </c>
      <c r="AG1188">
        <v>1</v>
      </c>
      <c r="AH1188">
        <v>670</v>
      </c>
      <c r="AI1188">
        <v>3</v>
      </c>
      <c r="AJ1188">
        <v>0</v>
      </c>
      <c r="AK1188">
        <v>1</v>
      </c>
      <c r="AL1188">
        <v>0</v>
      </c>
      <c r="AM1188">
        <v>0</v>
      </c>
      <c r="AN1188">
        <v>0</v>
      </c>
      <c r="AO1188">
        <v>0</v>
      </c>
      <c r="AP1188">
        <v>0</v>
      </c>
      <c r="AQ1188">
        <v>0</v>
      </c>
      <c r="AR1188">
        <v>0</v>
      </c>
      <c r="AS1188">
        <v>0</v>
      </c>
      <c r="AT1188">
        <f t="shared" si="56"/>
        <v>8.0806000000000004</v>
      </c>
      <c r="AU1188">
        <f t="shared" si="54"/>
        <v>5.1766666666666667</v>
      </c>
      <c r="AV1188">
        <f t="shared" si="55"/>
        <v>743.46299999999997</v>
      </c>
      <c r="BB1188" t="s">
        <v>353</v>
      </c>
      <c r="BC1188" t="s">
        <v>199</v>
      </c>
    </row>
    <row r="1189" spans="3:55" x14ac:dyDescent="0.45">
      <c r="C1189">
        <v>93.352599999999995</v>
      </c>
      <c r="D1189">
        <v>2.61</v>
      </c>
      <c r="E1189">
        <v>0</v>
      </c>
      <c r="F1189">
        <v>0</v>
      </c>
      <c r="G1189">
        <v>0</v>
      </c>
      <c r="H1189">
        <v>1.7000000000000001E-2</v>
      </c>
      <c r="I1189">
        <v>0</v>
      </c>
      <c r="J1189">
        <v>3.07</v>
      </c>
      <c r="K1189">
        <v>0.02</v>
      </c>
      <c r="L1189">
        <v>0.86</v>
      </c>
      <c r="M1189">
        <v>0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1</v>
      </c>
      <c r="W1189">
        <v>1050</v>
      </c>
      <c r="X1189">
        <v>0</v>
      </c>
      <c r="Y1189">
        <v>0</v>
      </c>
      <c r="Z1189">
        <v>0</v>
      </c>
      <c r="AA1189">
        <v>1</v>
      </c>
      <c r="AB1189">
        <v>0</v>
      </c>
      <c r="AC1189">
        <v>950</v>
      </c>
      <c r="AD1189">
        <v>1</v>
      </c>
      <c r="AE1189">
        <v>0</v>
      </c>
      <c r="AF1189">
        <v>0</v>
      </c>
      <c r="AG1189">
        <v>1</v>
      </c>
      <c r="AH1189">
        <v>0</v>
      </c>
      <c r="AI1189">
        <v>0</v>
      </c>
      <c r="AJ1189">
        <v>0</v>
      </c>
      <c r="AK1189">
        <v>0</v>
      </c>
      <c r="AL1189">
        <v>0</v>
      </c>
      <c r="AM1189">
        <v>0</v>
      </c>
      <c r="AN1189">
        <v>0</v>
      </c>
      <c r="AO1189">
        <v>0</v>
      </c>
      <c r="AP1189">
        <v>0</v>
      </c>
      <c r="AQ1189">
        <v>0</v>
      </c>
      <c r="AR1189">
        <v>0</v>
      </c>
      <c r="AS1189">
        <v>0</v>
      </c>
      <c r="AT1189">
        <f t="shared" si="56"/>
        <v>-1.6950999999999998</v>
      </c>
      <c r="AU1189">
        <f t="shared" si="54"/>
        <v>3.1216666666666666</v>
      </c>
      <c r="AV1189">
        <f t="shared" si="55"/>
        <v>857.86620000000005</v>
      </c>
      <c r="BC1189" t="s">
        <v>202</v>
      </c>
    </row>
    <row r="1190" spans="3:55" x14ac:dyDescent="0.45">
      <c r="C1190">
        <v>93.352599999999995</v>
      </c>
      <c r="D1190">
        <v>2.61</v>
      </c>
      <c r="E1190">
        <v>0</v>
      </c>
      <c r="F1190">
        <v>0</v>
      </c>
      <c r="G1190">
        <v>0</v>
      </c>
      <c r="H1190">
        <v>1.7000000000000001E-2</v>
      </c>
      <c r="I1190">
        <v>0</v>
      </c>
      <c r="J1190">
        <v>3.07</v>
      </c>
      <c r="K1190">
        <v>0.02</v>
      </c>
      <c r="L1190">
        <v>0.86</v>
      </c>
      <c r="M1190">
        <v>0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1</v>
      </c>
      <c r="W1190">
        <v>1050</v>
      </c>
      <c r="X1190">
        <v>0</v>
      </c>
      <c r="Y1190">
        <v>0</v>
      </c>
      <c r="Z1190">
        <v>0</v>
      </c>
      <c r="AA1190">
        <v>1</v>
      </c>
      <c r="AB1190">
        <v>0</v>
      </c>
      <c r="AC1190">
        <v>950</v>
      </c>
      <c r="AD1190">
        <v>1</v>
      </c>
      <c r="AE1190">
        <v>0</v>
      </c>
      <c r="AF1190">
        <v>0</v>
      </c>
      <c r="AG1190">
        <v>1</v>
      </c>
      <c r="AH1190">
        <v>0</v>
      </c>
      <c r="AI1190">
        <v>0</v>
      </c>
      <c r="AJ1190">
        <v>0</v>
      </c>
      <c r="AK1190">
        <v>0</v>
      </c>
      <c r="AL1190">
        <v>0</v>
      </c>
      <c r="AM1190">
        <v>0</v>
      </c>
      <c r="AN1190">
        <v>0</v>
      </c>
      <c r="AO1190">
        <v>0</v>
      </c>
      <c r="AP1190">
        <v>0</v>
      </c>
      <c r="AQ1190">
        <v>0</v>
      </c>
      <c r="AR1190">
        <v>0</v>
      </c>
      <c r="AS1190">
        <v>0</v>
      </c>
      <c r="AT1190">
        <f t="shared" si="56"/>
        <v>-1.6950999999999998</v>
      </c>
      <c r="AU1190">
        <f t="shared" si="54"/>
        <v>3.1216666666666666</v>
      </c>
      <c r="AV1190">
        <f t="shared" si="55"/>
        <v>857.86620000000005</v>
      </c>
      <c r="BC1190" t="s">
        <v>202</v>
      </c>
    </row>
    <row r="1191" spans="3:55" x14ac:dyDescent="0.45">
      <c r="C1191">
        <v>93.352599999999995</v>
      </c>
      <c r="D1191">
        <v>2.61</v>
      </c>
      <c r="E1191">
        <v>0</v>
      </c>
      <c r="F1191">
        <v>0</v>
      </c>
      <c r="G1191">
        <v>0</v>
      </c>
      <c r="H1191">
        <v>1.7000000000000001E-2</v>
      </c>
      <c r="I1191">
        <v>0</v>
      </c>
      <c r="J1191">
        <v>3.07</v>
      </c>
      <c r="K1191">
        <v>0.02</v>
      </c>
      <c r="L1191">
        <v>0.86</v>
      </c>
      <c r="M1191">
        <v>0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1</v>
      </c>
      <c r="W1191">
        <v>1050</v>
      </c>
      <c r="X1191">
        <v>0</v>
      </c>
      <c r="Y1191">
        <v>0</v>
      </c>
      <c r="Z1191">
        <v>0</v>
      </c>
      <c r="AA1191">
        <v>1</v>
      </c>
      <c r="AB1191">
        <v>0</v>
      </c>
      <c r="AC1191">
        <v>950</v>
      </c>
      <c r="AD1191">
        <v>1</v>
      </c>
      <c r="AE1191">
        <v>0</v>
      </c>
      <c r="AF1191">
        <v>0</v>
      </c>
      <c r="AG1191">
        <v>1</v>
      </c>
      <c r="AH1191">
        <v>0</v>
      </c>
      <c r="AI1191">
        <v>0</v>
      </c>
      <c r="AJ1191">
        <v>0</v>
      </c>
      <c r="AK1191">
        <v>0</v>
      </c>
      <c r="AL1191">
        <v>0</v>
      </c>
      <c r="AM1191">
        <v>0</v>
      </c>
      <c r="AN1191">
        <v>0</v>
      </c>
      <c r="AO1191">
        <v>0</v>
      </c>
      <c r="AP1191">
        <v>0</v>
      </c>
      <c r="AQ1191">
        <v>0</v>
      </c>
      <c r="AR1191">
        <v>0</v>
      </c>
      <c r="AS1191">
        <v>0</v>
      </c>
      <c r="AT1191">
        <f t="shared" si="56"/>
        <v>-1.6950999999999998</v>
      </c>
      <c r="AU1191">
        <f t="shared" si="54"/>
        <v>3.1216666666666666</v>
      </c>
      <c r="AV1191">
        <f t="shared" si="55"/>
        <v>857.86620000000005</v>
      </c>
      <c r="BC1191" t="s">
        <v>202</v>
      </c>
    </row>
    <row r="1192" spans="3:55" x14ac:dyDescent="0.45">
      <c r="C1192">
        <v>93.352599999999995</v>
      </c>
      <c r="D1192">
        <v>2.61</v>
      </c>
      <c r="E1192">
        <v>0</v>
      </c>
      <c r="F1192">
        <v>0</v>
      </c>
      <c r="G1192">
        <v>0</v>
      </c>
      <c r="H1192">
        <v>1.7000000000000001E-2</v>
      </c>
      <c r="I1192">
        <v>0</v>
      </c>
      <c r="J1192">
        <v>3.07</v>
      </c>
      <c r="K1192">
        <v>0.02</v>
      </c>
      <c r="L1192">
        <v>0.86</v>
      </c>
      <c r="M1192">
        <v>0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1</v>
      </c>
      <c r="W1192">
        <v>1050</v>
      </c>
      <c r="X1192">
        <v>0</v>
      </c>
      <c r="Y1192">
        <v>0</v>
      </c>
      <c r="Z1192">
        <v>0</v>
      </c>
      <c r="AA1192">
        <v>1</v>
      </c>
      <c r="AB1192">
        <v>0</v>
      </c>
      <c r="AC1192">
        <v>950</v>
      </c>
      <c r="AD1192">
        <v>1</v>
      </c>
      <c r="AE1192">
        <v>0</v>
      </c>
      <c r="AF1192">
        <v>0</v>
      </c>
      <c r="AG1192">
        <v>1</v>
      </c>
      <c r="AH1192">
        <v>0</v>
      </c>
      <c r="AI1192">
        <v>0</v>
      </c>
      <c r="AJ1192">
        <v>0</v>
      </c>
      <c r="AK1192">
        <v>0</v>
      </c>
      <c r="AL1192">
        <v>0</v>
      </c>
      <c r="AM1192">
        <v>0</v>
      </c>
      <c r="AN1192">
        <v>0</v>
      </c>
      <c r="AO1192">
        <v>0</v>
      </c>
      <c r="AP1192">
        <v>0</v>
      </c>
      <c r="AQ1192">
        <v>0</v>
      </c>
      <c r="AR1192">
        <v>0</v>
      </c>
      <c r="AS1192">
        <v>0</v>
      </c>
      <c r="AT1192">
        <f t="shared" si="56"/>
        <v>-1.6950999999999998</v>
      </c>
      <c r="AU1192">
        <f t="shared" si="54"/>
        <v>3.1216666666666666</v>
      </c>
      <c r="AV1192">
        <f t="shared" si="55"/>
        <v>857.86620000000005</v>
      </c>
      <c r="BC1192" t="s">
        <v>202</v>
      </c>
    </row>
    <row r="1193" spans="3:55" x14ac:dyDescent="0.45">
      <c r="C1193">
        <v>93.352599999999995</v>
      </c>
      <c r="D1193">
        <v>2.61</v>
      </c>
      <c r="E1193">
        <v>0</v>
      </c>
      <c r="F1193">
        <v>0</v>
      </c>
      <c r="G1193">
        <v>0</v>
      </c>
      <c r="H1193">
        <v>1.7000000000000001E-2</v>
      </c>
      <c r="I1193">
        <v>0</v>
      </c>
      <c r="J1193">
        <v>3.07</v>
      </c>
      <c r="K1193">
        <v>0.02</v>
      </c>
      <c r="L1193">
        <v>0.86</v>
      </c>
      <c r="M1193">
        <v>0</v>
      </c>
      <c r="N1193">
        <v>0</v>
      </c>
      <c r="O1193">
        <v>0</v>
      </c>
      <c r="P1193">
        <v>0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1</v>
      </c>
      <c r="W1193">
        <v>1050</v>
      </c>
      <c r="X1193">
        <v>0</v>
      </c>
      <c r="Y1193">
        <v>0</v>
      </c>
      <c r="Z1193">
        <v>0</v>
      </c>
      <c r="AA1193">
        <v>1</v>
      </c>
      <c r="AB1193">
        <v>0</v>
      </c>
      <c r="AC1193">
        <v>950</v>
      </c>
      <c r="AD1193">
        <v>1</v>
      </c>
      <c r="AE1193">
        <v>0</v>
      </c>
      <c r="AF1193">
        <v>0</v>
      </c>
      <c r="AG1193">
        <v>1</v>
      </c>
      <c r="AH1193">
        <v>0</v>
      </c>
      <c r="AI1193">
        <v>0</v>
      </c>
      <c r="AJ1193">
        <v>0</v>
      </c>
      <c r="AK1193">
        <v>0</v>
      </c>
      <c r="AL1193">
        <v>0</v>
      </c>
      <c r="AM1193">
        <v>0</v>
      </c>
      <c r="AN1193">
        <v>0</v>
      </c>
      <c r="AO1193">
        <v>0</v>
      </c>
      <c r="AP1193">
        <v>0</v>
      </c>
      <c r="AQ1193">
        <v>0</v>
      </c>
      <c r="AR1193">
        <v>0</v>
      </c>
      <c r="AS1193">
        <v>0</v>
      </c>
      <c r="AT1193">
        <f t="shared" si="56"/>
        <v>-1.6950999999999998</v>
      </c>
      <c r="AU1193">
        <f t="shared" si="54"/>
        <v>3.1216666666666666</v>
      </c>
      <c r="AV1193">
        <f t="shared" si="55"/>
        <v>857.86620000000005</v>
      </c>
      <c r="BC1193" t="s">
        <v>202</v>
      </c>
    </row>
    <row r="1194" spans="3:55" x14ac:dyDescent="0.45">
      <c r="C1194">
        <v>87.11</v>
      </c>
      <c r="D1194">
        <v>6.11</v>
      </c>
      <c r="E1194">
        <v>0</v>
      </c>
      <c r="F1194">
        <v>1.71</v>
      </c>
      <c r="G1194">
        <v>0</v>
      </c>
      <c r="H1194">
        <v>0</v>
      </c>
      <c r="I1194">
        <v>0</v>
      </c>
      <c r="J1194">
        <v>1.01</v>
      </c>
      <c r="K1194">
        <v>1.03</v>
      </c>
      <c r="L1194">
        <v>2.1</v>
      </c>
      <c r="M1194">
        <v>0.93</v>
      </c>
      <c r="N1194">
        <v>0</v>
      </c>
      <c r="O1194">
        <v>0</v>
      </c>
      <c r="P1194">
        <v>0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1</v>
      </c>
      <c r="W1194">
        <v>0</v>
      </c>
      <c r="X1194">
        <v>0</v>
      </c>
      <c r="Y1194">
        <v>0</v>
      </c>
      <c r="Z1194">
        <v>0</v>
      </c>
      <c r="AA1194">
        <v>1</v>
      </c>
      <c r="AB1194">
        <v>0</v>
      </c>
      <c r="AC1194">
        <v>910</v>
      </c>
      <c r="AD1194">
        <v>2</v>
      </c>
      <c r="AE1194">
        <v>1</v>
      </c>
      <c r="AF1194">
        <v>0</v>
      </c>
      <c r="AG1194">
        <v>0</v>
      </c>
      <c r="AH1194">
        <v>0</v>
      </c>
      <c r="AI1194">
        <v>0</v>
      </c>
      <c r="AJ1194">
        <v>0</v>
      </c>
      <c r="AK1194">
        <v>0</v>
      </c>
      <c r="AL1194">
        <v>0</v>
      </c>
      <c r="AM1194">
        <v>0</v>
      </c>
      <c r="AN1194">
        <v>0</v>
      </c>
      <c r="AO1194">
        <v>0</v>
      </c>
      <c r="AP1194">
        <v>0</v>
      </c>
      <c r="AQ1194">
        <v>0</v>
      </c>
      <c r="AR1194">
        <v>0</v>
      </c>
      <c r="AS1194">
        <v>0</v>
      </c>
      <c r="AT1194">
        <f t="shared" si="56"/>
        <v>-0.98559999999999981</v>
      </c>
      <c r="AU1194">
        <f t="shared" si="54"/>
        <v>6.5883333333333329</v>
      </c>
      <c r="AV1194">
        <f t="shared" si="55"/>
        <v>851.12699999999984</v>
      </c>
      <c r="AY1194">
        <v>1144</v>
      </c>
      <c r="AZ1194">
        <v>15</v>
      </c>
      <c r="BC1194" t="s">
        <v>203</v>
      </c>
    </row>
    <row r="1195" spans="3:55" x14ac:dyDescent="0.45">
      <c r="C1195">
        <v>87.11</v>
      </c>
      <c r="D1195">
        <v>6.11</v>
      </c>
      <c r="E1195">
        <v>0</v>
      </c>
      <c r="F1195">
        <v>1.71</v>
      </c>
      <c r="G1195">
        <v>0</v>
      </c>
      <c r="H1195">
        <v>0</v>
      </c>
      <c r="I1195">
        <v>0</v>
      </c>
      <c r="J1195">
        <v>1.01</v>
      </c>
      <c r="K1195">
        <v>1.03</v>
      </c>
      <c r="L1195">
        <v>2.1</v>
      </c>
      <c r="M1195">
        <v>0.93</v>
      </c>
      <c r="N1195">
        <v>0</v>
      </c>
      <c r="O1195">
        <v>0</v>
      </c>
      <c r="P1195">
        <v>0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1</v>
      </c>
      <c r="W1195">
        <v>0</v>
      </c>
      <c r="X1195">
        <v>0</v>
      </c>
      <c r="Y1195">
        <v>0</v>
      </c>
      <c r="Z1195">
        <v>0</v>
      </c>
      <c r="AA1195">
        <v>1</v>
      </c>
      <c r="AB1195">
        <v>0</v>
      </c>
      <c r="AC1195">
        <v>930</v>
      </c>
      <c r="AD1195">
        <v>2</v>
      </c>
      <c r="AE1195">
        <v>1</v>
      </c>
      <c r="AF1195">
        <v>0</v>
      </c>
      <c r="AG1195">
        <v>0</v>
      </c>
      <c r="AH1195">
        <v>0</v>
      </c>
      <c r="AI1195">
        <v>0</v>
      </c>
      <c r="AJ1195">
        <v>0</v>
      </c>
      <c r="AK1195">
        <v>0</v>
      </c>
      <c r="AL1195">
        <v>0</v>
      </c>
      <c r="AM1195">
        <v>0</v>
      </c>
      <c r="AN1195">
        <v>0</v>
      </c>
      <c r="AO1195">
        <v>0</v>
      </c>
      <c r="AP1195">
        <v>0</v>
      </c>
      <c r="AQ1195">
        <v>0</v>
      </c>
      <c r="AR1195">
        <v>0</v>
      </c>
      <c r="AS1195">
        <v>0</v>
      </c>
      <c r="AT1195">
        <f t="shared" si="56"/>
        <v>-0.98559999999999981</v>
      </c>
      <c r="AU1195">
        <f t="shared" ref="AU1195:AU1205" si="57">D1195+J1195/6+M1195/3+(T1195+S1195)/10</f>
        <v>6.5883333333333329</v>
      </c>
      <c r="AV1195">
        <f t="shared" si="55"/>
        <v>851.12699999999984</v>
      </c>
      <c r="AY1195">
        <v>1205</v>
      </c>
      <c r="AZ1195">
        <v>11</v>
      </c>
      <c r="BC1195" t="s">
        <v>203</v>
      </c>
    </row>
    <row r="1196" spans="3:55" x14ac:dyDescent="0.45">
      <c r="C1196">
        <v>87.11</v>
      </c>
      <c r="D1196">
        <v>6.11</v>
      </c>
      <c r="E1196">
        <v>0</v>
      </c>
      <c r="F1196">
        <v>1.71</v>
      </c>
      <c r="G1196">
        <v>0</v>
      </c>
      <c r="H1196">
        <v>0</v>
      </c>
      <c r="I1196">
        <v>0</v>
      </c>
      <c r="J1196">
        <v>1.01</v>
      </c>
      <c r="K1196">
        <v>1.03</v>
      </c>
      <c r="L1196">
        <v>2.1</v>
      </c>
      <c r="M1196">
        <v>0.93</v>
      </c>
      <c r="N1196">
        <v>0</v>
      </c>
      <c r="O1196">
        <v>0</v>
      </c>
      <c r="P1196">
        <v>0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1</v>
      </c>
      <c r="W1196">
        <v>0</v>
      </c>
      <c r="X1196">
        <v>0</v>
      </c>
      <c r="Y1196">
        <v>0</v>
      </c>
      <c r="Z1196">
        <v>0</v>
      </c>
      <c r="AA1196">
        <v>1</v>
      </c>
      <c r="AB1196">
        <v>0</v>
      </c>
      <c r="AC1196">
        <v>950</v>
      </c>
      <c r="AD1196">
        <v>2</v>
      </c>
      <c r="AE1196">
        <v>1</v>
      </c>
      <c r="AF1196">
        <v>0</v>
      </c>
      <c r="AG1196">
        <v>0</v>
      </c>
      <c r="AH1196">
        <v>0</v>
      </c>
      <c r="AI1196">
        <v>0</v>
      </c>
      <c r="AJ1196">
        <v>0</v>
      </c>
      <c r="AK1196">
        <v>0</v>
      </c>
      <c r="AL1196">
        <v>0</v>
      </c>
      <c r="AM1196">
        <v>0</v>
      </c>
      <c r="AN1196">
        <v>0</v>
      </c>
      <c r="AO1196">
        <v>0</v>
      </c>
      <c r="AP1196">
        <v>0</v>
      </c>
      <c r="AQ1196">
        <v>0</v>
      </c>
      <c r="AR1196">
        <v>0</v>
      </c>
      <c r="AS1196">
        <v>0</v>
      </c>
      <c r="AT1196">
        <f t="shared" si="56"/>
        <v>-0.98559999999999981</v>
      </c>
      <c r="AU1196">
        <f t="shared" si="57"/>
        <v>6.5883333333333329</v>
      </c>
      <c r="AV1196">
        <f t="shared" si="55"/>
        <v>851.12699999999984</v>
      </c>
      <c r="AY1196">
        <v>1322</v>
      </c>
      <c r="AZ1196">
        <v>7</v>
      </c>
      <c r="BC1196" t="s">
        <v>203</v>
      </c>
    </row>
    <row r="1197" spans="3:55" x14ac:dyDescent="0.45">
      <c r="C1197">
        <v>87.11</v>
      </c>
      <c r="D1197">
        <v>6.11</v>
      </c>
      <c r="E1197">
        <v>0</v>
      </c>
      <c r="F1197">
        <v>1.71</v>
      </c>
      <c r="G1197">
        <v>0</v>
      </c>
      <c r="H1197">
        <v>0</v>
      </c>
      <c r="I1197">
        <v>0</v>
      </c>
      <c r="J1197">
        <v>1.01</v>
      </c>
      <c r="K1197">
        <v>1.03</v>
      </c>
      <c r="L1197">
        <v>2.1</v>
      </c>
      <c r="M1197">
        <v>0.93</v>
      </c>
      <c r="N1197">
        <v>0</v>
      </c>
      <c r="O1197">
        <v>0</v>
      </c>
      <c r="P1197">
        <v>0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1</v>
      </c>
      <c r="W1197">
        <v>0</v>
      </c>
      <c r="X1197">
        <v>0</v>
      </c>
      <c r="Y1197">
        <v>0</v>
      </c>
      <c r="Z1197">
        <v>0</v>
      </c>
      <c r="AA1197">
        <v>1</v>
      </c>
      <c r="AB1197">
        <v>0</v>
      </c>
      <c r="AC1197">
        <v>970</v>
      </c>
      <c r="AD1197">
        <v>2</v>
      </c>
      <c r="AE1197">
        <v>1</v>
      </c>
      <c r="AF1197">
        <v>0</v>
      </c>
      <c r="AG1197">
        <v>0</v>
      </c>
      <c r="AH1197">
        <v>0</v>
      </c>
      <c r="AI1197">
        <v>0</v>
      </c>
      <c r="AJ1197">
        <v>0</v>
      </c>
      <c r="AK1197">
        <v>0</v>
      </c>
      <c r="AL1197">
        <v>0</v>
      </c>
      <c r="AM1197">
        <v>0</v>
      </c>
      <c r="AN1197">
        <v>0</v>
      </c>
      <c r="AO1197">
        <v>0</v>
      </c>
      <c r="AP1197">
        <v>0</v>
      </c>
      <c r="AQ1197">
        <v>0</v>
      </c>
      <c r="AR1197">
        <v>0</v>
      </c>
      <c r="AS1197">
        <v>0</v>
      </c>
      <c r="AT1197">
        <f t="shared" si="56"/>
        <v>-0.98559999999999981</v>
      </c>
      <c r="AU1197">
        <f t="shared" si="57"/>
        <v>6.5883333333333329</v>
      </c>
      <c r="AV1197">
        <f t="shared" si="55"/>
        <v>851.12699999999984</v>
      </c>
      <c r="AY1197">
        <v>1215</v>
      </c>
      <c r="AZ1197">
        <v>2.4500000000000002</v>
      </c>
      <c r="BC1197" t="s">
        <v>203</v>
      </c>
    </row>
    <row r="1198" spans="3:55" x14ac:dyDescent="0.45">
      <c r="C1198">
        <v>87.11</v>
      </c>
      <c r="D1198">
        <v>6.11</v>
      </c>
      <c r="E1198">
        <v>0</v>
      </c>
      <c r="F1198">
        <v>1.71</v>
      </c>
      <c r="G1198">
        <v>0</v>
      </c>
      <c r="H1198">
        <v>0</v>
      </c>
      <c r="I1198">
        <v>0</v>
      </c>
      <c r="J1198">
        <v>1.01</v>
      </c>
      <c r="K1198">
        <v>1.03</v>
      </c>
      <c r="L1198">
        <v>2.1</v>
      </c>
      <c r="M1198">
        <v>0.93</v>
      </c>
      <c r="N1198">
        <v>0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1</v>
      </c>
      <c r="W1198">
        <v>0</v>
      </c>
      <c r="X1198">
        <v>0</v>
      </c>
      <c r="Y1198">
        <v>0</v>
      </c>
      <c r="Z1198">
        <v>0</v>
      </c>
      <c r="AA1198">
        <v>1</v>
      </c>
      <c r="AB1198">
        <v>0</v>
      </c>
      <c r="AC1198">
        <v>990</v>
      </c>
      <c r="AD1198">
        <v>2</v>
      </c>
      <c r="AE1198">
        <v>1</v>
      </c>
      <c r="AF1198">
        <v>0</v>
      </c>
      <c r="AG1198">
        <v>0</v>
      </c>
      <c r="AH1198">
        <v>0</v>
      </c>
      <c r="AI1198">
        <v>0</v>
      </c>
      <c r="AJ1198">
        <v>0</v>
      </c>
      <c r="AK1198">
        <v>0</v>
      </c>
      <c r="AL1198">
        <v>0</v>
      </c>
      <c r="AM1198">
        <v>0</v>
      </c>
      <c r="AN1198">
        <v>0</v>
      </c>
      <c r="AO1198">
        <v>0</v>
      </c>
      <c r="AP1198">
        <v>0</v>
      </c>
      <c r="AQ1198">
        <v>0</v>
      </c>
      <c r="AR1198">
        <v>0</v>
      </c>
      <c r="AS1198">
        <v>0</v>
      </c>
      <c r="AT1198">
        <f t="shared" si="56"/>
        <v>-0.98559999999999981</v>
      </c>
      <c r="AU1198">
        <f t="shared" si="57"/>
        <v>6.5883333333333329</v>
      </c>
      <c r="AV1198">
        <f t="shared" si="55"/>
        <v>851.12699999999984</v>
      </c>
      <c r="AY1198">
        <v>1213</v>
      </c>
      <c r="AZ1198">
        <v>2.4500000000000002</v>
      </c>
      <c r="BC1198" t="s">
        <v>203</v>
      </c>
    </row>
    <row r="1199" spans="3:55" x14ac:dyDescent="0.45">
      <c r="C1199">
        <v>87.11</v>
      </c>
      <c r="D1199">
        <v>6.11</v>
      </c>
      <c r="E1199">
        <v>0</v>
      </c>
      <c r="F1199">
        <v>1.71</v>
      </c>
      <c r="G1199">
        <v>0</v>
      </c>
      <c r="H1199">
        <v>0</v>
      </c>
      <c r="I1199">
        <v>0</v>
      </c>
      <c r="J1199">
        <v>1.01</v>
      </c>
      <c r="K1199">
        <v>1.03</v>
      </c>
      <c r="L1199">
        <v>2.1</v>
      </c>
      <c r="M1199">
        <v>0.93</v>
      </c>
      <c r="N1199">
        <v>0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1</v>
      </c>
      <c r="W1199">
        <v>0</v>
      </c>
      <c r="X1199">
        <v>0</v>
      </c>
      <c r="Y1199">
        <v>0</v>
      </c>
      <c r="Z1199">
        <v>0</v>
      </c>
      <c r="AA1199">
        <v>1</v>
      </c>
      <c r="AB1199">
        <v>0</v>
      </c>
      <c r="AC1199">
        <v>1010</v>
      </c>
      <c r="AD1199">
        <v>2</v>
      </c>
      <c r="AE1199">
        <v>1</v>
      </c>
      <c r="AF1199">
        <v>0</v>
      </c>
      <c r="AG1199">
        <v>0</v>
      </c>
      <c r="AH1199">
        <v>0</v>
      </c>
      <c r="AI1199">
        <v>0</v>
      </c>
      <c r="AJ1199">
        <v>0</v>
      </c>
      <c r="AK1199">
        <v>0</v>
      </c>
      <c r="AL1199">
        <v>0</v>
      </c>
      <c r="AM1199">
        <v>0</v>
      </c>
      <c r="AN1199">
        <v>0</v>
      </c>
      <c r="AO1199">
        <v>0</v>
      </c>
      <c r="AP1199">
        <v>0</v>
      </c>
      <c r="AQ1199">
        <v>0</v>
      </c>
      <c r="AR1199">
        <v>0</v>
      </c>
      <c r="AS1199">
        <v>0</v>
      </c>
      <c r="AT1199">
        <f t="shared" si="56"/>
        <v>-0.98559999999999981</v>
      </c>
      <c r="AU1199">
        <f t="shared" si="57"/>
        <v>6.5883333333333329</v>
      </c>
      <c r="AV1199">
        <f t="shared" si="55"/>
        <v>851.12699999999984</v>
      </c>
      <c r="AY1199">
        <v>1210</v>
      </c>
      <c r="AZ1199">
        <v>1.98</v>
      </c>
      <c r="BC1199" t="s">
        <v>203</v>
      </c>
    </row>
    <row r="1200" spans="3:55" x14ac:dyDescent="0.45">
      <c r="C1200">
        <v>80.477999999999994</v>
      </c>
      <c r="D1200">
        <v>5.01</v>
      </c>
      <c r="E1200">
        <v>4.9800000000000004</v>
      </c>
      <c r="F1200">
        <v>2.99</v>
      </c>
      <c r="G1200">
        <v>0</v>
      </c>
      <c r="H1200">
        <v>0.37</v>
      </c>
      <c r="I1200">
        <v>0</v>
      </c>
      <c r="J1200">
        <v>1</v>
      </c>
      <c r="K1200">
        <v>0</v>
      </c>
      <c r="L1200">
        <v>4.97</v>
      </c>
      <c r="M1200">
        <v>0</v>
      </c>
      <c r="N1200">
        <v>0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1</v>
      </c>
      <c r="W1200">
        <v>0</v>
      </c>
      <c r="X1200">
        <v>0</v>
      </c>
      <c r="Y1200">
        <v>0</v>
      </c>
      <c r="Z1200">
        <v>0</v>
      </c>
      <c r="AA1200">
        <v>1</v>
      </c>
      <c r="AB1200">
        <v>0</v>
      </c>
      <c r="AC1200">
        <v>760</v>
      </c>
      <c r="AD1200">
        <v>0.5</v>
      </c>
      <c r="AE1200">
        <v>0</v>
      </c>
      <c r="AF1200">
        <v>1</v>
      </c>
      <c r="AG1200">
        <v>0</v>
      </c>
      <c r="AH1200">
        <v>600</v>
      </c>
      <c r="AI1200">
        <v>6</v>
      </c>
      <c r="AJ1200">
        <v>0</v>
      </c>
      <c r="AK1200">
        <v>1</v>
      </c>
      <c r="AL1200">
        <v>0</v>
      </c>
      <c r="AM1200">
        <v>0</v>
      </c>
      <c r="AN1200">
        <v>0</v>
      </c>
      <c r="AO1200">
        <v>0</v>
      </c>
      <c r="AP1200">
        <v>0</v>
      </c>
      <c r="AQ1200">
        <v>0</v>
      </c>
      <c r="AR1200">
        <v>0</v>
      </c>
      <c r="AS1200">
        <v>0</v>
      </c>
      <c r="AT1200">
        <f t="shared" si="56"/>
        <v>9.1536000000000008</v>
      </c>
      <c r="AU1200">
        <f t="shared" si="57"/>
        <v>5.1766666666666667</v>
      </c>
      <c r="AV1200">
        <f t="shared" si="55"/>
        <v>737.76499999999999</v>
      </c>
      <c r="AX1200">
        <v>1028</v>
      </c>
      <c r="AY1200">
        <v>1274</v>
      </c>
      <c r="AZ1200">
        <v>4</v>
      </c>
      <c r="BC1200" t="s">
        <v>208</v>
      </c>
    </row>
    <row r="1201" spans="3:55" x14ac:dyDescent="0.45">
      <c r="C1201">
        <v>80.477999999999994</v>
      </c>
      <c r="D1201">
        <v>5.01</v>
      </c>
      <c r="E1201">
        <v>4.9800000000000004</v>
      </c>
      <c r="F1201">
        <v>2.99</v>
      </c>
      <c r="G1201">
        <v>0</v>
      </c>
      <c r="H1201">
        <v>0.37</v>
      </c>
      <c r="I1201">
        <v>0</v>
      </c>
      <c r="J1201">
        <v>1</v>
      </c>
      <c r="K1201">
        <v>0</v>
      </c>
      <c r="L1201">
        <v>4.97</v>
      </c>
      <c r="M1201">
        <v>0</v>
      </c>
      <c r="N1201">
        <v>0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1</v>
      </c>
      <c r="W1201">
        <v>0</v>
      </c>
      <c r="X1201">
        <v>0</v>
      </c>
      <c r="Y1201">
        <v>0</v>
      </c>
      <c r="Z1201">
        <v>0</v>
      </c>
      <c r="AA1201">
        <v>1</v>
      </c>
      <c r="AB1201">
        <v>0</v>
      </c>
      <c r="AC1201">
        <v>730</v>
      </c>
      <c r="AD1201">
        <v>0.5</v>
      </c>
      <c r="AE1201">
        <v>0</v>
      </c>
      <c r="AF1201">
        <v>1</v>
      </c>
      <c r="AG1201">
        <v>0</v>
      </c>
      <c r="AH1201">
        <v>600</v>
      </c>
      <c r="AI1201">
        <v>6</v>
      </c>
      <c r="AJ1201">
        <v>0</v>
      </c>
      <c r="AK1201">
        <v>1</v>
      </c>
      <c r="AL1201">
        <v>0</v>
      </c>
      <c r="AM1201">
        <v>0</v>
      </c>
      <c r="AN1201">
        <v>0</v>
      </c>
      <c r="AO1201">
        <v>0</v>
      </c>
      <c r="AP1201">
        <v>0</v>
      </c>
      <c r="AQ1201">
        <v>0</v>
      </c>
      <c r="AR1201">
        <v>0</v>
      </c>
      <c r="AS1201">
        <v>0</v>
      </c>
      <c r="AT1201">
        <f t="shared" si="56"/>
        <v>9.1536000000000008</v>
      </c>
      <c r="AU1201">
        <f t="shared" si="57"/>
        <v>5.1766666666666667</v>
      </c>
      <c r="AV1201">
        <f t="shared" si="55"/>
        <v>737.76499999999999</v>
      </c>
      <c r="AX1201">
        <v>1175</v>
      </c>
      <c r="AY1201">
        <v>1240</v>
      </c>
      <c r="AZ1201">
        <v>4.5999999999999996</v>
      </c>
      <c r="BC1201" t="s">
        <v>208</v>
      </c>
    </row>
    <row r="1202" spans="3:55" x14ac:dyDescent="0.45">
      <c r="C1202">
        <v>80.477999999999994</v>
      </c>
      <c r="D1202">
        <v>5.01</v>
      </c>
      <c r="E1202">
        <v>4.9800000000000004</v>
      </c>
      <c r="F1202">
        <v>2.99</v>
      </c>
      <c r="G1202">
        <v>0</v>
      </c>
      <c r="H1202">
        <v>0.37</v>
      </c>
      <c r="I1202">
        <v>0</v>
      </c>
      <c r="J1202">
        <v>1</v>
      </c>
      <c r="K1202">
        <v>0</v>
      </c>
      <c r="L1202">
        <v>4.97</v>
      </c>
      <c r="M1202">
        <v>0</v>
      </c>
      <c r="N1202">
        <v>0</v>
      </c>
      <c r="O1202">
        <v>0</v>
      </c>
      <c r="P1202">
        <v>0</v>
      </c>
      <c r="Q1202">
        <v>0</v>
      </c>
      <c r="R1202">
        <v>0</v>
      </c>
      <c r="S1202">
        <v>0</v>
      </c>
      <c r="T1202">
        <v>0</v>
      </c>
      <c r="U1202">
        <v>0</v>
      </c>
      <c r="V1202">
        <v>1</v>
      </c>
      <c r="W1202">
        <v>0</v>
      </c>
      <c r="X1202">
        <v>0</v>
      </c>
      <c r="Y1202">
        <v>0</v>
      </c>
      <c r="Z1202">
        <v>0</v>
      </c>
      <c r="AA1202">
        <v>1</v>
      </c>
      <c r="AB1202">
        <v>0</v>
      </c>
      <c r="AC1202">
        <v>700</v>
      </c>
      <c r="AD1202">
        <v>0.5</v>
      </c>
      <c r="AE1202">
        <v>0</v>
      </c>
      <c r="AF1202">
        <v>1</v>
      </c>
      <c r="AG1202">
        <v>0</v>
      </c>
      <c r="AH1202">
        <v>600</v>
      </c>
      <c r="AI1202">
        <v>6</v>
      </c>
      <c r="AJ1202">
        <v>0</v>
      </c>
      <c r="AK1202">
        <v>1</v>
      </c>
      <c r="AL1202">
        <v>0</v>
      </c>
      <c r="AM1202">
        <v>0</v>
      </c>
      <c r="AN1202">
        <v>0</v>
      </c>
      <c r="AO1202">
        <v>0</v>
      </c>
      <c r="AP1202">
        <v>0</v>
      </c>
      <c r="AQ1202">
        <v>0</v>
      </c>
      <c r="AR1202">
        <v>0</v>
      </c>
      <c r="AS1202">
        <v>0</v>
      </c>
      <c r="AT1202">
        <f t="shared" si="56"/>
        <v>9.1536000000000008</v>
      </c>
      <c r="AU1202">
        <f t="shared" si="57"/>
        <v>5.1766666666666667</v>
      </c>
      <c r="AV1202">
        <f t="shared" si="55"/>
        <v>737.76499999999999</v>
      </c>
      <c r="AX1202">
        <v>1128</v>
      </c>
      <c r="AY1202">
        <v>1194</v>
      </c>
      <c r="AZ1202">
        <v>7.3</v>
      </c>
      <c r="BC1202" t="s">
        <v>208</v>
      </c>
    </row>
    <row r="1203" spans="3:55" x14ac:dyDescent="0.45">
      <c r="C1203">
        <v>82.656999999999996</v>
      </c>
      <c r="D1203">
        <v>5.0199999999999996</v>
      </c>
      <c r="E1203">
        <v>0</v>
      </c>
      <c r="F1203">
        <v>3.93</v>
      </c>
      <c r="G1203">
        <v>0</v>
      </c>
      <c r="H1203">
        <v>0.05</v>
      </c>
      <c r="I1203">
        <v>0</v>
      </c>
      <c r="J1203">
        <v>1.95</v>
      </c>
      <c r="K1203">
        <v>0</v>
      </c>
      <c r="L1203">
        <v>3.88</v>
      </c>
      <c r="M1203">
        <v>2.37</v>
      </c>
      <c r="N1203">
        <v>0</v>
      </c>
      <c r="O1203">
        <v>0</v>
      </c>
      <c r="P1203">
        <v>0</v>
      </c>
      <c r="Q1203">
        <v>0</v>
      </c>
      <c r="R1203">
        <v>0</v>
      </c>
      <c r="S1203">
        <v>0</v>
      </c>
      <c r="T1203">
        <v>0</v>
      </c>
      <c r="U1203">
        <v>0</v>
      </c>
      <c r="V1203">
        <v>1</v>
      </c>
      <c r="W1203">
        <v>820</v>
      </c>
      <c r="X1203">
        <v>20</v>
      </c>
      <c r="Y1203">
        <v>0</v>
      </c>
      <c r="Z1203">
        <v>0</v>
      </c>
      <c r="AA1203">
        <v>1</v>
      </c>
      <c r="AB1203">
        <v>0</v>
      </c>
      <c r="AC1203">
        <v>820</v>
      </c>
      <c r="AD1203">
        <v>4</v>
      </c>
      <c r="AE1203">
        <v>1</v>
      </c>
      <c r="AF1203">
        <v>0</v>
      </c>
      <c r="AG1203">
        <v>0</v>
      </c>
      <c r="AH1203">
        <v>630</v>
      </c>
      <c r="AI1203">
        <v>8</v>
      </c>
      <c r="AJ1203">
        <v>0</v>
      </c>
      <c r="AK1203">
        <v>1</v>
      </c>
      <c r="AL1203">
        <v>0</v>
      </c>
      <c r="AM1203">
        <v>0</v>
      </c>
      <c r="AN1203">
        <v>0</v>
      </c>
      <c r="AO1203">
        <v>0</v>
      </c>
      <c r="AP1203">
        <v>0</v>
      </c>
      <c r="AQ1203">
        <v>0</v>
      </c>
      <c r="AR1203">
        <v>0</v>
      </c>
      <c r="AS1203">
        <v>0</v>
      </c>
      <c r="AT1203">
        <f t="shared" si="56"/>
        <v>5.2929999999999993</v>
      </c>
      <c r="AU1203">
        <f t="shared" si="57"/>
        <v>6.1349999999999998</v>
      </c>
      <c r="AV1203">
        <f t="shared" si="55"/>
        <v>803.85799999999995</v>
      </c>
      <c r="BC1203" t="s">
        <v>211</v>
      </c>
    </row>
    <row r="1204" spans="3:55" x14ac:dyDescent="0.45">
      <c r="C1204">
        <v>82.656999999999996</v>
      </c>
      <c r="D1204">
        <v>5.0199999999999996</v>
      </c>
      <c r="E1204">
        <v>0</v>
      </c>
      <c r="F1204">
        <v>3.93</v>
      </c>
      <c r="G1204">
        <v>0</v>
      </c>
      <c r="H1204">
        <v>0.05</v>
      </c>
      <c r="I1204">
        <v>0</v>
      </c>
      <c r="J1204">
        <v>1.95</v>
      </c>
      <c r="K1204">
        <v>0</v>
      </c>
      <c r="L1204">
        <v>3.88</v>
      </c>
      <c r="M1204">
        <v>2.37</v>
      </c>
      <c r="N1204">
        <v>0</v>
      </c>
      <c r="O1204">
        <v>0</v>
      </c>
      <c r="P1204">
        <v>0</v>
      </c>
      <c r="Q1204">
        <v>0</v>
      </c>
      <c r="R1204">
        <v>0</v>
      </c>
      <c r="S1204">
        <v>0</v>
      </c>
      <c r="T1204">
        <v>0</v>
      </c>
      <c r="U1204">
        <v>0</v>
      </c>
      <c r="V1204">
        <v>1</v>
      </c>
      <c r="W1204">
        <v>820</v>
      </c>
      <c r="X1204">
        <v>40</v>
      </c>
      <c r="Y1204">
        <v>0</v>
      </c>
      <c r="Z1204">
        <v>0</v>
      </c>
      <c r="AA1204">
        <v>1</v>
      </c>
      <c r="AB1204">
        <v>0</v>
      </c>
      <c r="AC1204">
        <v>820</v>
      </c>
      <c r="AD1204">
        <v>4</v>
      </c>
      <c r="AE1204">
        <v>1</v>
      </c>
      <c r="AF1204">
        <v>0</v>
      </c>
      <c r="AG1204">
        <v>0</v>
      </c>
      <c r="AH1204">
        <v>630</v>
      </c>
      <c r="AI1204">
        <v>8</v>
      </c>
      <c r="AJ1204">
        <v>0</v>
      </c>
      <c r="AK1204">
        <v>1</v>
      </c>
      <c r="AL1204">
        <v>0</v>
      </c>
      <c r="AM1204">
        <v>0</v>
      </c>
      <c r="AN1204">
        <v>0</v>
      </c>
      <c r="AO1204">
        <v>0</v>
      </c>
      <c r="AP1204">
        <v>0</v>
      </c>
      <c r="AQ1204">
        <v>0</v>
      </c>
      <c r="AR1204">
        <v>0</v>
      </c>
      <c r="AS1204">
        <v>0</v>
      </c>
      <c r="AT1204">
        <f t="shared" si="56"/>
        <v>5.2929999999999993</v>
      </c>
      <c r="AU1204">
        <f t="shared" si="57"/>
        <v>6.1349999999999998</v>
      </c>
      <c r="AV1204">
        <f t="shared" si="55"/>
        <v>803.85799999999995</v>
      </c>
      <c r="BC1204" t="s">
        <v>211</v>
      </c>
    </row>
    <row r="1205" spans="3:55" x14ac:dyDescent="0.45">
      <c r="C1205">
        <v>82.656999999999996</v>
      </c>
      <c r="D1205">
        <v>5.0199999999999996</v>
      </c>
      <c r="E1205">
        <v>0</v>
      </c>
      <c r="F1205">
        <v>3.93</v>
      </c>
      <c r="G1205">
        <v>0</v>
      </c>
      <c r="H1205">
        <v>0.05</v>
      </c>
      <c r="I1205">
        <v>0</v>
      </c>
      <c r="J1205">
        <v>1.95</v>
      </c>
      <c r="K1205">
        <v>0</v>
      </c>
      <c r="L1205">
        <v>3.88</v>
      </c>
      <c r="M1205">
        <v>2.37</v>
      </c>
      <c r="N1205">
        <v>0</v>
      </c>
      <c r="O1205">
        <v>0</v>
      </c>
      <c r="P1205">
        <v>0</v>
      </c>
      <c r="Q1205">
        <v>0</v>
      </c>
      <c r="R1205">
        <v>0</v>
      </c>
      <c r="S1205">
        <v>0</v>
      </c>
      <c r="T1205">
        <v>0</v>
      </c>
      <c r="U1205">
        <v>0</v>
      </c>
      <c r="V1205">
        <v>1</v>
      </c>
      <c r="W1205">
        <v>820</v>
      </c>
      <c r="X1205">
        <v>60</v>
      </c>
      <c r="Y1205">
        <v>0</v>
      </c>
      <c r="Z1205">
        <v>0</v>
      </c>
      <c r="AA1205">
        <v>1</v>
      </c>
      <c r="AB1205">
        <v>0</v>
      </c>
      <c r="AC1205">
        <v>820</v>
      </c>
      <c r="AD1205">
        <v>4</v>
      </c>
      <c r="AE1205">
        <v>1</v>
      </c>
      <c r="AF1205">
        <v>0</v>
      </c>
      <c r="AG1205">
        <v>0</v>
      </c>
      <c r="AH1205">
        <v>630</v>
      </c>
      <c r="AI1205">
        <v>8</v>
      </c>
      <c r="AJ1205">
        <v>0</v>
      </c>
      <c r="AK1205">
        <v>1</v>
      </c>
      <c r="AL1205">
        <v>0</v>
      </c>
      <c r="AM1205">
        <v>0</v>
      </c>
      <c r="AN1205">
        <v>0</v>
      </c>
      <c r="AO1205">
        <v>0</v>
      </c>
      <c r="AP1205">
        <v>0</v>
      </c>
      <c r="AQ1205">
        <v>0</v>
      </c>
      <c r="AR1205">
        <v>0</v>
      </c>
      <c r="AS1205">
        <v>0</v>
      </c>
      <c r="AT1205">
        <f t="shared" si="56"/>
        <v>5.2929999999999993</v>
      </c>
      <c r="AU1205">
        <f t="shared" si="57"/>
        <v>6.1349999999999998</v>
      </c>
      <c r="AV1205">
        <f t="shared" si="55"/>
        <v>803.85799999999995</v>
      </c>
      <c r="BC1205" t="s">
        <v>211</v>
      </c>
    </row>
  </sheetData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3EB58-C346-4178-B0A6-50A7CB1020C2}">
  <dimension ref="A1:BC240"/>
  <sheetViews>
    <sheetView zoomScaleNormal="100" workbookViewId="0">
      <pane ySplit="1" topLeftCell="A2" activePane="bottomLeft" state="frozen"/>
      <selection activeCell="AU1" sqref="AU1"/>
      <selection pane="bottomLeft"/>
    </sheetView>
  </sheetViews>
  <sheetFormatPr defaultRowHeight="14" x14ac:dyDescent="0.45"/>
  <cols>
    <col min="1" max="1" width="3" bestFit="1" customWidth="1"/>
    <col min="2" max="2" width="9.234375" bestFit="1" customWidth="1"/>
    <col min="3" max="3" width="8.46875" bestFit="1" customWidth="1"/>
    <col min="4" max="6" width="5.46875" bestFit="1" customWidth="1"/>
    <col min="7" max="8" width="6.46875" bestFit="1" customWidth="1"/>
    <col min="9" max="9" width="5.46875" bestFit="1" customWidth="1"/>
    <col min="10" max="11" width="6.46875" bestFit="1" customWidth="1"/>
    <col min="12" max="12" width="7.46875" bestFit="1" customWidth="1"/>
    <col min="13" max="13" width="6.46875" bestFit="1" customWidth="1"/>
    <col min="14" max="14" width="3.234375" bestFit="1" customWidth="1"/>
    <col min="15" max="15" width="6.46875" bestFit="1" customWidth="1"/>
    <col min="16" max="16" width="3.234375" bestFit="1" customWidth="1"/>
    <col min="17" max="17" width="5.46875" bestFit="1" customWidth="1"/>
    <col min="18" max="20" width="7.46875" bestFit="1" customWidth="1"/>
    <col min="21" max="21" width="3.3515625" bestFit="1" customWidth="1"/>
    <col min="22" max="22" width="10.9375" bestFit="1" customWidth="1"/>
    <col min="23" max="23" width="9.64453125" bestFit="1" customWidth="1"/>
    <col min="24" max="24" width="12.64453125" bestFit="1" customWidth="1"/>
    <col min="25" max="25" width="16.3515625" bestFit="1" customWidth="1"/>
    <col min="26" max="26" width="15.9375" bestFit="1" customWidth="1"/>
    <col min="27" max="27" width="16.5859375" bestFit="1" customWidth="1"/>
    <col min="28" max="28" width="17.9375" customWidth="1"/>
    <col min="29" max="29" width="10.234375" bestFit="1" customWidth="1"/>
    <col min="30" max="30" width="12.64453125" bestFit="1" customWidth="1"/>
    <col min="31" max="31" width="11.9375" bestFit="1" customWidth="1"/>
    <col min="32" max="32" width="7.64453125" bestFit="1" customWidth="1"/>
    <col min="33" max="33" width="12.05859375" bestFit="1" customWidth="1"/>
    <col min="34" max="34" width="10.234375" bestFit="1" customWidth="1"/>
    <col min="35" max="35" width="12.64453125" bestFit="1" customWidth="1"/>
    <col min="36" max="36" width="11.9375" bestFit="1" customWidth="1"/>
    <col min="37" max="37" width="7.64453125" bestFit="1" customWidth="1"/>
    <col min="38" max="38" width="12.05859375" bestFit="1" customWidth="1"/>
    <col min="39" max="39" width="10.05859375" bestFit="1" customWidth="1"/>
    <col min="40" max="40" width="11.9375" bestFit="1" customWidth="1"/>
    <col min="41" max="41" width="10.5859375" bestFit="1" customWidth="1"/>
    <col min="42" max="42" width="17.9375" bestFit="1" customWidth="1"/>
    <col min="43" max="43" width="25.234375" bestFit="1" customWidth="1"/>
    <col min="44" max="44" width="13.46875" bestFit="1" customWidth="1"/>
    <col min="45" max="45" width="17.64453125" bestFit="1" customWidth="1"/>
    <col min="46" max="46" width="8.46875" bestFit="1" customWidth="1"/>
    <col min="47" max="47" width="12.64453125" bestFit="1" customWidth="1"/>
    <col min="48" max="48" width="16.234375" bestFit="1" customWidth="1"/>
    <col min="49" max="49" width="7.46875" bestFit="1" customWidth="1"/>
    <col min="50" max="51" width="5.46875" bestFit="1" customWidth="1"/>
    <col min="52" max="52" width="6.46875" bestFit="1" customWidth="1"/>
    <col min="53" max="53" width="4.46875" bestFit="1" customWidth="1"/>
    <col min="54" max="54" width="7.46875" customWidth="1"/>
  </cols>
  <sheetData>
    <row r="1" spans="1:55" x14ac:dyDescent="0.45">
      <c r="A1" s="1" t="s">
        <v>0</v>
      </c>
      <c r="B1" s="1" t="s">
        <v>47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7" t="s">
        <v>640</v>
      </c>
      <c r="W1" s="3" t="s">
        <v>20</v>
      </c>
      <c r="X1" s="3" t="s">
        <v>21</v>
      </c>
      <c r="Y1" s="3" t="s">
        <v>637</v>
      </c>
      <c r="Z1" s="3" t="s">
        <v>22</v>
      </c>
      <c r="AA1" s="3" t="s">
        <v>23</v>
      </c>
      <c r="AB1" s="3" t="s">
        <v>24</v>
      </c>
      <c r="AC1" s="6" t="s">
        <v>25</v>
      </c>
      <c r="AD1" s="6" t="s">
        <v>26</v>
      </c>
      <c r="AE1" s="6" t="s">
        <v>29</v>
      </c>
      <c r="AF1" s="6" t="s">
        <v>30</v>
      </c>
      <c r="AG1" s="6" t="s">
        <v>31</v>
      </c>
      <c r="AH1" s="6" t="s">
        <v>27</v>
      </c>
      <c r="AI1" s="6" t="s">
        <v>28</v>
      </c>
      <c r="AJ1" s="6" t="s">
        <v>32</v>
      </c>
      <c r="AK1" s="6" t="s">
        <v>33</v>
      </c>
      <c r="AL1" s="6" t="s">
        <v>34</v>
      </c>
      <c r="AM1" s="4" t="s">
        <v>642</v>
      </c>
      <c r="AN1" s="4" t="s">
        <v>35</v>
      </c>
      <c r="AO1" s="4" t="s">
        <v>36</v>
      </c>
      <c r="AP1" s="4" t="s">
        <v>37</v>
      </c>
      <c r="AQ1" s="4" t="s">
        <v>38</v>
      </c>
      <c r="AR1" s="4" t="s">
        <v>39</v>
      </c>
      <c r="AS1" s="4" t="s">
        <v>40</v>
      </c>
      <c r="AT1" s="4" t="s">
        <v>358</v>
      </c>
      <c r="AU1" s="4" t="s">
        <v>634</v>
      </c>
      <c r="AV1" s="4" t="s">
        <v>638</v>
      </c>
      <c r="AW1" s="5" t="s">
        <v>41</v>
      </c>
      <c r="AX1" s="5" t="s">
        <v>43</v>
      </c>
      <c r="AY1" s="5" t="s">
        <v>45</v>
      </c>
      <c r="AZ1" s="5" t="s">
        <v>46</v>
      </c>
      <c r="BA1" s="5" t="s">
        <v>218</v>
      </c>
      <c r="BB1" t="s">
        <v>219</v>
      </c>
      <c r="BC1" t="s">
        <v>48</v>
      </c>
    </row>
    <row r="2" spans="1:55" x14ac:dyDescent="0.45">
      <c r="C2">
        <v>93</v>
      </c>
      <c r="D2">
        <v>0</v>
      </c>
      <c r="E2">
        <v>0</v>
      </c>
      <c r="F2">
        <v>0</v>
      </c>
      <c r="G2">
        <v>0</v>
      </c>
      <c r="H2">
        <v>7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1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f>L2+0.67*E2+0.44*P2+0.28*K2+0.22*O2+2.9*H2+1.6*F2+1.7*G2-D2</f>
        <v>20.3</v>
      </c>
      <c r="AU2">
        <f t="shared" ref="AU2:AU65" si="0">D2+J2/6+M2/3+(T2+S2)/10</f>
        <v>0</v>
      </c>
      <c r="AV2">
        <f t="shared" ref="AV2:AV65" si="1">882+2.1*D2-9.5*L2+4.2*M2-6.9*J2-11.8*E2-12.1*F2-15.4*H2+23.3*Q2+123*T2</f>
        <v>774.2</v>
      </c>
      <c r="AW2">
        <v>130</v>
      </c>
      <c r="AX2">
        <v>1874</v>
      </c>
      <c r="AY2">
        <v>1990</v>
      </c>
      <c r="AZ2">
        <v>7.9</v>
      </c>
      <c r="BC2" t="s">
        <v>359</v>
      </c>
    </row>
    <row r="3" spans="1:55" x14ac:dyDescent="0.45">
      <c r="C3">
        <v>92</v>
      </c>
      <c r="D3">
        <v>0</v>
      </c>
      <c r="E3">
        <v>0</v>
      </c>
      <c r="F3">
        <v>0</v>
      </c>
      <c r="G3">
        <v>0</v>
      </c>
      <c r="H3">
        <v>7</v>
      </c>
      <c r="I3">
        <v>0</v>
      </c>
      <c r="J3">
        <v>0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1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f t="shared" ref="AT3:AT66" si="2">L3+0.67*E3+0.44*P3+0.28*K3+0.22*O3+2.9*H3+1.6*F3+1.7*G3-D3</f>
        <v>20.580000000000002</v>
      </c>
      <c r="AU3">
        <f t="shared" si="0"/>
        <v>0</v>
      </c>
      <c r="AV3">
        <f t="shared" si="1"/>
        <v>774.2</v>
      </c>
      <c r="AW3">
        <v>124</v>
      </c>
      <c r="AX3">
        <v>1785</v>
      </c>
      <c r="AY3">
        <v>1972</v>
      </c>
      <c r="AZ3">
        <v>10</v>
      </c>
      <c r="BC3" t="s">
        <v>360</v>
      </c>
    </row>
    <row r="4" spans="1:55" x14ac:dyDescent="0.45">
      <c r="C4">
        <v>89</v>
      </c>
      <c r="D4">
        <v>0</v>
      </c>
      <c r="E4">
        <v>0</v>
      </c>
      <c r="F4">
        <v>0</v>
      </c>
      <c r="G4">
        <v>0</v>
      </c>
      <c r="H4">
        <v>7</v>
      </c>
      <c r="I4">
        <v>0</v>
      </c>
      <c r="J4">
        <v>0</v>
      </c>
      <c r="K4">
        <v>4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1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f t="shared" si="2"/>
        <v>21.42</v>
      </c>
      <c r="AU4">
        <f t="shared" si="0"/>
        <v>0</v>
      </c>
      <c r="AV4">
        <f t="shared" si="1"/>
        <v>774.2</v>
      </c>
      <c r="AW4">
        <v>115</v>
      </c>
      <c r="AX4">
        <v>1539</v>
      </c>
      <c r="AY4">
        <v>2093</v>
      </c>
      <c r="AZ4">
        <v>24.3</v>
      </c>
      <c r="BC4" t="s">
        <v>359</v>
      </c>
    </row>
    <row r="5" spans="1:55" x14ac:dyDescent="0.45">
      <c r="C5">
        <v>87</v>
      </c>
      <c r="D5">
        <v>0</v>
      </c>
      <c r="E5">
        <v>0</v>
      </c>
      <c r="F5">
        <v>0</v>
      </c>
      <c r="G5">
        <v>0</v>
      </c>
      <c r="H5">
        <v>7</v>
      </c>
      <c r="I5">
        <v>0</v>
      </c>
      <c r="J5">
        <v>0</v>
      </c>
      <c r="K5">
        <v>6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1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f t="shared" si="2"/>
        <v>21.98</v>
      </c>
      <c r="AU5">
        <f t="shared" si="0"/>
        <v>0</v>
      </c>
      <c r="AV5">
        <f t="shared" si="1"/>
        <v>774.2</v>
      </c>
      <c r="AW5">
        <v>97</v>
      </c>
      <c r="AX5">
        <v>1144</v>
      </c>
      <c r="AY5">
        <v>2014</v>
      </c>
      <c r="AZ5">
        <v>32.1</v>
      </c>
      <c r="BC5" t="s">
        <v>359</v>
      </c>
    </row>
    <row r="6" spans="1:55" x14ac:dyDescent="0.45">
      <c r="C6">
        <v>88.238399999999999</v>
      </c>
      <c r="D6">
        <v>0</v>
      </c>
      <c r="E6">
        <v>0</v>
      </c>
      <c r="F6">
        <v>0</v>
      </c>
      <c r="G6">
        <v>11.5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9.5999999999999992E-3</v>
      </c>
      <c r="S6">
        <v>9.5999999999999992E-3</v>
      </c>
      <c r="T6">
        <v>0.252</v>
      </c>
      <c r="U6">
        <v>0</v>
      </c>
      <c r="V6">
        <v>0</v>
      </c>
      <c r="W6">
        <v>0</v>
      </c>
      <c r="X6">
        <v>0</v>
      </c>
      <c r="Y6">
        <v>1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f t="shared" si="2"/>
        <v>19.55</v>
      </c>
      <c r="AU6">
        <f t="shared" si="0"/>
        <v>2.6159999999999999E-2</v>
      </c>
      <c r="AV6">
        <f t="shared" si="1"/>
        <v>912.99599999999998</v>
      </c>
      <c r="AW6">
        <v>96</v>
      </c>
      <c r="AX6">
        <v>932</v>
      </c>
      <c r="AY6">
        <v>973</v>
      </c>
      <c r="AZ6">
        <v>2.6</v>
      </c>
      <c r="BA6">
        <v>291</v>
      </c>
      <c r="BC6" t="s">
        <v>361</v>
      </c>
    </row>
    <row r="7" spans="1:55" x14ac:dyDescent="0.45">
      <c r="C7">
        <v>86.421899999999994</v>
      </c>
      <c r="D7">
        <v>0</v>
      </c>
      <c r="E7">
        <v>0</v>
      </c>
      <c r="F7">
        <v>0</v>
      </c>
      <c r="G7">
        <v>13.3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8.0999999999999996E-3</v>
      </c>
      <c r="S7">
        <v>8.0999999999999996E-3</v>
      </c>
      <c r="T7">
        <v>0.27</v>
      </c>
      <c r="U7">
        <v>0</v>
      </c>
      <c r="V7">
        <v>0</v>
      </c>
      <c r="W7">
        <v>0</v>
      </c>
      <c r="X7">
        <v>0</v>
      </c>
      <c r="Y7">
        <v>1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f t="shared" si="2"/>
        <v>22.61</v>
      </c>
      <c r="AU7">
        <f t="shared" si="0"/>
        <v>2.7810000000000001E-2</v>
      </c>
      <c r="AV7">
        <f t="shared" si="1"/>
        <v>915.21</v>
      </c>
      <c r="AW7">
        <v>99</v>
      </c>
      <c r="AY7">
        <v>938</v>
      </c>
      <c r="AZ7">
        <v>0.65</v>
      </c>
      <c r="BC7" t="s">
        <v>361</v>
      </c>
    </row>
    <row r="8" spans="1:55" x14ac:dyDescent="0.45">
      <c r="C8">
        <v>87.271000000000001</v>
      </c>
      <c r="D8">
        <v>0</v>
      </c>
      <c r="E8">
        <v>0</v>
      </c>
      <c r="F8">
        <v>0</v>
      </c>
      <c r="G8">
        <v>12.65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2.3999999999999998E-3</v>
      </c>
      <c r="S8">
        <v>4.3E-3</v>
      </c>
      <c r="T8">
        <v>7.4700000000000003E-2</v>
      </c>
      <c r="U8">
        <v>0</v>
      </c>
      <c r="V8">
        <v>0</v>
      </c>
      <c r="W8">
        <v>0</v>
      </c>
      <c r="X8">
        <v>0</v>
      </c>
      <c r="Y8">
        <v>1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f t="shared" si="2"/>
        <v>21.504999999999999</v>
      </c>
      <c r="AU8">
        <f t="shared" si="0"/>
        <v>7.9000000000000008E-3</v>
      </c>
      <c r="AV8">
        <f t="shared" si="1"/>
        <v>891.18809999999996</v>
      </c>
      <c r="AW8">
        <v>100</v>
      </c>
      <c r="AY8">
        <v>939</v>
      </c>
      <c r="AZ8">
        <v>13</v>
      </c>
      <c r="BA8">
        <v>312</v>
      </c>
      <c r="BC8" t="s">
        <v>362</v>
      </c>
    </row>
    <row r="9" spans="1:55" x14ac:dyDescent="0.45">
      <c r="C9">
        <v>84.312700000000007</v>
      </c>
      <c r="D9">
        <v>0</v>
      </c>
      <c r="E9">
        <v>0</v>
      </c>
      <c r="F9">
        <v>0</v>
      </c>
      <c r="G9">
        <v>15.4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1.23E-2</v>
      </c>
      <c r="S9">
        <v>1.23E-2</v>
      </c>
      <c r="T9">
        <v>0.27500000000000002</v>
      </c>
      <c r="U9">
        <v>0</v>
      </c>
      <c r="V9">
        <v>0</v>
      </c>
      <c r="W9">
        <v>0</v>
      </c>
      <c r="X9">
        <v>0</v>
      </c>
      <c r="Y9">
        <v>1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f t="shared" si="2"/>
        <v>26.18</v>
      </c>
      <c r="AU9">
        <f t="shared" si="0"/>
        <v>2.8729999999999999E-2</v>
      </c>
      <c r="AV9">
        <f t="shared" si="1"/>
        <v>915.82500000000005</v>
      </c>
      <c r="AW9">
        <v>98</v>
      </c>
      <c r="AY9">
        <v>677</v>
      </c>
      <c r="BC9" t="s">
        <v>363</v>
      </c>
    </row>
    <row r="10" spans="1:55" x14ac:dyDescent="0.45">
      <c r="C10">
        <v>82.576499999999996</v>
      </c>
      <c r="D10">
        <v>0</v>
      </c>
      <c r="E10">
        <v>0</v>
      </c>
      <c r="F10">
        <v>0</v>
      </c>
      <c r="G10">
        <v>17.100000000000001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7.4999999999999997E-3</v>
      </c>
      <c r="S10">
        <v>7.4999999999999997E-3</v>
      </c>
      <c r="T10">
        <v>0.316</v>
      </c>
      <c r="U10">
        <v>0</v>
      </c>
      <c r="V10">
        <v>0</v>
      </c>
      <c r="W10">
        <v>0</v>
      </c>
      <c r="X10">
        <v>0</v>
      </c>
      <c r="Y10">
        <v>1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f t="shared" si="2"/>
        <v>29.07</v>
      </c>
      <c r="AU10">
        <f t="shared" si="0"/>
        <v>3.2350000000000004E-2</v>
      </c>
      <c r="AV10">
        <f t="shared" si="1"/>
        <v>920.86800000000005</v>
      </c>
      <c r="AW10">
        <v>103</v>
      </c>
      <c r="AY10">
        <v>339</v>
      </c>
      <c r="BA10">
        <v>317</v>
      </c>
      <c r="BC10" t="s">
        <v>363</v>
      </c>
    </row>
    <row r="11" spans="1:55" x14ac:dyDescent="0.45">
      <c r="C11">
        <v>82.288800000000009</v>
      </c>
      <c r="D11">
        <v>0</v>
      </c>
      <c r="E11">
        <v>0</v>
      </c>
      <c r="F11">
        <v>0</v>
      </c>
      <c r="G11">
        <v>17.649999999999999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7.3000000000000001E-3</v>
      </c>
      <c r="S11">
        <v>2.0999999999999999E-3</v>
      </c>
      <c r="T11">
        <v>5.91E-2</v>
      </c>
      <c r="U11">
        <v>0</v>
      </c>
      <c r="V11">
        <v>0</v>
      </c>
      <c r="W11">
        <v>0</v>
      </c>
      <c r="X11">
        <v>0</v>
      </c>
      <c r="Y11">
        <v>1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f t="shared" si="2"/>
        <v>30.004999999999995</v>
      </c>
      <c r="AU11">
        <f t="shared" si="0"/>
        <v>6.1199999999999996E-3</v>
      </c>
      <c r="AV11">
        <f t="shared" si="1"/>
        <v>889.26930000000004</v>
      </c>
      <c r="AW11">
        <v>105</v>
      </c>
      <c r="AY11">
        <v>246</v>
      </c>
      <c r="AZ11">
        <v>0.1</v>
      </c>
      <c r="BA11">
        <v>336</v>
      </c>
      <c r="BC11" t="s">
        <v>362</v>
      </c>
    </row>
    <row r="12" spans="1:55" x14ac:dyDescent="0.45">
      <c r="C12">
        <v>94.321899999999999</v>
      </c>
      <c r="D12">
        <v>0</v>
      </c>
      <c r="E12">
        <v>0</v>
      </c>
      <c r="F12">
        <v>0</v>
      </c>
      <c r="G12">
        <v>5.6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3.5999999999999999E-3</v>
      </c>
      <c r="S12">
        <v>4.4999999999999997E-3</v>
      </c>
      <c r="T12">
        <v>7.3599999999999999E-2</v>
      </c>
      <c r="U12">
        <v>0</v>
      </c>
      <c r="V12">
        <v>1</v>
      </c>
      <c r="W12">
        <v>900</v>
      </c>
      <c r="X12">
        <v>0</v>
      </c>
      <c r="Y12">
        <v>0</v>
      </c>
      <c r="Z12">
        <v>1</v>
      </c>
      <c r="AA12">
        <v>1</v>
      </c>
      <c r="AB12">
        <v>0</v>
      </c>
      <c r="AC12">
        <v>1000</v>
      </c>
      <c r="AD12">
        <v>6</v>
      </c>
      <c r="AE12">
        <v>0</v>
      </c>
      <c r="AF12">
        <v>0</v>
      </c>
      <c r="AG12">
        <v>0</v>
      </c>
      <c r="AH12">
        <v>900</v>
      </c>
      <c r="AI12">
        <v>1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f t="shared" si="2"/>
        <v>9.52</v>
      </c>
      <c r="AU12">
        <f t="shared" si="0"/>
        <v>7.8100000000000001E-3</v>
      </c>
      <c r="AV12">
        <f t="shared" si="1"/>
        <v>891.05280000000005</v>
      </c>
      <c r="AW12">
        <v>129</v>
      </c>
      <c r="BA12">
        <v>469</v>
      </c>
      <c r="BC12" t="s">
        <v>362</v>
      </c>
    </row>
    <row r="13" spans="1:55" x14ac:dyDescent="0.45">
      <c r="C13">
        <v>92.200599999999994</v>
      </c>
      <c r="D13">
        <v>0</v>
      </c>
      <c r="E13">
        <v>0</v>
      </c>
      <c r="F13">
        <v>0</v>
      </c>
      <c r="G13">
        <v>7.56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6.4000000000000003E-3</v>
      </c>
      <c r="S13">
        <v>6.4000000000000003E-3</v>
      </c>
      <c r="T13">
        <v>0.23300000000000001</v>
      </c>
      <c r="U13">
        <v>0</v>
      </c>
      <c r="V13">
        <v>0</v>
      </c>
      <c r="W13">
        <v>0</v>
      </c>
      <c r="X13">
        <v>0</v>
      </c>
      <c r="Y13">
        <v>1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f t="shared" si="2"/>
        <v>12.851999999999999</v>
      </c>
      <c r="AU13">
        <f t="shared" si="0"/>
        <v>2.3939999999999999E-2</v>
      </c>
      <c r="AV13">
        <f t="shared" si="1"/>
        <v>910.65899999999999</v>
      </c>
      <c r="AW13">
        <v>87</v>
      </c>
      <c r="AX13">
        <v>1094</v>
      </c>
      <c r="AY13">
        <v>1162</v>
      </c>
      <c r="AZ13">
        <v>1.5</v>
      </c>
      <c r="BC13" t="s">
        <v>363</v>
      </c>
    </row>
    <row r="14" spans="1:55" x14ac:dyDescent="0.45">
      <c r="C14">
        <v>90.453699999999998</v>
      </c>
      <c r="D14">
        <v>0</v>
      </c>
      <c r="E14">
        <v>0</v>
      </c>
      <c r="F14">
        <v>0</v>
      </c>
      <c r="G14">
        <v>9.4700000000000006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3.0999999999999999E-3</v>
      </c>
      <c r="S14">
        <v>3.5999999999999999E-3</v>
      </c>
      <c r="T14">
        <v>7.2700000000000001E-2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f t="shared" si="2"/>
        <v>16.099</v>
      </c>
      <c r="AU14">
        <f t="shared" si="0"/>
        <v>7.6300000000000005E-3</v>
      </c>
      <c r="AV14">
        <f t="shared" si="1"/>
        <v>890.94209999999998</v>
      </c>
      <c r="AW14">
        <v>94</v>
      </c>
      <c r="AY14">
        <v>1048</v>
      </c>
      <c r="AZ14">
        <v>19</v>
      </c>
      <c r="BA14">
        <v>338</v>
      </c>
      <c r="BC14" t="s">
        <v>362</v>
      </c>
    </row>
    <row r="15" spans="1:55" x14ac:dyDescent="0.45">
      <c r="C15">
        <v>90.457899999999995</v>
      </c>
      <c r="D15">
        <v>0</v>
      </c>
      <c r="E15">
        <v>0</v>
      </c>
      <c r="F15">
        <v>0</v>
      </c>
      <c r="G15">
        <v>9.2899999999999991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8.0999999999999996E-3</v>
      </c>
      <c r="S15">
        <v>8.0999999999999996E-3</v>
      </c>
      <c r="T15">
        <v>0.24399999999999999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f t="shared" si="2"/>
        <v>15.792999999999997</v>
      </c>
      <c r="AU15">
        <f t="shared" si="0"/>
        <v>2.521E-2</v>
      </c>
      <c r="AV15">
        <f t="shared" si="1"/>
        <v>912.01199999999994</v>
      </c>
      <c r="AW15">
        <v>89</v>
      </c>
      <c r="AX15">
        <v>992</v>
      </c>
      <c r="AY15">
        <v>1046</v>
      </c>
      <c r="AZ15">
        <v>4.7</v>
      </c>
      <c r="BC15" t="s">
        <v>363</v>
      </c>
    </row>
    <row r="16" spans="1:55" x14ac:dyDescent="0.45">
      <c r="C16">
        <v>91.942999999999998</v>
      </c>
      <c r="D16">
        <v>0</v>
      </c>
      <c r="E16">
        <v>0</v>
      </c>
      <c r="F16">
        <v>0</v>
      </c>
      <c r="G16">
        <v>5.07</v>
      </c>
      <c r="H16">
        <v>0</v>
      </c>
      <c r="I16">
        <v>0</v>
      </c>
      <c r="J16">
        <v>0</v>
      </c>
      <c r="K16">
        <v>0</v>
      </c>
      <c r="L16">
        <v>2.92</v>
      </c>
      <c r="M16">
        <v>0</v>
      </c>
      <c r="N16">
        <v>0</v>
      </c>
      <c r="O16">
        <v>0</v>
      </c>
      <c r="P16">
        <v>0</v>
      </c>
      <c r="Q16">
        <v>0</v>
      </c>
      <c r="R16">
        <v>1.54E-2</v>
      </c>
      <c r="S16">
        <v>0</v>
      </c>
      <c r="T16">
        <v>6.7000000000000004E-2</v>
      </c>
      <c r="U16">
        <v>0</v>
      </c>
      <c r="V16">
        <v>1</v>
      </c>
      <c r="W16">
        <v>900</v>
      </c>
      <c r="X16">
        <v>0</v>
      </c>
      <c r="Y16">
        <v>0</v>
      </c>
      <c r="Z16">
        <v>1</v>
      </c>
      <c r="AA16">
        <v>1</v>
      </c>
      <c r="AB16">
        <v>0</v>
      </c>
      <c r="AC16">
        <v>1000</v>
      </c>
      <c r="AD16">
        <v>6</v>
      </c>
      <c r="AE16">
        <v>1</v>
      </c>
      <c r="AF16">
        <v>0</v>
      </c>
      <c r="AG16">
        <v>0</v>
      </c>
      <c r="AH16">
        <v>900</v>
      </c>
      <c r="AI16">
        <v>6</v>
      </c>
      <c r="AJ16">
        <v>1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f t="shared" si="2"/>
        <v>11.539</v>
      </c>
      <c r="AU16">
        <f t="shared" si="0"/>
        <v>6.7000000000000002E-3</v>
      </c>
      <c r="AV16">
        <f t="shared" si="1"/>
        <v>862.50099999999998</v>
      </c>
      <c r="AW16">
        <v>100</v>
      </c>
      <c r="AX16">
        <v>855</v>
      </c>
      <c r="AY16">
        <v>920</v>
      </c>
      <c r="AZ16">
        <v>18</v>
      </c>
      <c r="BA16">
        <v>372</v>
      </c>
      <c r="BC16" t="s">
        <v>364</v>
      </c>
    </row>
    <row r="17" spans="3:55" x14ac:dyDescent="0.45">
      <c r="C17">
        <v>91.0154</v>
      </c>
      <c r="D17">
        <v>0</v>
      </c>
      <c r="E17">
        <v>0</v>
      </c>
      <c r="F17">
        <v>0</v>
      </c>
      <c r="G17">
        <v>4.99</v>
      </c>
      <c r="H17">
        <v>0</v>
      </c>
      <c r="I17">
        <v>0</v>
      </c>
      <c r="J17">
        <v>0</v>
      </c>
      <c r="K17">
        <v>0</v>
      </c>
      <c r="L17">
        <v>3.98</v>
      </c>
      <c r="M17">
        <v>0</v>
      </c>
      <c r="N17">
        <v>0</v>
      </c>
      <c r="O17">
        <v>0</v>
      </c>
      <c r="P17">
        <v>0</v>
      </c>
      <c r="Q17">
        <v>0</v>
      </c>
      <c r="R17">
        <v>1.46E-2</v>
      </c>
      <c r="S17">
        <v>0</v>
      </c>
      <c r="T17">
        <v>1.46E-2</v>
      </c>
      <c r="U17">
        <v>0</v>
      </c>
      <c r="V17">
        <v>1</v>
      </c>
      <c r="W17">
        <v>900</v>
      </c>
      <c r="X17">
        <v>0</v>
      </c>
      <c r="Y17">
        <v>0</v>
      </c>
      <c r="Z17">
        <v>1</v>
      </c>
      <c r="AA17">
        <v>1</v>
      </c>
      <c r="AB17">
        <v>0</v>
      </c>
      <c r="AC17">
        <v>1000</v>
      </c>
      <c r="AD17">
        <v>6</v>
      </c>
      <c r="AE17">
        <v>1</v>
      </c>
      <c r="AF17">
        <v>0</v>
      </c>
      <c r="AG17">
        <v>0</v>
      </c>
      <c r="AH17">
        <v>900</v>
      </c>
      <c r="AI17">
        <v>6</v>
      </c>
      <c r="AJ17">
        <v>1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f t="shared" si="2"/>
        <v>12.463000000000001</v>
      </c>
      <c r="AU17">
        <f t="shared" si="0"/>
        <v>1.4599999999999999E-3</v>
      </c>
      <c r="AV17">
        <f t="shared" si="1"/>
        <v>845.98580000000004</v>
      </c>
      <c r="AW17">
        <v>91</v>
      </c>
      <c r="AX17">
        <v>815</v>
      </c>
      <c r="AY17">
        <v>815</v>
      </c>
      <c r="AZ17">
        <v>34</v>
      </c>
      <c r="BC17" t="s">
        <v>364</v>
      </c>
    </row>
    <row r="18" spans="3:55" x14ac:dyDescent="0.45">
      <c r="C18">
        <v>90.700299999999999</v>
      </c>
      <c r="D18">
        <v>0</v>
      </c>
      <c r="E18">
        <v>0</v>
      </c>
      <c r="F18">
        <v>0</v>
      </c>
      <c r="G18">
        <v>6.32</v>
      </c>
      <c r="H18">
        <v>0</v>
      </c>
      <c r="I18">
        <v>0</v>
      </c>
      <c r="J18">
        <v>0</v>
      </c>
      <c r="K18">
        <v>0</v>
      </c>
      <c r="L18">
        <v>2.97</v>
      </c>
      <c r="M18">
        <v>0</v>
      </c>
      <c r="N18">
        <v>0</v>
      </c>
      <c r="O18">
        <v>0</v>
      </c>
      <c r="P18">
        <v>0</v>
      </c>
      <c r="Q18">
        <v>0</v>
      </c>
      <c r="R18">
        <v>1.44E-2</v>
      </c>
      <c r="S18">
        <v>0</v>
      </c>
      <c r="T18">
        <v>9.7000000000000003E-3</v>
      </c>
      <c r="U18">
        <v>0</v>
      </c>
      <c r="V18">
        <v>1</v>
      </c>
      <c r="W18">
        <v>900</v>
      </c>
      <c r="X18">
        <v>0</v>
      </c>
      <c r="Y18">
        <v>0</v>
      </c>
      <c r="Z18">
        <v>1</v>
      </c>
      <c r="AA18">
        <v>1</v>
      </c>
      <c r="AB18">
        <v>0</v>
      </c>
      <c r="AC18">
        <v>1000</v>
      </c>
      <c r="AD18">
        <v>6</v>
      </c>
      <c r="AE18">
        <v>1</v>
      </c>
      <c r="AF18">
        <v>0</v>
      </c>
      <c r="AG18">
        <v>0</v>
      </c>
      <c r="AH18">
        <v>900</v>
      </c>
      <c r="AI18">
        <v>6</v>
      </c>
      <c r="AJ18">
        <v>1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f t="shared" si="2"/>
        <v>13.714</v>
      </c>
      <c r="AU18">
        <f t="shared" si="0"/>
        <v>9.7000000000000005E-4</v>
      </c>
      <c r="AV18">
        <f t="shared" si="1"/>
        <v>854.97809999999993</v>
      </c>
      <c r="AW18">
        <v>91</v>
      </c>
      <c r="AX18">
        <v>1200</v>
      </c>
      <c r="AY18">
        <v>1220</v>
      </c>
      <c r="AZ18">
        <v>14</v>
      </c>
      <c r="BC18" t="s">
        <v>364</v>
      </c>
    </row>
    <row r="19" spans="3:55" x14ac:dyDescent="0.45">
      <c r="C19">
        <v>89.915599999999998</v>
      </c>
      <c r="D19">
        <v>0</v>
      </c>
      <c r="E19">
        <v>0</v>
      </c>
      <c r="F19">
        <v>0</v>
      </c>
      <c r="G19">
        <v>6.27</v>
      </c>
      <c r="H19">
        <v>0</v>
      </c>
      <c r="I19">
        <v>0</v>
      </c>
      <c r="J19">
        <v>0</v>
      </c>
      <c r="K19">
        <v>0</v>
      </c>
      <c r="L19">
        <v>3.8</v>
      </c>
      <c r="M19">
        <v>0</v>
      </c>
      <c r="N19">
        <v>0</v>
      </c>
      <c r="O19">
        <v>0</v>
      </c>
      <c r="P19">
        <v>0</v>
      </c>
      <c r="Q19">
        <v>0</v>
      </c>
      <c r="R19">
        <v>1.44E-2</v>
      </c>
      <c r="S19">
        <v>0</v>
      </c>
      <c r="T19">
        <v>1.44E-2</v>
      </c>
      <c r="U19">
        <v>0</v>
      </c>
      <c r="V19">
        <v>1</v>
      </c>
      <c r="W19">
        <v>900</v>
      </c>
      <c r="X19">
        <v>0</v>
      </c>
      <c r="Y19">
        <v>0</v>
      </c>
      <c r="Z19">
        <v>1</v>
      </c>
      <c r="AA19">
        <v>1</v>
      </c>
      <c r="AB19">
        <v>0</v>
      </c>
      <c r="AC19">
        <v>1000</v>
      </c>
      <c r="AD19">
        <v>6</v>
      </c>
      <c r="AE19">
        <v>1</v>
      </c>
      <c r="AF19">
        <v>0</v>
      </c>
      <c r="AG19">
        <v>0</v>
      </c>
      <c r="AH19">
        <v>900</v>
      </c>
      <c r="AI19">
        <v>6</v>
      </c>
      <c r="AJ19">
        <v>1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f t="shared" si="2"/>
        <v>14.459</v>
      </c>
      <c r="AU19">
        <f t="shared" si="0"/>
        <v>1.4399999999999999E-3</v>
      </c>
      <c r="AV19">
        <f t="shared" si="1"/>
        <v>847.6712</v>
      </c>
      <c r="AW19">
        <v>89</v>
      </c>
      <c r="AX19">
        <v>1090</v>
      </c>
      <c r="AY19">
        <v>1105</v>
      </c>
      <c r="AZ19">
        <v>15</v>
      </c>
      <c r="BA19">
        <v>336</v>
      </c>
      <c r="BC19" t="s">
        <v>364</v>
      </c>
    </row>
    <row r="20" spans="3:55" x14ac:dyDescent="0.45">
      <c r="C20">
        <v>89.98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10.02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f t="shared" si="2"/>
        <v>10.02</v>
      </c>
      <c r="AU20">
        <f t="shared" si="0"/>
        <v>0</v>
      </c>
      <c r="AV20">
        <f t="shared" si="1"/>
        <v>786.81</v>
      </c>
      <c r="AW20">
        <v>112.99</v>
      </c>
      <c r="AX20">
        <v>741</v>
      </c>
      <c r="AY20">
        <v>663</v>
      </c>
      <c r="AZ20">
        <v>0.71</v>
      </c>
      <c r="BA20">
        <v>474</v>
      </c>
      <c r="BC20" t="s">
        <v>365</v>
      </c>
    </row>
    <row r="21" spans="3:55" x14ac:dyDescent="0.45">
      <c r="C21">
        <v>89.17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10.83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f t="shared" si="2"/>
        <v>10.83</v>
      </c>
      <c r="AU21">
        <f t="shared" si="0"/>
        <v>0</v>
      </c>
      <c r="AV21">
        <f t="shared" si="1"/>
        <v>779.11500000000001</v>
      </c>
      <c r="AW21">
        <v>105.17</v>
      </c>
      <c r="AY21">
        <v>885</v>
      </c>
      <c r="AZ21">
        <v>0.35</v>
      </c>
      <c r="BA21">
        <v>441</v>
      </c>
      <c r="BC21" t="s">
        <v>365</v>
      </c>
    </row>
    <row r="22" spans="3:55" x14ac:dyDescent="0.45">
      <c r="C22">
        <v>88.22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11.78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1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f t="shared" si="2"/>
        <v>11.78</v>
      </c>
      <c r="AU22">
        <f t="shared" si="0"/>
        <v>0</v>
      </c>
      <c r="AV22">
        <f t="shared" si="1"/>
        <v>770.09</v>
      </c>
      <c r="AW22">
        <v>133.15</v>
      </c>
      <c r="BA22">
        <v>390</v>
      </c>
      <c r="BC22" t="s">
        <v>366</v>
      </c>
    </row>
    <row r="23" spans="3:55" x14ac:dyDescent="0.45">
      <c r="C23">
        <v>87.11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12.89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1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f t="shared" si="2"/>
        <v>12.89</v>
      </c>
      <c r="AU23">
        <f t="shared" si="0"/>
        <v>0</v>
      </c>
      <c r="AV23">
        <f t="shared" si="1"/>
        <v>759.54499999999996</v>
      </c>
      <c r="AW23">
        <v>104.47</v>
      </c>
      <c r="AY23">
        <v>643</v>
      </c>
      <c r="AZ23">
        <v>0.09</v>
      </c>
      <c r="BA23">
        <v>413</v>
      </c>
      <c r="BC23" t="s">
        <v>365</v>
      </c>
    </row>
    <row r="24" spans="3:55" x14ac:dyDescent="0.45">
      <c r="C24">
        <v>84.95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15.05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1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f t="shared" si="2"/>
        <v>15.05</v>
      </c>
      <c r="AU24">
        <f t="shared" si="0"/>
        <v>0</v>
      </c>
      <c r="AV24">
        <f t="shared" si="1"/>
        <v>739.02499999999998</v>
      </c>
      <c r="AW24">
        <v>70.48</v>
      </c>
      <c r="AX24">
        <v>542</v>
      </c>
      <c r="AY24">
        <v>593</v>
      </c>
      <c r="AZ24">
        <v>0.14000000000000001</v>
      </c>
      <c r="BA24">
        <v>350</v>
      </c>
      <c r="BC24" t="s">
        <v>365</v>
      </c>
    </row>
    <row r="25" spans="3:55" x14ac:dyDescent="0.45">
      <c r="C25">
        <v>96.944599999999994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3.0554000000000001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1</v>
      </c>
      <c r="Z25">
        <v>0</v>
      </c>
      <c r="AA25">
        <v>0</v>
      </c>
      <c r="AB25">
        <v>0</v>
      </c>
      <c r="AC25">
        <v>900</v>
      </c>
      <c r="AD25">
        <v>8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f t="shared" si="2"/>
        <v>3.0554000000000001</v>
      </c>
      <c r="AU25">
        <f t="shared" si="0"/>
        <v>0</v>
      </c>
      <c r="AV25">
        <f t="shared" si="1"/>
        <v>852.97370000000001</v>
      </c>
      <c r="AW25">
        <v>83.8</v>
      </c>
      <c r="BC25" t="s">
        <v>367</v>
      </c>
    </row>
    <row r="26" spans="3:55" x14ac:dyDescent="0.45">
      <c r="C26">
        <v>92.5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7.5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1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f t="shared" si="2"/>
        <v>7.5</v>
      </c>
      <c r="AU26">
        <f t="shared" si="0"/>
        <v>0</v>
      </c>
      <c r="AV26">
        <f t="shared" si="1"/>
        <v>810.75</v>
      </c>
      <c r="AW26">
        <v>70</v>
      </c>
      <c r="AX26">
        <v>737</v>
      </c>
      <c r="AY26">
        <v>1019</v>
      </c>
      <c r="AZ26">
        <v>16</v>
      </c>
      <c r="BA26">
        <v>301</v>
      </c>
      <c r="BC26" t="s">
        <v>368</v>
      </c>
    </row>
    <row r="27" spans="3:55" x14ac:dyDescent="0.45">
      <c r="C27">
        <v>91.994399999999999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8.0055999999999994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1</v>
      </c>
      <c r="Z27">
        <v>0</v>
      </c>
      <c r="AA27">
        <v>0</v>
      </c>
      <c r="AB27">
        <v>0</v>
      </c>
      <c r="AC27">
        <v>900</v>
      </c>
      <c r="AD27">
        <v>8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f t="shared" si="2"/>
        <v>8.0055999999999994</v>
      </c>
      <c r="AU27">
        <f t="shared" si="0"/>
        <v>0</v>
      </c>
      <c r="AV27">
        <f t="shared" si="1"/>
        <v>805.94680000000005</v>
      </c>
      <c r="AW27">
        <v>82.98</v>
      </c>
      <c r="BC27" t="s">
        <v>367</v>
      </c>
    </row>
    <row r="28" spans="3:55" x14ac:dyDescent="0.45">
      <c r="C28">
        <v>92.5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7.5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1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f t="shared" si="2"/>
        <v>7.5</v>
      </c>
      <c r="AU28">
        <f t="shared" si="0"/>
        <v>0</v>
      </c>
      <c r="AV28">
        <f t="shared" si="1"/>
        <v>810.75</v>
      </c>
      <c r="AW28">
        <v>70</v>
      </c>
      <c r="AY28">
        <v>806</v>
      </c>
      <c r="AZ28">
        <v>42</v>
      </c>
      <c r="BC28" t="s">
        <v>369</v>
      </c>
    </row>
    <row r="29" spans="3:55" x14ac:dyDescent="0.45">
      <c r="C29">
        <v>78.099999999999994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10.8</v>
      </c>
      <c r="L29">
        <v>11.1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1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f t="shared" si="2"/>
        <v>14.124000000000001</v>
      </c>
      <c r="AU29">
        <f t="shared" si="0"/>
        <v>0</v>
      </c>
      <c r="AV29">
        <f t="shared" si="1"/>
        <v>776.55</v>
      </c>
      <c r="AW29">
        <v>56.9</v>
      </c>
      <c r="BA29">
        <v>312</v>
      </c>
      <c r="BC29" t="s">
        <v>366</v>
      </c>
    </row>
    <row r="30" spans="3:55" x14ac:dyDescent="0.45">
      <c r="C30">
        <v>78.099999999999994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10.8</v>
      </c>
      <c r="L30">
        <v>11.1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1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f t="shared" si="2"/>
        <v>14.124000000000001</v>
      </c>
      <c r="AU30">
        <f t="shared" si="0"/>
        <v>0</v>
      </c>
      <c r="AV30">
        <f t="shared" si="1"/>
        <v>776.55</v>
      </c>
      <c r="AW30">
        <v>57</v>
      </c>
      <c r="AX30">
        <v>654</v>
      </c>
      <c r="AY30">
        <v>875</v>
      </c>
      <c r="AZ30">
        <v>0.61</v>
      </c>
      <c r="BC30" t="s">
        <v>370</v>
      </c>
    </row>
    <row r="31" spans="3:55" x14ac:dyDescent="0.45">
      <c r="C31">
        <v>80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8</v>
      </c>
      <c r="L31">
        <v>12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1</v>
      </c>
      <c r="W31">
        <v>0</v>
      </c>
      <c r="X31">
        <v>80</v>
      </c>
      <c r="Y31">
        <v>0</v>
      </c>
      <c r="Z31">
        <v>0</v>
      </c>
      <c r="AA31">
        <v>1</v>
      </c>
      <c r="AB31">
        <v>0</v>
      </c>
      <c r="AC31">
        <v>780</v>
      </c>
      <c r="AD31">
        <v>0</v>
      </c>
      <c r="AE31">
        <v>1</v>
      </c>
      <c r="AF31">
        <v>0</v>
      </c>
      <c r="AG31">
        <v>0</v>
      </c>
      <c r="AH31">
        <v>950</v>
      </c>
      <c r="AI31">
        <v>1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f t="shared" si="2"/>
        <v>14.24</v>
      </c>
      <c r="AU31">
        <f t="shared" si="0"/>
        <v>0</v>
      </c>
      <c r="AV31">
        <f t="shared" si="1"/>
        <v>768</v>
      </c>
      <c r="AW31">
        <v>91</v>
      </c>
      <c r="AX31">
        <v>528</v>
      </c>
      <c r="AY31">
        <v>716</v>
      </c>
      <c r="AZ31">
        <v>33</v>
      </c>
      <c r="BC31" t="s">
        <v>371</v>
      </c>
    </row>
    <row r="32" spans="3:55" x14ac:dyDescent="0.45">
      <c r="C32">
        <v>93.2</v>
      </c>
      <c r="D32">
        <v>0</v>
      </c>
      <c r="E32">
        <v>0.45</v>
      </c>
      <c r="F32">
        <v>0.02</v>
      </c>
      <c r="G32">
        <v>0</v>
      </c>
      <c r="H32">
        <v>0.05</v>
      </c>
      <c r="I32">
        <v>0.09</v>
      </c>
      <c r="J32">
        <v>0</v>
      </c>
      <c r="K32">
        <v>2.79</v>
      </c>
      <c r="L32">
        <v>3.15</v>
      </c>
      <c r="M32">
        <v>0</v>
      </c>
      <c r="N32">
        <v>0</v>
      </c>
      <c r="O32">
        <v>0</v>
      </c>
      <c r="P32">
        <v>0</v>
      </c>
      <c r="Q32">
        <v>0.04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1</v>
      </c>
      <c r="Z32">
        <v>0</v>
      </c>
      <c r="AA32">
        <v>0</v>
      </c>
      <c r="AB32">
        <v>0</v>
      </c>
      <c r="AC32">
        <v>1100</v>
      </c>
      <c r="AD32">
        <v>7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f t="shared" si="2"/>
        <v>4.4096999999999991</v>
      </c>
      <c r="AU32">
        <f t="shared" si="0"/>
        <v>0</v>
      </c>
      <c r="AV32">
        <f t="shared" si="1"/>
        <v>846.68500000000017</v>
      </c>
      <c r="AW32">
        <v>102.6</v>
      </c>
      <c r="BA32">
        <v>354</v>
      </c>
      <c r="BC32" t="s">
        <v>372</v>
      </c>
    </row>
    <row r="33" spans="3:55" x14ac:dyDescent="0.45">
      <c r="C33">
        <v>81.739999999999995</v>
      </c>
      <c r="D33">
        <v>0</v>
      </c>
      <c r="E33">
        <v>0</v>
      </c>
      <c r="F33">
        <v>0.26</v>
      </c>
      <c r="G33">
        <v>0</v>
      </c>
      <c r="H33">
        <v>0</v>
      </c>
      <c r="I33">
        <v>0</v>
      </c>
      <c r="J33">
        <v>0</v>
      </c>
      <c r="K33">
        <v>2.8</v>
      </c>
      <c r="L33">
        <v>15</v>
      </c>
      <c r="M33">
        <v>0</v>
      </c>
      <c r="N33">
        <v>0</v>
      </c>
      <c r="O33">
        <v>0</v>
      </c>
      <c r="P33">
        <v>0</v>
      </c>
      <c r="Q33">
        <v>0.2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1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f t="shared" si="2"/>
        <v>16.2</v>
      </c>
      <c r="AU33">
        <f t="shared" si="0"/>
        <v>0</v>
      </c>
      <c r="AV33">
        <f t="shared" si="1"/>
        <v>741.01400000000001</v>
      </c>
      <c r="AW33">
        <v>80</v>
      </c>
      <c r="BC33" t="s">
        <v>373</v>
      </c>
    </row>
    <row r="34" spans="3:55" x14ac:dyDescent="0.45">
      <c r="C34">
        <v>84.8</v>
      </c>
      <c r="D34">
        <v>0</v>
      </c>
      <c r="E34">
        <v>0.59</v>
      </c>
      <c r="F34">
        <v>0.03</v>
      </c>
      <c r="G34">
        <v>0</v>
      </c>
      <c r="H34">
        <v>0.05</v>
      </c>
      <c r="I34">
        <v>0.11</v>
      </c>
      <c r="J34">
        <v>0</v>
      </c>
      <c r="K34">
        <v>4.55</v>
      </c>
      <c r="L34">
        <v>5.75</v>
      </c>
      <c r="M34">
        <v>3.93</v>
      </c>
      <c r="N34">
        <v>0</v>
      </c>
      <c r="O34">
        <v>0</v>
      </c>
      <c r="P34">
        <v>0</v>
      </c>
      <c r="Q34">
        <v>0.04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1</v>
      </c>
      <c r="Z34">
        <v>0</v>
      </c>
      <c r="AA34">
        <v>0</v>
      </c>
      <c r="AB34">
        <v>0</v>
      </c>
      <c r="AC34">
        <v>1100</v>
      </c>
      <c r="AD34">
        <v>7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f t="shared" si="2"/>
        <v>7.6122999999999994</v>
      </c>
      <c r="AU34">
        <f t="shared" si="0"/>
        <v>1.31</v>
      </c>
      <c r="AV34">
        <f t="shared" si="1"/>
        <v>836.71799999999996</v>
      </c>
      <c r="AW34">
        <v>104.6</v>
      </c>
      <c r="BA34">
        <v>296</v>
      </c>
      <c r="BC34" t="s">
        <v>374</v>
      </c>
    </row>
    <row r="35" spans="3:55" x14ac:dyDescent="0.45">
      <c r="C35">
        <v>81.5</v>
      </c>
      <c r="D35">
        <v>0</v>
      </c>
      <c r="E35">
        <v>0.5</v>
      </c>
      <c r="F35">
        <v>0.04</v>
      </c>
      <c r="G35">
        <v>0</v>
      </c>
      <c r="H35">
        <v>0.04</v>
      </c>
      <c r="I35">
        <v>0.01</v>
      </c>
      <c r="J35">
        <v>0</v>
      </c>
      <c r="K35">
        <v>3.92</v>
      </c>
      <c r="L35">
        <v>5.0599999999999996</v>
      </c>
      <c r="M35">
        <v>8.06</v>
      </c>
      <c r="N35">
        <v>0</v>
      </c>
      <c r="O35">
        <v>0</v>
      </c>
      <c r="P35">
        <v>0</v>
      </c>
      <c r="Q35">
        <v>0.04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1</v>
      </c>
      <c r="Z35">
        <v>0</v>
      </c>
      <c r="AA35">
        <v>0</v>
      </c>
      <c r="AB35">
        <v>0</v>
      </c>
      <c r="AC35">
        <v>1100</v>
      </c>
      <c r="AD35">
        <v>7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f t="shared" si="2"/>
        <v>6.6725999999999992</v>
      </c>
      <c r="AU35">
        <f t="shared" si="0"/>
        <v>2.686666666666667</v>
      </c>
      <c r="AV35">
        <f t="shared" si="1"/>
        <v>861.71400000000006</v>
      </c>
      <c r="AW35">
        <v>98.2</v>
      </c>
      <c r="BA35">
        <v>351</v>
      </c>
      <c r="BC35" t="s">
        <v>374</v>
      </c>
    </row>
    <row r="36" spans="3:55" x14ac:dyDescent="0.45">
      <c r="C36">
        <v>82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4</v>
      </c>
      <c r="K36">
        <v>6</v>
      </c>
      <c r="L36">
        <v>8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1</v>
      </c>
      <c r="W36">
        <v>820</v>
      </c>
      <c r="X36">
        <v>80</v>
      </c>
      <c r="Y36">
        <v>0</v>
      </c>
      <c r="Z36">
        <v>0</v>
      </c>
      <c r="AA36">
        <v>1</v>
      </c>
      <c r="AB36">
        <v>0</v>
      </c>
      <c r="AC36">
        <v>950</v>
      </c>
      <c r="AD36">
        <v>2</v>
      </c>
      <c r="AE36">
        <v>1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f t="shared" si="2"/>
        <v>9.68</v>
      </c>
      <c r="AU36">
        <f t="shared" si="0"/>
        <v>0.66666666666666663</v>
      </c>
      <c r="AV36">
        <f t="shared" si="1"/>
        <v>778.4</v>
      </c>
      <c r="AW36">
        <v>72</v>
      </c>
      <c r="AX36">
        <v>899</v>
      </c>
      <c r="AZ36">
        <v>15</v>
      </c>
      <c r="BC36" t="s">
        <v>375</v>
      </c>
    </row>
    <row r="37" spans="3:55" x14ac:dyDescent="0.45">
      <c r="C37">
        <v>84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3</v>
      </c>
      <c r="K37">
        <v>5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1</v>
      </c>
      <c r="Z37">
        <v>0</v>
      </c>
      <c r="AA37">
        <v>0</v>
      </c>
      <c r="AB37">
        <v>0</v>
      </c>
      <c r="AC37">
        <v>1000</v>
      </c>
      <c r="AD37">
        <v>24</v>
      </c>
      <c r="AE37">
        <v>1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f t="shared" si="2"/>
        <v>1.4000000000000001</v>
      </c>
      <c r="AU37">
        <f t="shared" si="0"/>
        <v>0.5</v>
      </c>
      <c r="AV37">
        <f t="shared" si="1"/>
        <v>861.3</v>
      </c>
      <c r="AW37">
        <v>69</v>
      </c>
      <c r="AX37">
        <v>947</v>
      </c>
      <c r="AZ37">
        <v>21</v>
      </c>
      <c r="BC37" t="s">
        <v>375</v>
      </c>
    </row>
    <row r="38" spans="3:55" x14ac:dyDescent="0.45">
      <c r="C38">
        <v>86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2</v>
      </c>
      <c r="K38">
        <v>4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1</v>
      </c>
      <c r="Z38">
        <v>0</v>
      </c>
      <c r="AA38">
        <v>0</v>
      </c>
      <c r="AB38">
        <v>0</v>
      </c>
      <c r="AC38">
        <v>1000</v>
      </c>
      <c r="AD38">
        <v>24</v>
      </c>
      <c r="AE38">
        <v>1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f t="shared" si="2"/>
        <v>1.1200000000000001</v>
      </c>
      <c r="AU38">
        <f t="shared" si="0"/>
        <v>0.33333333333333331</v>
      </c>
      <c r="AV38">
        <f t="shared" si="1"/>
        <v>868.2</v>
      </c>
      <c r="AW38">
        <v>35.4</v>
      </c>
      <c r="AX38">
        <v>798</v>
      </c>
      <c r="AZ38">
        <v>15</v>
      </c>
      <c r="BC38" t="s">
        <v>375</v>
      </c>
    </row>
    <row r="39" spans="3:55" x14ac:dyDescent="0.45">
      <c r="C39">
        <v>83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12</v>
      </c>
      <c r="M39">
        <v>0</v>
      </c>
      <c r="N39">
        <v>0</v>
      </c>
      <c r="O39">
        <v>5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1</v>
      </c>
      <c r="Z39">
        <v>0</v>
      </c>
      <c r="AA39">
        <v>0</v>
      </c>
      <c r="AB39">
        <v>0</v>
      </c>
      <c r="AC39">
        <v>950</v>
      </c>
      <c r="AD39">
        <v>1</v>
      </c>
      <c r="AE39">
        <v>1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f t="shared" si="2"/>
        <v>13.1</v>
      </c>
      <c r="AU39">
        <f t="shared" si="0"/>
        <v>0</v>
      </c>
      <c r="AV39">
        <f t="shared" si="1"/>
        <v>768</v>
      </c>
      <c r="AW39">
        <v>74</v>
      </c>
      <c r="BA39">
        <v>303</v>
      </c>
      <c r="BC39" t="s">
        <v>376</v>
      </c>
    </row>
    <row r="40" spans="3:55" x14ac:dyDescent="0.45">
      <c r="C40">
        <v>83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12</v>
      </c>
      <c r="M40">
        <v>0</v>
      </c>
      <c r="N40">
        <v>0</v>
      </c>
      <c r="O40">
        <v>5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1</v>
      </c>
      <c r="Z40">
        <v>0</v>
      </c>
      <c r="AA40">
        <v>0</v>
      </c>
      <c r="AB40">
        <v>0</v>
      </c>
      <c r="AC40">
        <v>950</v>
      </c>
      <c r="AD40">
        <v>1</v>
      </c>
      <c r="AE40">
        <v>1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f t="shared" si="2"/>
        <v>13.1</v>
      </c>
      <c r="AU40">
        <f t="shared" si="0"/>
        <v>0</v>
      </c>
      <c r="AV40">
        <f t="shared" si="1"/>
        <v>768</v>
      </c>
      <c r="AW40">
        <v>74</v>
      </c>
      <c r="BA40">
        <v>303</v>
      </c>
      <c r="BC40" t="s">
        <v>377</v>
      </c>
    </row>
    <row r="41" spans="3:55" x14ac:dyDescent="0.45">
      <c r="C41">
        <v>83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5</v>
      </c>
      <c r="K41">
        <v>0</v>
      </c>
      <c r="L41">
        <v>12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1000</v>
      </c>
      <c r="AD41">
        <v>1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f t="shared" si="2"/>
        <v>12</v>
      </c>
      <c r="AU41">
        <f t="shared" si="0"/>
        <v>0.83333333333333337</v>
      </c>
      <c r="AV41">
        <f t="shared" si="1"/>
        <v>733.5</v>
      </c>
      <c r="AW41">
        <v>90.9</v>
      </c>
      <c r="AX41">
        <v>956</v>
      </c>
      <c r="AY41">
        <v>1028</v>
      </c>
      <c r="AZ41">
        <v>4.0999999999999996</v>
      </c>
      <c r="BA41">
        <v>396</v>
      </c>
      <c r="BC41" t="s">
        <v>378</v>
      </c>
    </row>
    <row r="42" spans="3:55" x14ac:dyDescent="0.45">
      <c r="C42">
        <v>83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5</v>
      </c>
      <c r="K42">
        <v>0</v>
      </c>
      <c r="L42">
        <v>12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1000</v>
      </c>
      <c r="AD42">
        <v>1</v>
      </c>
      <c r="AE42">
        <v>0</v>
      </c>
      <c r="AF42">
        <v>0</v>
      </c>
      <c r="AG42">
        <v>0</v>
      </c>
      <c r="AH42">
        <v>780</v>
      </c>
      <c r="AI42">
        <v>1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f t="shared" si="2"/>
        <v>12</v>
      </c>
      <c r="AU42">
        <f t="shared" si="0"/>
        <v>0.83333333333333337</v>
      </c>
      <c r="AV42">
        <f t="shared" si="1"/>
        <v>733.5</v>
      </c>
      <c r="AW42">
        <v>78.599999999999994</v>
      </c>
      <c r="AX42">
        <v>540</v>
      </c>
      <c r="AY42">
        <v>695</v>
      </c>
      <c r="AZ42">
        <v>3.9</v>
      </c>
      <c r="BA42">
        <v>427</v>
      </c>
      <c r="BC42" t="s">
        <v>378</v>
      </c>
    </row>
    <row r="43" spans="3:55" x14ac:dyDescent="0.45">
      <c r="C43">
        <v>83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5</v>
      </c>
      <c r="K43">
        <v>0</v>
      </c>
      <c r="L43">
        <v>12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1000</v>
      </c>
      <c r="AD43">
        <v>1</v>
      </c>
      <c r="AE43">
        <v>0</v>
      </c>
      <c r="AF43">
        <v>0</v>
      </c>
      <c r="AG43">
        <v>0</v>
      </c>
      <c r="AH43">
        <v>860</v>
      </c>
      <c r="AI43">
        <v>1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f t="shared" si="2"/>
        <v>12</v>
      </c>
      <c r="AU43">
        <f t="shared" si="0"/>
        <v>0.83333333333333337</v>
      </c>
      <c r="AV43">
        <f t="shared" si="1"/>
        <v>733.5</v>
      </c>
      <c r="AW43">
        <v>64.5</v>
      </c>
      <c r="AX43">
        <v>509</v>
      </c>
      <c r="AY43">
        <v>628</v>
      </c>
      <c r="AZ43">
        <v>4.7</v>
      </c>
      <c r="BA43">
        <v>442</v>
      </c>
      <c r="BC43" t="s">
        <v>378</v>
      </c>
    </row>
    <row r="44" spans="3:55" x14ac:dyDescent="0.45">
      <c r="C44">
        <v>81.873099999999994</v>
      </c>
      <c r="D44">
        <v>2.93</v>
      </c>
      <c r="E44">
        <v>0</v>
      </c>
      <c r="F44">
        <v>0</v>
      </c>
      <c r="G44">
        <v>0</v>
      </c>
      <c r="H44">
        <v>4.2999999999999997E-2</v>
      </c>
      <c r="I44">
        <v>0</v>
      </c>
      <c r="J44">
        <v>0</v>
      </c>
      <c r="K44">
        <v>0</v>
      </c>
      <c r="L44">
        <v>14.97</v>
      </c>
      <c r="M44">
        <v>0</v>
      </c>
      <c r="N44">
        <v>0</v>
      </c>
      <c r="O44">
        <v>0</v>
      </c>
      <c r="P44">
        <v>0</v>
      </c>
      <c r="Q44">
        <v>0</v>
      </c>
      <c r="R44">
        <v>6.0000000000000001E-3</v>
      </c>
      <c r="S44">
        <v>1.29E-2</v>
      </c>
      <c r="T44">
        <v>0.16500000000000001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785</v>
      </c>
      <c r="AD44">
        <v>1</v>
      </c>
      <c r="AE44">
        <v>1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f t="shared" si="2"/>
        <v>12.164700000000002</v>
      </c>
      <c r="AU44">
        <f t="shared" si="0"/>
        <v>2.9477900000000004</v>
      </c>
      <c r="AV44">
        <f t="shared" si="1"/>
        <v>765.57079999999996</v>
      </c>
      <c r="AZ44">
        <v>23</v>
      </c>
      <c r="BC44" t="s">
        <v>379</v>
      </c>
    </row>
    <row r="45" spans="3:55" x14ac:dyDescent="0.45">
      <c r="C45">
        <v>80.257199999999997</v>
      </c>
      <c r="D45">
        <v>0</v>
      </c>
      <c r="E45">
        <v>0</v>
      </c>
      <c r="F45">
        <v>0</v>
      </c>
      <c r="G45">
        <v>0</v>
      </c>
      <c r="H45">
        <v>4.5999999999999999E-2</v>
      </c>
      <c r="I45">
        <v>0</v>
      </c>
      <c r="J45">
        <v>4.76</v>
      </c>
      <c r="K45">
        <v>0</v>
      </c>
      <c r="L45">
        <v>14.74</v>
      </c>
      <c r="M45">
        <v>0</v>
      </c>
      <c r="N45">
        <v>0</v>
      </c>
      <c r="O45">
        <v>0</v>
      </c>
      <c r="P45">
        <v>0</v>
      </c>
      <c r="Q45">
        <v>0</v>
      </c>
      <c r="R45">
        <v>8.0000000000000002E-3</v>
      </c>
      <c r="S45">
        <v>5.7999999999999996E-3</v>
      </c>
      <c r="T45">
        <v>0.183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730</v>
      </c>
      <c r="AD45">
        <v>1</v>
      </c>
      <c r="AE45">
        <v>1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f t="shared" si="2"/>
        <v>14.8734</v>
      </c>
      <c r="AU45">
        <f t="shared" si="0"/>
        <v>0.81221333333333334</v>
      </c>
      <c r="AV45">
        <f t="shared" si="1"/>
        <v>730.92660000000001</v>
      </c>
      <c r="AZ45">
        <v>32</v>
      </c>
      <c r="BC45" t="s">
        <v>379</v>
      </c>
    </row>
    <row r="46" spans="3:55" x14ac:dyDescent="0.45">
      <c r="C46">
        <v>81.75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7</v>
      </c>
      <c r="K46">
        <v>0</v>
      </c>
      <c r="L46">
        <v>10</v>
      </c>
      <c r="M46">
        <v>0</v>
      </c>
      <c r="N46">
        <v>0</v>
      </c>
      <c r="O46">
        <v>0</v>
      </c>
      <c r="P46">
        <v>0</v>
      </c>
      <c r="Q46">
        <v>1.25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f t="shared" si="2"/>
        <v>10</v>
      </c>
      <c r="AU46">
        <f t="shared" si="0"/>
        <v>1.1666666666666667</v>
      </c>
      <c r="AV46">
        <f t="shared" si="1"/>
        <v>767.82500000000005</v>
      </c>
      <c r="AW46">
        <v>29.533999999999999</v>
      </c>
      <c r="BC46" t="s">
        <v>380</v>
      </c>
    </row>
    <row r="47" spans="3:55" x14ac:dyDescent="0.45">
      <c r="C47">
        <v>80</v>
      </c>
      <c r="D47">
        <v>0</v>
      </c>
      <c r="E47">
        <v>0</v>
      </c>
      <c r="F47">
        <v>0</v>
      </c>
      <c r="G47">
        <v>0</v>
      </c>
      <c r="H47">
        <v>2</v>
      </c>
      <c r="I47">
        <v>0</v>
      </c>
      <c r="J47">
        <v>6</v>
      </c>
      <c r="K47">
        <v>0</v>
      </c>
      <c r="L47">
        <v>12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1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f t="shared" si="2"/>
        <v>17.8</v>
      </c>
      <c r="AU47">
        <f t="shared" si="0"/>
        <v>1</v>
      </c>
      <c r="AV47">
        <f t="shared" si="1"/>
        <v>695.80000000000007</v>
      </c>
      <c r="AW47">
        <v>107.1</v>
      </c>
      <c r="AX47">
        <v>1291</v>
      </c>
      <c r="AZ47">
        <v>1.3</v>
      </c>
      <c r="BA47">
        <v>488</v>
      </c>
      <c r="BC47" t="s">
        <v>381</v>
      </c>
    </row>
    <row r="48" spans="3:55" x14ac:dyDescent="0.45">
      <c r="C48">
        <v>80</v>
      </c>
      <c r="D48">
        <v>0</v>
      </c>
      <c r="E48">
        <v>0</v>
      </c>
      <c r="F48">
        <v>0</v>
      </c>
      <c r="G48">
        <v>0</v>
      </c>
      <c r="H48">
        <v>2</v>
      </c>
      <c r="I48">
        <v>0</v>
      </c>
      <c r="J48">
        <v>6</v>
      </c>
      <c r="K48">
        <v>0</v>
      </c>
      <c r="L48">
        <v>12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1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f t="shared" si="2"/>
        <v>17.8</v>
      </c>
      <c r="AU48">
        <f t="shared" si="0"/>
        <v>1</v>
      </c>
      <c r="AV48">
        <f t="shared" si="1"/>
        <v>695.80000000000007</v>
      </c>
      <c r="AW48">
        <v>85.7</v>
      </c>
      <c r="AX48">
        <v>1026</v>
      </c>
      <c r="AY48">
        <v>1026</v>
      </c>
      <c r="AZ48">
        <v>12.7</v>
      </c>
      <c r="BA48">
        <v>343</v>
      </c>
      <c r="BC48" t="s">
        <v>381</v>
      </c>
    </row>
    <row r="49" spans="3:55" x14ac:dyDescent="0.45">
      <c r="C49">
        <v>80</v>
      </c>
      <c r="D49">
        <v>0</v>
      </c>
      <c r="E49">
        <v>0</v>
      </c>
      <c r="F49">
        <v>0</v>
      </c>
      <c r="G49">
        <v>0</v>
      </c>
      <c r="H49">
        <v>2</v>
      </c>
      <c r="I49">
        <v>0</v>
      </c>
      <c r="J49">
        <v>6</v>
      </c>
      <c r="K49">
        <v>0</v>
      </c>
      <c r="L49">
        <v>12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1</v>
      </c>
      <c r="Z49">
        <v>0</v>
      </c>
      <c r="AA49">
        <v>0</v>
      </c>
      <c r="AB49">
        <v>0</v>
      </c>
      <c r="AC49">
        <v>1000</v>
      </c>
      <c r="AD49">
        <v>1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f t="shared" si="2"/>
        <v>17.8</v>
      </c>
      <c r="AU49">
        <f t="shared" si="0"/>
        <v>1</v>
      </c>
      <c r="AV49">
        <f t="shared" si="1"/>
        <v>695.80000000000007</v>
      </c>
      <c r="AW49">
        <v>70.900000000000006</v>
      </c>
      <c r="AX49">
        <v>988</v>
      </c>
      <c r="AY49">
        <v>943</v>
      </c>
      <c r="AZ49">
        <v>12</v>
      </c>
      <c r="BA49">
        <v>326</v>
      </c>
      <c r="BC49" t="s">
        <v>381</v>
      </c>
    </row>
    <row r="50" spans="3:55" x14ac:dyDescent="0.45">
      <c r="C50">
        <v>83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2</v>
      </c>
      <c r="K50">
        <v>4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1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f t="shared" si="2"/>
        <v>1.1200000000000001</v>
      </c>
      <c r="AU50">
        <f t="shared" si="0"/>
        <v>0.33333333333333331</v>
      </c>
      <c r="AV50">
        <f t="shared" si="1"/>
        <v>868.2</v>
      </c>
      <c r="AW50">
        <v>52</v>
      </c>
      <c r="AX50">
        <v>483</v>
      </c>
      <c r="AZ50">
        <v>26</v>
      </c>
      <c r="BC50" t="s">
        <v>375</v>
      </c>
    </row>
    <row r="51" spans="3:55" x14ac:dyDescent="0.45">
      <c r="C51">
        <v>84.75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4</v>
      </c>
      <c r="K51">
        <v>0</v>
      </c>
      <c r="L51">
        <v>10</v>
      </c>
      <c r="M51">
        <v>0</v>
      </c>
      <c r="N51">
        <v>0</v>
      </c>
      <c r="O51">
        <v>0</v>
      </c>
      <c r="P51">
        <v>0</v>
      </c>
      <c r="Q51">
        <v>1.25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1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f t="shared" si="2"/>
        <v>10</v>
      </c>
      <c r="AU51">
        <f t="shared" si="0"/>
        <v>0.66666666666666663</v>
      </c>
      <c r="AV51">
        <f t="shared" si="1"/>
        <v>788.52499999999998</v>
      </c>
      <c r="AW51">
        <v>23.085999999999999</v>
      </c>
      <c r="AX51">
        <v>825</v>
      </c>
      <c r="BC51" t="s">
        <v>380</v>
      </c>
    </row>
    <row r="52" spans="3:55" x14ac:dyDescent="0.45">
      <c r="C52">
        <v>78.75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10</v>
      </c>
      <c r="K52">
        <v>0</v>
      </c>
      <c r="L52">
        <v>10</v>
      </c>
      <c r="M52">
        <v>0</v>
      </c>
      <c r="N52">
        <v>0</v>
      </c>
      <c r="O52">
        <v>0</v>
      </c>
      <c r="P52">
        <v>0</v>
      </c>
      <c r="Q52">
        <v>1.25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1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f t="shared" si="2"/>
        <v>10</v>
      </c>
      <c r="AU52">
        <f t="shared" si="0"/>
        <v>1.6666666666666667</v>
      </c>
      <c r="AV52">
        <f t="shared" si="1"/>
        <v>747.125</v>
      </c>
      <c r="AW52">
        <v>28.370999999999999</v>
      </c>
      <c r="BC52" t="s">
        <v>380</v>
      </c>
    </row>
    <row r="53" spans="3:55" x14ac:dyDescent="0.45">
      <c r="C53">
        <v>77.77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6</v>
      </c>
      <c r="K53">
        <v>0</v>
      </c>
      <c r="L53">
        <v>11.5</v>
      </c>
      <c r="M53">
        <v>4.5</v>
      </c>
      <c r="N53">
        <v>0</v>
      </c>
      <c r="O53">
        <v>0</v>
      </c>
      <c r="P53">
        <v>0</v>
      </c>
      <c r="Q53">
        <v>0</v>
      </c>
      <c r="R53">
        <v>0</v>
      </c>
      <c r="S53">
        <v>0.05</v>
      </c>
      <c r="T53">
        <v>0.18</v>
      </c>
      <c r="U53">
        <v>0</v>
      </c>
      <c r="V53">
        <v>1</v>
      </c>
      <c r="W53">
        <v>0</v>
      </c>
      <c r="X53">
        <v>43.333333333333336</v>
      </c>
      <c r="Y53">
        <v>0</v>
      </c>
      <c r="Z53">
        <v>1</v>
      </c>
      <c r="AA53">
        <v>0</v>
      </c>
      <c r="AB53">
        <v>0</v>
      </c>
      <c r="AC53">
        <v>730</v>
      </c>
      <c r="AD53">
        <v>0.25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f t="shared" si="2"/>
        <v>11.5</v>
      </c>
      <c r="AU53">
        <f t="shared" si="0"/>
        <v>2.5230000000000001</v>
      </c>
      <c r="AV53">
        <f t="shared" si="1"/>
        <v>772.39</v>
      </c>
      <c r="AW53">
        <v>79</v>
      </c>
      <c r="BC53" t="s">
        <v>382</v>
      </c>
    </row>
    <row r="54" spans="3:55" x14ac:dyDescent="0.45">
      <c r="C54">
        <v>77.77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6</v>
      </c>
      <c r="K54">
        <v>0</v>
      </c>
      <c r="L54">
        <v>11.5</v>
      </c>
      <c r="M54">
        <v>4.5</v>
      </c>
      <c r="N54">
        <v>0</v>
      </c>
      <c r="O54">
        <v>0</v>
      </c>
      <c r="P54">
        <v>0</v>
      </c>
      <c r="Q54">
        <v>0</v>
      </c>
      <c r="R54">
        <v>0</v>
      </c>
      <c r="S54">
        <v>0.05</v>
      </c>
      <c r="T54">
        <v>0.18</v>
      </c>
      <c r="U54">
        <v>0</v>
      </c>
      <c r="V54">
        <v>1</v>
      </c>
      <c r="W54">
        <v>0</v>
      </c>
      <c r="X54">
        <v>43.333333333333336</v>
      </c>
      <c r="Y54">
        <v>0</v>
      </c>
      <c r="Z54">
        <v>1</v>
      </c>
      <c r="AA54">
        <v>0</v>
      </c>
      <c r="AB54">
        <v>0</v>
      </c>
      <c r="AC54">
        <v>730</v>
      </c>
      <c r="AD54">
        <v>0.25</v>
      </c>
      <c r="AE54">
        <v>0</v>
      </c>
      <c r="AF54">
        <v>0</v>
      </c>
      <c r="AG54">
        <v>0</v>
      </c>
      <c r="AH54">
        <v>510</v>
      </c>
      <c r="AI54">
        <v>8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f t="shared" si="2"/>
        <v>11.5</v>
      </c>
      <c r="AU54">
        <f t="shared" si="0"/>
        <v>2.5230000000000001</v>
      </c>
      <c r="AV54">
        <f t="shared" si="1"/>
        <v>772.39</v>
      </c>
      <c r="AW54">
        <v>108</v>
      </c>
      <c r="BC54" t="s">
        <v>382</v>
      </c>
    </row>
    <row r="55" spans="3:55" x14ac:dyDescent="0.45">
      <c r="C55">
        <v>78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22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85</v>
      </c>
      <c r="Y55">
        <v>0</v>
      </c>
      <c r="Z55">
        <v>1</v>
      </c>
      <c r="AA55">
        <v>0</v>
      </c>
      <c r="AB55">
        <v>0</v>
      </c>
      <c r="AC55">
        <v>1000</v>
      </c>
      <c r="AD55">
        <v>10</v>
      </c>
      <c r="AE55">
        <v>0</v>
      </c>
      <c r="AF55">
        <v>0</v>
      </c>
      <c r="AG55">
        <v>0</v>
      </c>
      <c r="AH55">
        <v>950</v>
      </c>
      <c r="AI55">
        <v>1</v>
      </c>
      <c r="AJ55">
        <v>1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f t="shared" si="2"/>
        <v>6.16</v>
      </c>
      <c r="AU55">
        <f t="shared" si="0"/>
        <v>0</v>
      </c>
      <c r="AV55">
        <f t="shared" si="1"/>
        <v>882</v>
      </c>
      <c r="AW55">
        <v>72</v>
      </c>
      <c r="AX55">
        <v>400</v>
      </c>
      <c r="AY55">
        <v>600</v>
      </c>
      <c r="AZ55">
        <v>31.5</v>
      </c>
      <c r="BC55" t="s">
        <v>383</v>
      </c>
    </row>
    <row r="56" spans="3:55" x14ac:dyDescent="0.45">
      <c r="C56">
        <v>61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39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89</v>
      </c>
      <c r="Y56">
        <v>0</v>
      </c>
      <c r="Z56">
        <v>1</v>
      </c>
      <c r="AA56">
        <v>0</v>
      </c>
      <c r="AB56">
        <v>0</v>
      </c>
      <c r="AC56">
        <v>950</v>
      </c>
      <c r="AD56">
        <v>5</v>
      </c>
      <c r="AE56">
        <v>0</v>
      </c>
      <c r="AF56">
        <v>0</v>
      </c>
      <c r="AG56">
        <v>0</v>
      </c>
      <c r="AH56">
        <v>800</v>
      </c>
      <c r="AI56">
        <v>1</v>
      </c>
      <c r="AJ56">
        <v>1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f t="shared" si="2"/>
        <v>10.920000000000002</v>
      </c>
      <c r="AU56">
        <f t="shared" si="0"/>
        <v>0</v>
      </c>
      <c r="AV56">
        <f t="shared" si="1"/>
        <v>882</v>
      </c>
      <c r="AW56">
        <v>45</v>
      </c>
      <c r="AX56">
        <v>156</v>
      </c>
      <c r="AY56">
        <v>500</v>
      </c>
      <c r="BC56" t="s">
        <v>384</v>
      </c>
    </row>
    <row r="57" spans="3:55" x14ac:dyDescent="0.45">
      <c r="C57">
        <v>61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39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X57">
        <v>89</v>
      </c>
      <c r="Y57">
        <v>0</v>
      </c>
      <c r="Z57">
        <v>1</v>
      </c>
      <c r="AA57">
        <v>0</v>
      </c>
      <c r="AB57">
        <v>0</v>
      </c>
      <c r="AC57">
        <v>950</v>
      </c>
      <c r="AD57">
        <v>5</v>
      </c>
      <c r="AE57">
        <v>0</v>
      </c>
      <c r="AF57">
        <v>0</v>
      </c>
      <c r="AG57">
        <v>0</v>
      </c>
      <c r="AH57">
        <v>250</v>
      </c>
      <c r="AI57">
        <v>0.5</v>
      </c>
      <c r="AJ57">
        <v>1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f t="shared" si="2"/>
        <v>10.920000000000002</v>
      </c>
      <c r="AU57">
        <f t="shared" si="0"/>
        <v>0</v>
      </c>
      <c r="AV57">
        <f t="shared" si="1"/>
        <v>882</v>
      </c>
      <c r="AW57">
        <v>39</v>
      </c>
      <c r="AX57">
        <v>410</v>
      </c>
      <c r="AY57">
        <v>745</v>
      </c>
      <c r="BC57" t="s">
        <v>385</v>
      </c>
    </row>
    <row r="58" spans="3:55" x14ac:dyDescent="0.45">
      <c r="C58">
        <v>55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45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0</v>
      </c>
      <c r="AB58">
        <v>1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f t="shared" si="2"/>
        <v>12.600000000000001</v>
      </c>
      <c r="AU58">
        <f t="shared" si="0"/>
        <v>0</v>
      </c>
      <c r="AV58">
        <f t="shared" si="1"/>
        <v>882</v>
      </c>
      <c r="AW58">
        <v>65</v>
      </c>
      <c r="BC58" t="s">
        <v>386</v>
      </c>
    </row>
    <row r="59" spans="3:55" x14ac:dyDescent="0.45">
      <c r="C59">
        <v>88.5</v>
      </c>
      <c r="D59">
        <v>0</v>
      </c>
      <c r="E59">
        <v>0</v>
      </c>
      <c r="F59">
        <v>0</v>
      </c>
      <c r="G59">
        <v>0</v>
      </c>
      <c r="H59">
        <v>0.5</v>
      </c>
      <c r="I59">
        <v>0</v>
      </c>
      <c r="J59">
        <v>0</v>
      </c>
      <c r="K59">
        <v>11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1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f t="shared" si="2"/>
        <v>4.53</v>
      </c>
      <c r="AU59">
        <f t="shared" si="0"/>
        <v>0</v>
      </c>
      <c r="AV59">
        <f t="shared" si="1"/>
        <v>874.3</v>
      </c>
      <c r="AW59">
        <v>109</v>
      </c>
      <c r="AX59">
        <v>796</v>
      </c>
      <c r="AZ59">
        <v>18</v>
      </c>
      <c r="BA59">
        <v>278</v>
      </c>
      <c r="BC59" t="s">
        <v>387</v>
      </c>
    </row>
    <row r="60" spans="3:55" x14ac:dyDescent="0.45">
      <c r="C60">
        <v>85.5</v>
      </c>
      <c r="D60">
        <v>0</v>
      </c>
      <c r="E60">
        <v>0</v>
      </c>
      <c r="F60">
        <v>0</v>
      </c>
      <c r="G60">
        <v>0</v>
      </c>
      <c r="H60">
        <v>3.5</v>
      </c>
      <c r="I60">
        <v>0</v>
      </c>
      <c r="J60">
        <v>0</v>
      </c>
      <c r="K60">
        <v>11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1</v>
      </c>
      <c r="Z60">
        <v>0</v>
      </c>
      <c r="AA60">
        <v>0</v>
      </c>
      <c r="AB60">
        <v>0</v>
      </c>
      <c r="AC60">
        <v>750</v>
      </c>
      <c r="AD60">
        <v>0.16666666666666666</v>
      </c>
      <c r="AE60">
        <v>1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f t="shared" si="2"/>
        <v>13.23</v>
      </c>
      <c r="AU60">
        <f t="shared" si="0"/>
        <v>0</v>
      </c>
      <c r="AV60">
        <f t="shared" si="1"/>
        <v>828.1</v>
      </c>
      <c r="AW60">
        <v>101</v>
      </c>
      <c r="AX60">
        <v>932</v>
      </c>
      <c r="AZ60">
        <v>29</v>
      </c>
      <c r="BA60">
        <v>303</v>
      </c>
      <c r="BC60" t="s">
        <v>387</v>
      </c>
    </row>
    <row r="61" spans="3:55" x14ac:dyDescent="0.45">
      <c r="C61">
        <v>83</v>
      </c>
      <c r="D61">
        <v>0</v>
      </c>
      <c r="E61">
        <v>0</v>
      </c>
      <c r="F61">
        <v>0</v>
      </c>
      <c r="G61">
        <v>0</v>
      </c>
      <c r="H61">
        <v>6</v>
      </c>
      <c r="I61">
        <v>0</v>
      </c>
      <c r="J61">
        <v>0</v>
      </c>
      <c r="K61">
        <v>11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1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f t="shared" si="2"/>
        <v>20.479999999999997</v>
      </c>
      <c r="AU61">
        <f t="shared" si="0"/>
        <v>0</v>
      </c>
      <c r="AV61">
        <f t="shared" si="1"/>
        <v>789.6</v>
      </c>
      <c r="AW61">
        <v>89</v>
      </c>
      <c r="AX61">
        <v>1137</v>
      </c>
      <c r="AZ61">
        <v>36</v>
      </c>
      <c r="BA61">
        <v>357</v>
      </c>
      <c r="BC61" t="s">
        <v>387</v>
      </c>
    </row>
    <row r="62" spans="3:55" x14ac:dyDescent="0.45">
      <c r="C62">
        <v>80</v>
      </c>
      <c r="D62">
        <v>0</v>
      </c>
      <c r="E62">
        <v>0</v>
      </c>
      <c r="F62">
        <v>0</v>
      </c>
      <c r="G62">
        <v>0</v>
      </c>
      <c r="H62">
        <v>9</v>
      </c>
      <c r="I62">
        <v>0</v>
      </c>
      <c r="J62">
        <v>0</v>
      </c>
      <c r="K62">
        <v>11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1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f t="shared" si="2"/>
        <v>29.18</v>
      </c>
      <c r="AU62">
        <f t="shared" si="0"/>
        <v>0</v>
      </c>
      <c r="AV62">
        <f t="shared" si="1"/>
        <v>743.4</v>
      </c>
      <c r="AW62">
        <v>82</v>
      </c>
      <c r="AX62">
        <v>1078</v>
      </c>
      <c r="AZ62">
        <v>38</v>
      </c>
      <c r="BA62">
        <v>334</v>
      </c>
      <c r="BC62" t="s">
        <v>387</v>
      </c>
    </row>
    <row r="63" spans="3:55" x14ac:dyDescent="0.45">
      <c r="C63">
        <v>82</v>
      </c>
      <c r="D63">
        <v>0</v>
      </c>
      <c r="E63">
        <v>0</v>
      </c>
      <c r="F63">
        <v>0</v>
      </c>
      <c r="G63">
        <v>0</v>
      </c>
      <c r="H63">
        <v>7</v>
      </c>
      <c r="I63">
        <v>0</v>
      </c>
      <c r="J63">
        <v>0</v>
      </c>
      <c r="K63">
        <v>11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1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f t="shared" si="2"/>
        <v>23.380000000000003</v>
      </c>
      <c r="AU63">
        <f t="shared" si="0"/>
        <v>0</v>
      </c>
      <c r="AV63">
        <f t="shared" si="1"/>
        <v>774.2</v>
      </c>
      <c r="AW63">
        <v>86</v>
      </c>
      <c r="AX63">
        <v>985</v>
      </c>
      <c r="AY63">
        <v>2006</v>
      </c>
      <c r="AZ63">
        <v>41.5</v>
      </c>
      <c r="BC63" t="s">
        <v>359</v>
      </c>
    </row>
    <row r="64" spans="3:55" x14ac:dyDescent="0.45">
      <c r="C64">
        <v>82</v>
      </c>
      <c r="D64">
        <v>0</v>
      </c>
      <c r="E64">
        <v>0</v>
      </c>
      <c r="F64">
        <v>0</v>
      </c>
      <c r="G64">
        <v>0</v>
      </c>
      <c r="H64">
        <v>3</v>
      </c>
      <c r="I64">
        <v>0</v>
      </c>
      <c r="J64">
        <v>0</v>
      </c>
      <c r="K64">
        <v>15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1</v>
      </c>
      <c r="Z64">
        <v>0</v>
      </c>
      <c r="AA64">
        <v>0</v>
      </c>
      <c r="AB64">
        <v>0</v>
      </c>
      <c r="AC64">
        <v>750</v>
      </c>
      <c r="AD64">
        <v>0.16666666666666666</v>
      </c>
      <c r="AE64">
        <v>1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f t="shared" si="2"/>
        <v>12.899999999999999</v>
      </c>
      <c r="AU64">
        <f t="shared" si="0"/>
        <v>0</v>
      </c>
      <c r="AV64">
        <f t="shared" si="1"/>
        <v>835.8</v>
      </c>
      <c r="AW64">
        <v>94</v>
      </c>
      <c r="AX64">
        <v>695</v>
      </c>
      <c r="BC64" t="s">
        <v>388</v>
      </c>
    </row>
    <row r="65" spans="3:55" x14ac:dyDescent="0.45">
      <c r="C65">
        <v>78.5</v>
      </c>
      <c r="D65">
        <v>0</v>
      </c>
      <c r="E65">
        <v>0</v>
      </c>
      <c r="F65">
        <v>0</v>
      </c>
      <c r="G65">
        <v>0</v>
      </c>
      <c r="H65">
        <v>2.5</v>
      </c>
      <c r="I65">
        <v>0</v>
      </c>
      <c r="J65">
        <v>0</v>
      </c>
      <c r="K65">
        <v>19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1</v>
      </c>
      <c r="Z65">
        <v>0</v>
      </c>
      <c r="AA65">
        <v>0</v>
      </c>
      <c r="AB65">
        <v>0</v>
      </c>
      <c r="AC65">
        <v>750</v>
      </c>
      <c r="AD65">
        <v>0.16666666666666666</v>
      </c>
      <c r="AE65">
        <v>1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f t="shared" si="2"/>
        <v>12.57</v>
      </c>
      <c r="AU65">
        <f t="shared" si="0"/>
        <v>0</v>
      </c>
      <c r="AV65">
        <f t="shared" si="1"/>
        <v>843.5</v>
      </c>
      <c r="AW65">
        <v>90</v>
      </c>
      <c r="AX65">
        <v>672</v>
      </c>
      <c r="BC65" t="s">
        <v>388</v>
      </c>
    </row>
    <row r="66" spans="3:55" x14ac:dyDescent="0.45">
      <c r="C66">
        <v>75</v>
      </c>
      <c r="D66">
        <v>0</v>
      </c>
      <c r="E66">
        <v>0</v>
      </c>
      <c r="F66">
        <v>0</v>
      </c>
      <c r="G66">
        <v>0</v>
      </c>
      <c r="H66">
        <v>2</v>
      </c>
      <c r="I66">
        <v>0</v>
      </c>
      <c r="J66">
        <v>0</v>
      </c>
      <c r="K66">
        <v>23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1</v>
      </c>
      <c r="Z66">
        <v>0</v>
      </c>
      <c r="AA66">
        <v>0</v>
      </c>
      <c r="AB66">
        <v>0</v>
      </c>
      <c r="AC66">
        <v>750</v>
      </c>
      <c r="AD66">
        <v>0.16666666666666666</v>
      </c>
      <c r="AE66">
        <v>1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f t="shared" si="2"/>
        <v>12.24</v>
      </c>
      <c r="AU66">
        <f t="shared" ref="AU66:AU129" si="3">D66+J66/6+M66/3+(T66+S66)/10</f>
        <v>0</v>
      </c>
      <c r="AV66">
        <f t="shared" ref="AV66:AV129" si="4">882+2.1*D66-9.5*L66+4.2*M66-6.9*J66-11.8*E66-12.1*F66-15.4*H66+23.3*Q66+123*T66</f>
        <v>851.2</v>
      </c>
      <c r="AW66">
        <v>95</v>
      </c>
      <c r="AX66">
        <v>604</v>
      </c>
      <c r="BC66" t="s">
        <v>388</v>
      </c>
    </row>
    <row r="67" spans="3:55" x14ac:dyDescent="0.45">
      <c r="C67">
        <v>70.7</v>
      </c>
      <c r="D67">
        <v>0</v>
      </c>
      <c r="E67">
        <v>0</v>
      </c>
      <c r="F67">
        <v>0</v>
      </c>
      <c r="G67">
        <v>0</v>
      </c>
      <c r="H67">
        <v>2.12</v>
      </c>
      <c r="I67">
        <v>0</v>
      </c>
      <c r="J67">
        <v>0</v>
      </c>
      <c r="K67">
        <v>27.18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1</v>
      </c>
      <c r="W67">
        <v>0</v>
      </c>
      <c r="X67">
        <v>84</v>
      </c>
      <c r="Y67">
        <v>0</v>
      </c>
      <c r="Z67">
        <v>1</v>
      </c>
      <c r="AA67">
        <v>0</v>
      </c>
      <c r="AB67">
        <v>0</v>
      </c>
      <c r="AC67">
        <v>1000</v>
      </c>
      <c r="AD67">
        <v>1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f t="shared" ref="AT67:AT130" si="5">L67+0.67*E67+0.44*P67+0.28*K67+0.22*O67+2.9*H67+1.6*F67+1.7*G67-D67</f>
        <v>13.7584</v>
      </c>
      <c r="AU67">
        <f t="shared" si="3"/>
        <v>0</v>
      </c>
      <c r="AV67">
        <f t="shared" si="4"/>
        <v>849.35199999999998</v>
      </c>
      <c r="AW67">
        <v>83</v>
      </c>
      <c r="BC67" t="s">
        <v>389</v>
      </c>
    </row>
    <row r="68" spans="3:55" x14ac:dyDescent="0.45">
      <c r="C68">
        <v>71.5</v>
      </c>
      <c r="D68">
        <v>0</v>
      </c>
      <c r="E68">
        <v>0</v>
      </c>
      <c r="F68">
        <v>0</v>
      </c>
      <c r="G68">
        <v>0</v>
      </c>
      <c r="H68">
        <v>1.5</v>
      </c>
      <c r="I68">
        <v>0</v>
      </c>
      <c r="J68">
        <v>0</v>
      </c>
      <c r="K68">
        <v>27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1</v>
      </c>
      <c r="Z68">
        <v>0</v>
      </c>
      <c r="AA68">
        <v>0</v>
      </c>
      <c r="AB68">
        <v>0</v>
      </c>
      <c r="AC68">
        <v>750</v>
      </c>
      <c r="AD68">
        <v>0.16666666666666666</v>
      </c>
      <c r="AE68">
        <v>1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f t="shared" si="5"/>
        <v>11.91</v>
      </c>
      <c r="AU68">
        <f t="shared" si="3"/>
        <v>0</v>
      </c>
      <c r="AV68">
        <f t="shared" si="4"/>
        <v>858.9</v>
      </c>
      <c r="AW68">
        <v>81</v>
      </c>
      <c r="AX68">
        <v>496</v>
      </c>
      <c r="BC68" t="s">
        <v>388</v>
      </c>
    </row>
    <row r="69" spans="3:55" x14ac:dyDescent="0.45">
      <c r="C69">
        <v>68</v>
      </c>
      <c r="D69">
        <v>0</v>
      </c>
      <c r="E69">
        <v>0</v>
      </c>
      <c r="F69">
        <v>0</v>
      </c>
      <c r="G69">
        <v>0</v>
      </c>
      <c r="H69">
        <v>1</v>
      </c>
      <c r="I69">
        <v>0</v>
      </c>
      <c r="J69">
        <v>0</v>
      </c>
      <c r="K69">
        <v>31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1</v>
      </c>
      <c r="Z69">
        <v>0</v>
      </c>
      <c r="AA69">
        <v>0</v>
      </c>
      <c r="AB69">
        <v>0</v>
      </c>
      <c r="AC69">
        <v>750</v>
      </c>
      <c r="AD69">
        <v>0.16666666666666666</v>
      </c>
      <c r="AE69">
        <v>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f t="shared" si="5"/>
        <v>11.580000000000002</v>
      </c>
      <c r="AU69">
        <f t="shared" si="3"/>
        <v>0</v>
      </c>
      <c r="AV69">
        <f t="shared" si="4"/>
        <v>866.6</v>
      </c>
      <c r="AW69">
        <v>81</v>
      </c>
      <c r="AX69">
        <v>477</v>
      </c>
      <c r="BC69" t="s">
        <v>388</v>
      </c>
    </row>
    <row r="70" spans="3:55" x14ac:dyDescent="0.45">
      <c r="C70">
        <v>84</v>
      </c>
      <c r="D70">
        <v>0</v>
      </c>
      <c r="E70">
        <v>0</v>
      </c>
      <c r="F70">
        <v>0</v>
      </c>
      <c r="G70">
        <v>0</v>
      </c>
      <c r="H70">
        <v>7</v>
      </c>
      <c r="I70">
        <v>0</v>
      </c>
      <c r="J70">
        <v>0</v>
      </c>
      <c r="K70">
        <v>9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1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f t="shared" si="5"/>
        <v>22.82</v>
      </c>
      <c r="AU70">
        <f t="shared" si="3"/>
        <v>0</v>
      </c>
      <c r="AV70">
        <f t="shared" si="4"/>
        <v>774.2</v>
      </c>
      <c r="AW70">
        <v>89</v>
      </c>
      <c r="AX70">
        <v>1010</v>
      </c>
      <c r="AY70">
        <v>2007</v>
      </c>
      <c r="AZ70">
        <v>40.5</v>
      </c>
      <c r="BC70" t="s">
        <v>387</v>
      </c>
    </row>
    <row r="71" spans="3:55" x14ac:dyDescent="0.45">
      <c r="C71">
        <v>70.3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19.5</v>
      </c>
      <c r="L71">
        <v>10.199999999999999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1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f t="shared" si="5"/>
        <v>15.66</v>
      </c>
      <c r="AU71">
        <f t="shared" si="3"/>
        <v>0</v>
      </c>
      <c r="AV71">
        <f t="shared" si="4"/>
        <v>785.1</v>
      </c>
      <c r="AW71">
        <v>62</v>
      </c>
      <c r="AX71">
        <v>873</v>
      </c>
      <c r="AY71">
        <v>685</v>
      </c>
      <c r="AZ71">
        <v>0.44</v>
      </c>
      <c r="BC71" t="s">
        <v>370</v>
      </c>
    </row>
    <row r="72" spans="3:55" x14ac:dyDescent="0.45">
      <c r="C72">
        <v>64.099999999999994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26.7</v>
      </c>
      <c r="L72">
        <v>9.1999999999999993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1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f t="shared" si="5"/>
        <v>16.676000000000002</v>
      </c>
      <c r="AU72">
        <f t="shared" si="3"/>
        <v>0</v>
      </c>
      <c r="AV72">
        <f t="shared" si="4"/>
        <v>794.6</v>
      </c>
      <c r="AW72">
        <v>71</v>
      </c>
      <c r="AX72">
        <v>844</v>
      </c>
      <c r="AY72">
        <v>875</v>
      </c>
      <c r="AZ72">
        <v>3.1</v>
      </c>
      <c r="BC72" t="s">
        <v>370</v>
      </c>
    </row>
    <row r="73" spans="3:55" x14ac:dyDescent="0.45">
      <c r="C73">
        <v>49.8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38.1</v>
      </c>
      <c r="L73">
        <v>12.1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1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f t="shared" si="5"/>
        <v>22.768000000000001</v>
      </c>
      <c r="AU73">
        <f t="shared" si="3"/>
        <v>0</v>
      </c>
      <c r="AV73">
        <f t="shared" si="4"/>
        <v>767.05</v>
      </c>
      <c r="AW73">
        <v>54.5</v>
      </c>
      <c r="AX73">
        <v>581</v>
      </c>
      <c r="AY73">
        <v>663</v>
      </c>
      <c r="BA73">
        <v>242</v>
      </c>
      <c r="BC73" t="s">
        <v>390</v>
      </c>
    </row>
    <row r="74" spans="3:55" x14ac:dyDescent="0.45">
      <c r="C74">
        <v>54.400000000000006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39.299999999999997</v>
      </c>
      <c r="L74">
        <v>6.3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f t="shared" si="5"/>
        <v>17.303999999999998</v>
      </c>
      <c r="AU74">
        <f t="shared" si="3"/>
        <v>0</v>
      </c>
      <c r="AV74">
        <f t="shared" si="4"/>
        <v>822.15</v>
      </c>
      <c r="AW74">
        <v>63.6</v>
      </c>
      <c r="AX74">
        <v>554</v>
      </c>
      <c r="AY74">
        <v>621</v>
      </c>
      <c r="BA74">
        <v>211</v>
      </c>
      <c r="BC74" t="s">
        <v>390</v>
      </c>
    </row>
    <row r="75" spans="3:55" x14ac:dyDescent="0.45">
      <c r="C75">
        <v>52.099999999999994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38.700000000000003</v>
      </c>
      <c r="L75">
        <v>9.1999999999999993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f t="shared" si="5"/>
        <v>20.036000000000001</v>
      </c>
      <c r="AU75">
        <f t="shared" si="3"/>
        <v>0</v>
      </c>
      <c r="AV75">
        <f t="shared" si="4"/>
        <v>794.6</v>
      </c>
      <c r="AW75">
        <v>55.7</v>
      </c>
      <c r="AX75">
        <v>578</v>
      </c>
      <c r="AY75">
        <v>634</v>
      </c>
      <c r="BA75">
        <v>218</v>
      </c>
      <c r="BC75" t="s">
        <v>390</v>
      </c>
    </row>
    <row r="76" spans="3:55" x14ac:dyDescent="0.45">
      <c r="C76">
        <v>56.9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39.9</v>
      </c>
      <c r="L76">
        <v>3.2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f t="shared" si="5"/>
        <v>14.372</v>
      </c>
      <c r="AU76">
        <f t="shared" si="3"/>
        <v>0</v>
      </c>
      <c r="AV76">
        <f t="shared" si="4"/>
        <v>851.6</v>
      </c>
      <c r="AW76">
        <v>67</v>
      </c>
      <c r="AX76">
        <v>481</v>
      </c>
      <c r="AY76">
        <v>535</v>
      </c>
      <c r="BA76">
        <v>189</v>
      </c>
      <c r="BC76" t="s">
        <v>390</v>
      </c>
    </row>
    <row r="77" spans="3:55" x14ac:dyDescent="0.45">
      <c r="C77">
        <v>49.81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12.1</v>
      </c>
      <c r="L77">
        <v>38.08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f t="shared" si="5"/>
        <v>41.467999999999996</v>
      </c>
      <c r="AU77">
        <f t="shared" si="3"/>
        <v>0</v>
      </c>
      <c r="AV77">
        <f t="shared" si="4"/>
        <v>520.24</v>
      </c>
      <c r="AW77">
        <v>54.5</v>
      </c>
      <c r="AY77">
        <v>663</v>
      </c>
      <c r="BA77">
        <v>242</v>
      </c>
      <c r="BC77" t="s">
        <v>390</v>
      </c>
    </row>
    <row r="78" spans="3:55" x14ac:dyDescent="0.45">
      <c r="C78">
        <v>77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3</v>
      </c>
      <c r="K78">
        <v>15</v>
      </c>
      <c r="L78">
        <v>3</v>
      </c>
      <c r="M78">
        <v>2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1</v>
      </c>
      <c r="W78">
        <v>0</v>
      </c>
      <c r="X78">
        <v>80</v>
      </c>
      <c r="Y78">
        <v>0</v>
      </c>
      <c r="Z78">
        <v>1</v>
      </c>
      <c r="AA78">
        <v>0</v>
      </c>
      <c r="AB78">
        <v>0</v>
      </c>
      <c r="AC78">
        <v>610</v>
      </c>
      <c r="AD78">
        <v>0.5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</v>
      </c>
      <c r="AT78">
        <f t="shared" si="5"/>
        <v>7.2</v>
      </c>
      <c r="AU78">
        <f t="shared" si="3"/>
        <v>1.1666666666666665</v>
      </c>
      <c r="AV78">
        <f t="shared" si="4"/>
        <v>841.19999999999993</v>
      </c>
      <c r="AW78">
        <v>38</v>
      </c>
      <c r="BC78" t="s">
        <v>391</v>
      </c>
    </row>
    <row r="79" spans="3:55" x14ac:dyDescent="0.45">
      <c r="C79">
        <v>61.87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38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0.13</v>
      </c>
      <c r="U79">
        <v>0</v>
      </c>
      <c r="V79">
        <v>1</v>
      </c>
      <c r="W79">
        <v>0</v>
      </c>
      <c r="X79">
        <v>80</v>
      </c>
      <c r="Y79">
        <v>0</v>
      </c>
      <c r="Z79">
        <v>1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f t="shared" si="5"/>
        <v>10.64</v>
      </c>
      <c r="AU79">
        <f t="shared" si="3"/>
        <v>1.3000000000000001E-2</v>
      </c>
      <c r="AV79">
        <f t="shared" si="4"/>
        <v>897.99</v>
      </c>
      <c r="AW79">
        <v>57</v>
      </c>
      <c r="AY79">
        <v>490</v>
      </c>
      <c r="AZ79">
        <v>35.200000000000003</v>
      </c>
      <c r="BC79" t="s">
        <v>391</v>
      </c>
    </row>
    <row r="80" spans="3:55" x14ac:dyDescent="0.45">
      <c r="C80">
        <v>61.76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38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0.24</v>
      </c>
      <c r="U80">
        <v>0</v>
      </c>
      <c r="V80">
        <v>1</v>
      </c>
      <c r="W80">
        <v>0</v>
      </c>
      <c r="X80">
        <v>80</v>
      </c>
      <c r="Y80">
        <v>0</v>
      </c>
      <c r="Z80">
        <v>1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>
        <f t="shared" si="5"/>
        <v>10.64</v>
      </c>
      <c r="AU80">
        <f t="shared" si="3"/>
        <v>2.4E-2</v>
      </c>
      <c r="AV80">
        <f t="shared" si="4"/>
        <v>911.52</v>
      </c>
      <c r="AW80">
        <v>59</v>
      </c>
      <c r="AY80">
        <v>590</v>
      </c>
      <c r="AZ80">
        <v>35.5</v>
      </c>
      <c r="BC80" t="s">
        <v>391</v>
      </c>
    </row>
    <row r="81" spans="3:55" x14ac:dyDescent="0.45">
      <c r="C81">
        <v>61.54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38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0.46</v>
      </c>
      <c r="U81">
        <v>0</v>
      </c>
      <c r="V81">
        <v>1</v>
      </c>
      <c r="W81">
        <v>0</v>
      </c>
      <c r="X81">
        <v>80</v>
      </c>
      <c r="Y81">
        <v>0</v>
      </c>
      <c r="Z81">
        <v>1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f t="shared" si="5"/>
        <v>10.64</v>
      </c>
      <c r="AU81">
        <f t="shared" si="3"/>
        <v>4.5999999999999999E-2</v>
      </c>
      <c r="AV81">
        <f t="shared" si="4"/>
        <v>938.58</v>
      </c>
      <c r="AW81">
        <v>62</v>
      </c>
      <c r="AY81">
        <v>780</v>
      </c>
      <c r="AZ81">
        <v>25</v>
      </c>
      <c r="BC81" t="s">
        <v>391</v>
      </c>
    </row>
    <row r="82" spans="3:55" x14ac:dyDescent="0.45">
      <c r="C82">
        <v>90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10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0</v>
      </c>
      <c r="AS82">
        <v>0</v>
      </c>
      <c r="AT82">
        <f t="shared" si="5"/>
        <v>2.8000000000000003</v>
      </c>
      <c r="AU82">
        <f t="shared" si="3"/>
        <v>0</v>
      </c>
      <c r="AV82">
        <f t="shared" si="4"/>
        <v>882</v>
      </c>
      <c r="AW82">
        <v>76</v>
      </c>
      <c r="BC82" t="s">
        <v>392</v>
      </c>
    </row>
    <row r="83" spans="3:55" x14ac:dyDescent="0.45">
      <c r="C83">
        <v>87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10</v>
      </c>
      <c r="L83">
        <v>0</v>
      </c>
      <c r="M83">
        <v>3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1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f t="shared" si="5"/>
        <v>2.8000000000000003</v>
      </c>
      <c r="AU83">
        <f t="shared" si="3"/>
        <v>1</v>
      </c>
      <c r="AV83">
        <f t="shared" si="4"/>
        <v>894.6</v>
      </c>
      <c r="AW83">
        <v>74</v>
      </c>
      <c r="BC83" t="s">
        <v>392</v>
      </c>
    </row>
    <row r="84" spans="3:55" x14ac:dyDescent="0.45">
      <c r="C84">
        <v>85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10</v>
      </c>
      <c r="L84">
        <v>0</v>
      </c>
      <c r="M84">
        <v>5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1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f t="shared" si="5"/>
        <v>2.8000000000000003</v>
      </c>
      <c r="AU84">
        <f t="shared" si="3"/>
        <v>1.6666666666666667</v>
      </c>
      <c r="AV84">
        <f t="shared" si="4"/>
        <v>903</v>
      </c>
      <c r="AW84">
        <v>73.5</v>
      </c>
      <c r="BC84" t="s">
        <v>392</v>
      </c>
    </row>
    <row r="85" spans="3:55" x14ac:dyDescent="0.45">
      <c r="C85">
        <v>82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10</v>
      </c>
      <c r="L85">
        <v>0</v>
      </c>
      <c r="M85">
        <v>8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1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AT85">
        <f t="shared" si="5"/>
        <v>2.8000000000000003</v>
      </c>
      <c r="AU85">
        <f t="shared" si="3"/>
        <v>2.6666666666666665</v>
      </c>
      <c r="AV85">
        <f t="shared" si="4"/>
        <v>915.6</v>
      </c>
      <c r="AW85">
        <v>73</v>
      </c>
      <c r="BC85" t="s">
        <v>392</v>
      </c>
    </row>
    <row r="86" spans="3:55" x14ac:dyDescent="0.45">
      <c r="C86">
        <v>72.760000000000005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16.62</v>
      </c>
      <c r="L86">
        <v>0</v>
      </c>
      <c r="M86">
        <v>10.62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1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f t="shared" si="5"/>
        <v>4.6536000000000008</v>
      </c>
      <c r="AU86">
        <f t="shared" si="3"/>
        <v>3.5399999999999996</v>
      </c>
      <c r="AV86">
        <f t="shared" si="4"/>
        <v>926.60400000000004</v>
      </c>
      <c r="AW86">
        <v>80</v>
      </c>
      <c r="AX86">
        <v>787</v>
      </c>
      <c r="AZ86">
        <v>6.84</v>
      </c>
      <c r="BC86" t="s">
        <v>383</v>
      </c>
    </row>
    <row r="87" spans="3:55" x14ac:dyDescent="0.45">
      <c r="C87">
        <v>68.64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21.02</v>
      </c>
      <c r="L87">
        <v>0</v>
      </c>
      <c r="M87">
        <v>11.08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1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f t="shared" si="5"/>
        <v>5.8856000000000002</v>
      </c>
      <c r="AU87">
        <f t="shared" si="3"/>
        <v>3.6933333333333334</v>
      </c>
      <c r="AV87">
        <f t="shared" si="4"/>
        <v>928.53600000000006</v>
      </c>
      <c r="AW87">
        <v>75</v>
      </c>
      <c r="AX87">
        <v>772</v>
      </c>
      <c r="AZ87">
        <v>9.4600000000000009</v>
      </c>
      <c r="BC87" t="s">
        <v>383</v>
      </c>
    </row>
    <row r="88" spans="3:55" x14ac:dyDescent="0.45">
      <c r="C88">
        <v>72.8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16.600000000000001</v>
      </c>
      <c r="L88">
        <v>0</v>
      </c>
      <c r="M88">
        <v>10.6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1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f t="shared" si="5"/>
        <v>4.6480000000000006</v>
      </c>
      <c r="AU88">
        <f t="shared" si="3"/>
        <v>3.5333333333333332</v>
      </c>
      <c r="AV88">
        <f t="shared" si="4"/>
        <v>926.52</v>
      </c>
      <c r="AW88">
        <v>80</v>
      </c>
      <c r="AX88">
        <v>787</v>
      </c>
      <c r="AZ88">
        <v>6.84</v>
      </c>
      <c r="BA88">
        <v>230</v>
      </c>
      <c r="BC88" t="s">
        <v>383</v>
      </c>
    </row>
    <row r="89" spans="3:55" x14ac:dyDescent="0.45">
      <c r="C89">
        <v>68.400000000000006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21.2</v>
      </c>
      <c r="L89">
        <v>0</v>
      </c>
      <c r="M89">
        <v>10.4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1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f t="shared" si="5"/>
        <v>5.9359999999999999</v>
      </c>
      <c r="AU89">
        <f t="shared" si="3"/>
        <v>3.4666666666666668</v>
      </c>
      <c r="AV89">
        <f t="shared" si="4"/>
        <v>925.68000000000006</v>
      </c>
      <c r="AW89">
        <v>75</v>
      </c>
      <c r="AX89">
        <v>435</v>
      </c>
      <c r="AZ89">
        <v>3.71</v>
      </c>
      <c r="BA89">
        <v>218</v>
      </c>
      <c r="BC89" t="s">
        <v>383</v>
      </c>
    </row>
    <row r="90" spans="3:55" x14ac:dyDescent="0.45">
      <c r="C90">
        <v>64.5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25.4</v>
      </c>
      <c r="L90">
        <v>0</v>
      </c>
      <c r="M90">
        <v>10.1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1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f t="shared" si="5"/>
        <v>7.1120000000000001</v>
      </c>
      <c r="AU90">
        <f t="shared" si="3"/>
        <v>3.3666666666666667</v>
      </c>
      <c r="AV90">
        <f t="shared" si="4"/>
        <v>924.42</v>
      </c>
      <c r="AW90">
        <v>62</v>
      </c>
      <c r="AX90">
        <v>611</v>
      </c>
      <c r="AZ90">
        <v>5.3</v>
      </c>
      <c r="BA90">
        <v>220</v>
      </c>
      <c r="BC90" t="s">
        <v>383</v>
      </c>
    </row>
    <row r="91" spans="3:55" x14ac:dyDescent="0.45">
      <c r="C91">
        <v>59.4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30.8</v>
      </c>
      <c r="L91">
        <v>0</v>
      </c>
      <c r="M91">
        <v>9.8000000000000007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1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f t="shared" si="5"/>
        <v>8.6240000000000006</v>
      </c>
      <c r="AU91">
        <f t="shared" si="3"/>
        <v>3.2666666666666671</v>
      </c>
      <c r="AV91">
        <f t="shared" si="4"/>
        <v>923.16</v>
      </c>
      <c r="AW91">
        <v>61</v>
      </c>
      <c r="AX91">
        <v>772</v>
      </c>
      <c r="AZ91">
        <v>9.4600000000000009</v>
      </c>
      <c r="BA91">
        <v>226</v>
      </c>
      <c r="BC91" t="s">
        <v>393</v>
      </c>
    </row>
    <row r="92" spans="3:55" x14ac:dyDescent="0.45">
      <c r="C92">
        <v>63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33</v>
      </c>
      <c r="L92">
        <v>0</v>
      </c>
      <c r="M92">
        <v>4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X92">
        <v>87</v>
      </c>
      <c r="Y92">
        <v>0</v>
      </c>
      <c r="Z92">
        <v>1</v>
      </c>
      <c r="AA92">
        <v>0</v>
      </c>
      <c r="AB92">
        <v>0</v>
      </c>
      <c r="AC92">
        <v>800</v>
      </c>
      <c r="AD92">
        <v>1</v>
      </c>
      <c r="AE92">
        <v>1</v>
      </c>
      <c r="AF92">
        <v>0</v>
      </c>
      <c r="AG92">
        <v>0</v>
      </c>
      <c r="AH92">
        <v>400</v>
      </c>
      <c r="AI92">
        <v>0.33333333333333331</v>
      </c>
      <c r="AJ92">
        <v>1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</v>
      </c>
      <c r="AT92">
        <f t="shared" si="5"/>
        <v>9.24</v>
      </c>
      <c r="AU92">
        <f t="shared" si="3"/>
        <v>1.3333333333333333</v>
      </c>
      <c r="AV92">
        <f t="shared" si="4"/>
        <v>898.8</v>
      </c>
      <c r="AW92">
        <v>36</v>
      </c>
      <c r="AX92">
        <v>763</v>
      </c>
      <c r="AY92">
        <v>853</v>
      </c>
      <c r="BC92" t="s">
        <v>394</v>
      </c>
    </row>
    <row r="93" spans="3:55" x14ac:dyDescent="0.45">
      <c r="C93">
        <v>61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35</v>
      </c>
      <c r="L93">
        <v>0</v>
      </c>
      <c r="M93">
        <v>4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1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T93">
        <f t="shared" si="5"/>
        <v>9.8000000000000007</v>
      </c>
      <c r="AU93">
        <f t="shared" si="3"/>
        <v>1.3333333333333333</v>
      </c>
      <c r="AV93">
        <f t="shared" si="4"/>
        <v>898.8</v>
      </c>
      <c r="AW93">
        <v>44</v>
      </c>
      <c r="BC93" t="s">
        <v>395</v>
      </c>
    </row>
    <row r="94" spans="3:55" x14ac:dyDescent="0.45">
      <c r="C94">
        <v>57.1</v>
      </c>
      <c r="D94">
        <v>0</v>
      </c>
      <c r="E94">
        <v>0</v>
      </c>
      <c r="F94">
        <v>0</v>
      </c>
      <c r="G94">
        <v>0</v>
      </c>
      <c r="H94">
        <v>7.9</v>
      </c>
      <c r="I94">
        <v>0</v>
      </c>
      <c r="J94">
        <v>0</v>
      </c>
      <c r="K94">
        <v>35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1</v>
      </c>
      <c r="Z94">
        <v>0</v>
      </c>
      <c r="AA94">
        <v>0</v>
      </c>
      <c r="AB94">
        <v>0</v>
      </c>
      <c r="AC94">
        <v>1150</v>
      </c>
      <c r="AD94">
        <v>24</v>
      </c>
      <c r="AE94">
        <v>0</v>
      </c>
      <c r="AF94">
        <v>0</v>
      </c>
      <c r="AG94">
        <v>0</v>
      </c>
      <c r="AH94">
        <v>950</v>
      </c>
      <c r="AI94">
        <v>2</v>
      </c>
      <c r="AJ94">
        <v>1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f t="shared" si="5"/>
        <v>32.71</v>
      </c>
      <c r="AU94">
        <f t="shared" si="3"/>
        <v>0</v>
      </c>
      <c r="AV94">
        <f t="shared" si="4"/>
        <v>760.34</v>
      </c>
      <c r="AW94">
        <v>43</v>
      </c>
      <c r="BC94" t="s">
        <v>394</v>
      </c>
    </row>
    <row r="95" spans="3:55" x14ac:dyDescent="0.45">
      <c r="C95">
        <v>61</v>
      </c>
      <c r="D95">
        <v>0</v>
      </c>
      <c r="E95">
        <v>0</v>
      </c>
      <c r="F95">
        <v>0</v>
      </c>
      <c r="G95">
        <v>0</v>
      </c>
      <c r="H95">
        <v>4</v>
      </c>
      <c r="I95">
        <v>0</v>
      </c>
      <c r="J95">
        <v>0</v>
      </c>
      <c r="K95">
        <v>35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0</v>
      </c>
      <c r="AA95">
        <v>0</v>
      </c>
      <c r="AB95">
        <v>0</v>
      </c>
      <c r="AC95">
        <v>1150</v>
      </c>
      <c r="AD95">
        <v>24</v>
      </c>
      <c r="AE95">
        <v>0</v>
      </c>
      <c r="AF95">
        <v>0</v>
      </c>
      <c r="AG95">
        <v>0</v>
      </c>
      <c r="AH95">
        <v>950</v>
      </c>
      <c r="AI95">
        <v>2</v>
      </c>
      <c r="AJ95">
        <v>1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0</v>
      </c>
      <c r="AS95">
        <v>0</v>
      </c>
      <c r="AT95">
        <f t="shared" si="5"/>
        <v>21.4</v>
      </c>
      <c r="AU95">
        <f t="shared" si="3"/>
        <v>0</v>
      </c>
      <c r="AV95">
        <f t="shared" si="4"/>
        <v>820.4</v>
      </c>
      <c r="AW95">
        <v>36</v>
      </c>
      <c r="BC95" t="s">
        <v>396</v>
      </c>
    </row>
    <row r="96" spans="3:55" x14ac:dyDescent="0.45">
      <c r="C96">
        <v>64.02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25.16</v>
      </c>
      <c r="L96">
        <v>0</v>
      </c>
      <c r="M96">
        <v>10.82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0</v>
      </c>
      <c r="AT96">
        <f t="shared" si="5"/>
        <v>7.0448000000000004</v>
      </c>
      <c r="AU96">
        <f t="shared" si="3"/>
        <v>3.6066666666666669</v>
      </c>
      <c r="AV96">
        <f t="shared" si="4"/>
        <v>927.44399999999996</v>
      </c>
      <c r="AW96">
        <v>62</v>
      </c>
      <c r="AX96">
        <v>611</v>
      </c>
      <c r="AZ96">
        <v>5.3</v>
      </c>
      <c r="BC96" t="s">
        <v>393</v>
      </c>
    </row>
    <row r="97" spans="3:55" x14ac:dyDescent="0.45">
      <c r="C97">
        <v>58.98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30.51</v>
      </c>
      <c r="L97">
        <v>0</v>
      </c>
      <c r="M97">
        <v>10.51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>
        <f t="shared" si="5"/>
        <v>8.5428000000000015</v>
      </c>
      <c r="AU97">
        <f t="shared" si="3"/>
        <v>3.5033333333333334</v>
      </c>
      <c r="AV97">
        <f t="shared" si="4"/>
        <v>926.14200000000005</v>
      </c>
      <c r="AW97">
        <v>61</v>
      </c>
      <c r="AX97">
        <v>435</v>
      </c>
      <c r="AZ97">
        <v>3.71</v>
      </c>
      <c r="BC97" t="s">
        <v>393</v>
      </c>
    </row>
    <row r="98" spans="3:55" x14ac:dyDescent="0.45">
      <c r="C98">
        <v>69.19</v>
      </c>
      <c r="D98">
        <v>0</v>
      </c>
      <c r="E98">
        <v>0</v>
      </c>
      <c r="F98">
        <v>0</v>
      </c>
      <c r="G98">
        <v>0</v>
      </c>
      <c r="H98">
        <v>2.16</v>
      </c>
      <c r="I98">
        <v>0</v>
      </c>
      <c r="J98">
        <v>0</v>
      </c>
      <c r="K98">
        <v>26.75</v>
      </c>
      <c r="L98">
        <v>0</v>
      </c>
      <c r="M98">
        <v>1.9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1</v>
      </c>
      <c r="W98">
        <v>0</v>
      </c>
      <c r="X98">
        <v>84</v>
      </c>
      <c r="Y98">
        <v>0</v>
      </c>
      <c r="Z98">
        <v>1</v>
      </c>
      <c r="AA98">
        <v>0</v>
      </c>
      <c r="AB98">
        <v>0</v>
      </c>
      <c r="AC98">
        <v>1000</v>
      </c>
      <c r="AD98">
        <v>1</v>
      </c>
      <c r="AE98">
        <v>1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T98">
        <f t="shared" si="5"/>
        <v>13.754000000000001</v>
      </c>
      <c r="AU98">
        <f t="shared" si="3"/>
        <v>0.6333333333333333</v>
      </c>
      <c r="AV98">
        <f t="shared" si="4"/>
        <v>856.71600000000001</v>
      </c>
      <c r="AW98">
        <v>64</v>
      </c>
      <c r="BC98" t="s">
        <v>389</v>
      </c>
    </row>
    <row r="99" spans="3:55" x14ac:dyDescent="0.45">
      <c r="C99">
        <v>66.22999999999999</v>
      </c>
      <c r="D99">
        <v>0</v>
      </c>
      <c r="E99">
        <v>0</v>
      </c>
      <c r="F99">
        <v>0</v>
      </c>
      <c r="G99">
        <v>0</v>
      </c>
      <c r="H99">
        <v>1.68</v>
      </c>
      <c r="I99">
        <v>0</v>
      </c>
      <c r="J99">
        <v>0</v>
      </c>
      <c r="K99">
        <v>27.61</v>
      </c>
      <c r="L99">
        <v>0</v>
      </c>
      <c r="M99">
        <v>4.4800000000000004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1</v>
      </c>
      <c r="W99">
        <v>0</v>
      </c>
      <c r="X99">
        <v>84</v>
      </c>
      <c r="Y99">
        <v>0</v>
      </c>
      <c r="Z99">
        <v>1</v>
      </c>
      <c r="AA99">
        <v>0</v>
      </c>
      <c r="AB99">
        <v>0</v>
      </c>
      <c r="AC99">
        <v>1000</v>
      </c>
      <c r="AD99">
        <v>1</v>
      </c>
      <c r="AE99">
        <v>1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f t="shared" si="5"/>
        <v>12.6028</v>
      </c>
      <c r="AU99">
        <f t="shared" si="3"/>
        <v>1.4933333333333334</v>
      </c>
      <c r="AV99">
        <f t="shared" si="4"/>
        <v>874.94400000000007</v>
      </c>
      <c r="AW99">
        <v>58</v>
      </c>
      <c r="BC99" t="s">
        <v>389</v>
      </c>
    </row>
    <row r="100" spans="3:55" x14ac:dyDescent="0.45">
      <c r="C100">
        <v>65.62</v>
      </c>
      <c r="D100">
        <v>0</v>
      </c>
      <c r="E100">
        <v>0</v>
      </c>
      <c r="F100">
        <v>0</v>
      </c>
      <c r="G100">
        <v>0</v>
      </c>
      <c r="H100">
        <v>2.09</v>
      </c>
      <c r="I100">
        <v>0</v>
      </c>
      <c r="J100">
        <v>0</v>
      </c>
      <c r="K100">
        <v>26.41</v>
      </c>
      <c r="L100">
        <v>0</v>
      </c>
      <c r="M100">
        <v>5.88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1</v>
      </c>
      <c r="W100">
        <v>0</v>
      </c>
      <c r="X100">
        <v>84</v>
      </c>
      <c r="Y100">
        <v>0</v>
      </c>
      <c r="Z100">
        <v>1</v>
      </c>
      <c r="AA100">
        <v>0</v>
      </c>
      <c r="AB100">
        <v>0</v>
      </c>
      <c r="AC100">
        <v>1000</v>
      </c>
      <c r="AD100">
        <v>1</v>
      </c>
      <c r="AE100">
        <v>1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f t="shared" si="5"/>
        <v>13.4558</v>
      </c>
      <c r="AU100">
        <f t="shared" si="3"/>
        <v>1.96</v>
      </c>
      <c r="AV100">
        <f t="shared" si="4"/>
        <v>874.51</v>
      </c>
      <c r="AW100">
        <v>60</v>
      </c>
      <c r="BC100" t="s">
        <v>389</v>
      </c>
    </row>
    <row r="101" spans="3:55" x14ac:dyDescent="0.45">
      <c r="C101">
        <v>63.82</v>
      </c>
      <c r="D101">
        <v>0</v>
      </c>
      <c r="E101">
        <v>0</v>
      </c>
      <c r="F101">
        <v>0</v>
      </c>
      <c r="G101">
        <v>0</v>
      </c>
      <c r="H101">
        <v>2.17</v>
      </c>
      <c r="I101">
        <v>0</v>
      </c>
      <c r="J101">
        <v>0</v>
      </c>
      <c r="K101">
        <v>25.72</v>
      </c>
      <c r="L101">
        <v>0</v>
      </c>
      <c r="M101">
        <v>8.2899999999999991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1</v>
      </c>
      <c r="W101">
        <v>0</v>
      </c>
      <c r="X101">
        <v>84</v>
      </c>
      <c r="Y101">
        <v>0</v>
      </c>
      <c r="Z101">
        <v>1</v>
      </c>
      <c r="AA101">
        <v>0</v>
      </c>
      <c r="AB101">
        <v>0</v>
      </c>
      <c r="AC101">
        <v>1000</v>
      </c>
      <c r="AD101">
        <v>1</v>
      </c>
      <c r="AE101">
        <v>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f t="shared" si="5"/>
        <v>13.494599999999998</v>
      </c>
      <c r="AU101">
        <f t="shared" si="3"/>
        <v>2.7633333333333332</v>
      </c>
      <c r="AV101">
        <f t="shared" si="4"/>
        <v>883.4</v>
      </c>
      <c r="AW101">
        <v>63</v>
      </c>
      <c r="BC101" t="s">
        <v>389</v>
      </c>
    </row>
    <row r="102" spans="3:55" x14ac:dyDescent="0.45">
      <c r="C102">
        <v>69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25</v>
      </c>
      <c r="L102">
        <v>2</v>
      </c>
      <c r="M102">
        <v>4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1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f t="shared" si="5"/>
        <v>9</v>
      </c>
      <c r="AU102">
        <f t="shared" si="3"/>
        <v>1.3333333333333333</v>
      </c>
      <c r="AV102">
        <f t="shared" si="4"/>
        <v>879.8</v>
      </c>
      <c r="AW102">
        <v>65</v>
      </c>
      <c r="BC102" t="s">
        <v>397</v>
      </c>
    </row>
    <row r="103" spans="3:55" x14ac:dyDescent="0.45">
      <c r="C103">
        <v>73.8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4.9000000000000004</v>
      </c>
      <c r="K103">
        <v>9.9</v>
      </c>
      <c r="L103">
        <v>5.0999999999999996</v>
      </c>
      <c r="M103">
        <v>6.3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1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f t="shared" si="5"/>
        <v>7.8719999999999999</v>
      </c>
      <c r="AU103">
        <f t="shared" si="3"/>
        <v>2.916666666666667</v>
      </c>
      <c r="AV103">
        <f t="shared" si="4"/>
        <v>826.2</v>
      </c>
      <c r="AW103">
        <v>59</v>
      </c>
      <c r="AX103">
        <v>275</v>
      </c>
      <c r="AY103">
        <v>762</v>
      </c>
      <c r="AZ103">
        <v>13.8</v>
      </c>
      <c r="BC103" t="s">
        <v>398</v>
      </c>
    </row>
    <row r="104" spans="3:55" x14ac:dyDescent="0.45">
      <c r="C104">
        <v>68.8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4.9000000000000004</v>
      </c>
      <c r="K104">
        <v>9.9</v>
      </c>
      <c r="L104">
        <v>5.0999999999999996</v>
      </c>
      <c r="M104">
        <v>6.3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f t="shared" si="5"/>
        <v>7.8719999999999999</v>
      </c>
      <c r="AU104">
        <f t="shared" si="3"/>
        <v>2.916666666666667</v>
      </c>
      <c r="AV104">
        <f t="shared" si="4"/>
        <v>826.2</v>
      </c>
      <c r="AW104">
        <v>59</v>
      </c>
      <c r="BC104" t="s">
        <v>395</v>
      </c>
    </row>
    <row r="105" spans="3:55" x14ac:dyDescent="0.45">
      <c r="C105">
        <v>68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5</v>
      </c>
      <c r="K105">
        <v>15.2</v>
      </c>
      <c r="L105">
        <v>5.3</v>
      </c>
      <c r="M105">
        <v>6.5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f t="shared" si="5"/>
        <v>9.5560000000000009</v>
      </c>
      <c r="AU105">
        <f t="shared" si="3"/>
        <v>3</v>
      </c>
      <c r="AV105">
        <f t="shared" si="4"/>
        <v>824.44999999999993</v>
      </c>
      <c r="AW105">
        <v>55</v>
      </c>
      <c r="AX105">
        <v>533</v>
      </c>
      <c r="AY105">
        <v>692</v>
      </c>
      <c r="AZ105">
        <v>14.2</v>
      </c>
      <c r="BC105" t="s">
        <v>399</v>
      </c>
    </row>
    <row r="106" spans="3:55" x14ac:dyDescent="0.45">
      <c r="C106">
        <v>68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5</v>
      </c>
      <c r="K106">
        <v>15.2</v>
      </c>
      <c r="L106">
        <v>5.3</v>
      </c>
      <c r="M106">
        <v>6.5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>
        <v>0</v>
      </c>
      <c r="AR106">
        <v>0</v>
      </c>
      <c r="AS106">
        <v>0</v>
      </c>
      <c r="AT106">
        <f t="shared" si="5"/>
        <v>9.5560000000000009</v>
      </c>
      <c r="AU106">
        <f t="shared" si="3"/>
        <v>3</v>
      </c>
      <c r="AV106">
        <f t="shared" si="4"/>
        <v>824.44999999999993</v>
      </c>
      <c r="AW106">
        <v>55</v>
      </c>
      <c r="BC106" t="s">
        <v>395</v>
      </c>
    </row>
    <row r="107" spans="3:55" x14ac:dyDescent="0.45">
      <c r="C107">
        <v>62.25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0.45</v>
      </c>
      <c r="K107">
        <v>21.19</v>
      </c>
      <c r="L107">
        <v>0</v>
      </c>
      <c r="M107">
        <v>9.4700000000000006</v>
      </c>
      <c r="N107">
        <v>0</v>
      </c>
      <c r="O107">
        <v>6.64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1</v>
      </c>
      <c r="Z107">
        <v>0</v>
      </c>
      <c r="AA107">
        <v>0</v>
      </c>
      <c r="AB107">
        <v>0</v>
      </c>
      <c r="AC107">
        <v>1200</v>
      </c>
      <c r="AD107">
        <v>30</v>
      </c>
      <c r="AE107">
        <v>1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0</v>
      </c>
      <c r="AT107">
        <f t="shared" si="5"/>
        <v>7.394000000000001</v>
      </c>
      <c r="AU107">
        <f t="shared" si="3"/>
        <v>3.2316666666666669</v>
      </c>
      <c r="AV107">
        <f t="shared" si="4"/>
        <v>918.66899999999998</v>
      </c>
      <c r="AW107">
        <v>80.58</v>
      </c>
      <c r="BC107" t="s">
        <v>400</v>
      </c>
    </row>
    <row r="108" spans="3:55" x14ac:dyDescent="0.45">
      <c r="C108">
        <v>65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11.4</v>
      </c>
      <c r="K108">
        <v>11.6</v>
      </c>
      <c r="L108">
        <v>0</v>
      </c>
      <c r="M108">
        <v>12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</v>
      </c>
      <c r="Z108">
        <v>0</v>
      </c>
      <c r="AA108">
        <v>0</v>
      </c>
      <c r="AB108">
        <v>0</v>
      </c>
      <c r="AC108">
        <v>1200</v>
      </c>
      <c r="AD108">
        <v>24</v>
      </c>
      <c r="AE108">
        <v>1</v>
      </c>
      <c r="AF108">
        <v>0</v>
      </c>
      <c r="AG108">
        <v>0</v>
      </c>
      <c r="AH108">
        <v>900</v>
      </c>
      <c r="AI108">
        <v>0.16666666666666666</v>
      </c>
      <c r="AJ108">
        <v>1</v>
      </c>
      <c r="AK108">
        <v>0</v>
      </c>
      <c r="AL108">
        <v>0</v>
      </c>
      <c r="AM108">
        <v>0</v>
      </c>
      <c r="AN108">
        <v>0</v>
      </c>
      <c r="AO108">
        <v>0</v>
      </c>
      <c r="AP108">
        <v>0</v>
      </c>
      <c r="AQ108">
        <v>0</v>
      </c>
      <c r="AR108">
        <v>0</v>
      </c>
      <c r="AS108">
        <v>0</v>
      </c>
      <c r="AT108">
        <f t="shared" si="5"/>
        <v>3.2480000000000002</v>
      </c>
      <c r="AU108">
        <f t="shared" si="3"/>
        <v>5.9</v>
      </c>
      <c r="AV108">
        <f t="shared" si="4"/>
        <v>853.74</v>
      </c>
      <c r="AW108">
        <v>42.4</v>
      </c>
      <c r="BC108" t="s">
        <v>401</v>
      </c>
    </row>
    <row r="109" spans="3:55" x14ac:dyDescent="0.45">
      <c r="C109">
        <v>62.5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11.8</v>
      </c>
      <c r="K109">
        <v>13.4</v>
      </c>
      <c r="L109">
        <v>0</v>
      </c>
      <c r="M109">
        <v>12.03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>
        <v>0</v>
      </c>
      <c r="AB109">
        <v>0</v>
      </c>
      <c r="AC109">
        <v>1200</v>
      </c>
      <c r="AD109">
        <v>24</v>
      </c>
      <c r="AE109">
        <v>1</v>
      </c>
      <c r="AF109">
        <v>0</v>
      </c>
      <c r="AG109">
        <v>0</v>
      </c>
      <c r="AH109">
        <v>900</v>
      </c>
      <c r="AI109">
        <v>0.16666666666666666</v>
      </c>
      <c r="AJ109">
        <v>1</v>
      </c>
      <c r="AK109">
        <v>0</v>
      </c>
      <c r="AL109">
        <v>0</v>
      </c>
      <c r="AM109">
        <v>0</v>
      </c>
      <c r="AN109">
        <v>0</v>
      </c>
      <c r="AO109">
        <v>0</v>
      </c>
      <c r="AP109">
        <v>0</v>
      </c>
      <c r="AQ109">
        <v>0</v>
      </c>
      <c r="AR109">
        <v>0</v>
      </c>
      <c r="AS109">
        <v>0</v>
      </c>
      <c r="AT109">
        <f t="shared" si="5"/>
        <v>3.7520000000000007</v>
      </c>
      <c r="AU109">
        <f t="shared" si="3"/>
        <v>5.9766666666666666</v>
      </c>
      <c r="AV109">
        <f t="shared" si="4"/>
        <v>851.10599999999999</v>
      </c>
      <c r="AW109">
        <v>51.6</v>
      </c>
      <c r="BC109" t="s">
        <v>401</v>
      </c>
    </row>
    <row r="110" spans="3:55" x14ac:dyDescent="0.45">
      <c r="C110">
        <v>61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11.9</v>
      </c>
      <c r="K110">
        <v>15.5</v>
      </c>
      <c r="L110">
        <v>0</v>
      </c>
      <c r="M110">
        <v>11.6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>
        <v>0</v>
      </c>
      <c r="AB110">
        <v>0</v>
      </c>
      <c r="AC110">
        <v>1200</v>
      </c>
      <c r="AD110">
        <v>24</v>
      </c>
      <c r="AE110">
        <v>1</v>
      </c>
      <c r="AF110">
        <v>0</v>
      </c>
      <c r="AG110">
        <v>0</v>
      </c>
      <c r="AH110">
        <v>900</v>
      </c>
      <c r="AI110">
        <v>0.16666666666666666</v>
      </c>
      <c r="AJ110">
        <v>1</v>
      </c>
      <c r="AK110">
        <v>0</v>
      </c>
      <c r="AL110">
        <v>0</v>
      </c>
      <c r="AM110">
        <v>0</v>
      </c>
      <c r="AN110">
        <v>0</v>
      </c>
      <c r="AO110">
        <v>0</v>
      </c>
      <c r="AP110">
        <v>0</v>
      </c>
      <c r="AQ110">
        <v>0</v>
      </c>
      <c r="AR110">
        <v>0</v>
      </c>
      <c r="AS110">
        <v>0</v>
      </c>
      <c r="AT110">
        <f t="shared" si="5"/>
        <v>4.3400000000000007</v>
      </c>
      <c r="AU110">
        <f t="shared" si="3"/>
        <v>5.85</v>
      </c>
      <c r="AV110">
        <f t="shared" si="4"/>
        <v>848.61</v>
      </c>
      <c r="AW110">
        <v>71.3</v>
      </c>
      <c r="BC110" t="s">
        <v>401</v>
      </c>
    </row>
    <row r="111" spans="3:55" x14ac:dyDescent="0.45">
      <c r="C111">
        <v>62.9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4.8</v>
      </c>
      <c r="K111">
        <v>17.7</v>
      </c>
      <c r="L111">
        <v>0</v>
      </c>
      <c r="M111">
        <v>14.6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1</v>
      </c>
      <c r="W111">
        <v>1000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1200</v>
      </c>
      <c r="AD111">
        <v>24</v>
      </c>
      <c r="AE111">
        <v>1</v>
      </c>
      <c r="AF111">
        <v>0</v>
      </c>
      <c r="AG111">
        <v>0</v>
      </c>
      <c r="AH111">
        <v>900</v>
      </c>
      <c r="AI111">
        <v>0.16666666666666666</v>
      </c>
      <c r="AJ111">
        <v>1</v>
      </c>
      <c r="AK111">
        <v>0</v>
      </c>
      <c r="AL111">
        <v>0</v>
      </c>
      <c r="AM111">
        <v>0</v>
      </c>
      <c r="AN111">
        <v>0</v>
      </c>
      <c r="AO111">
        <v>0</v>
      </c>
      <c r="AP111">
        <v>0</v>
      </c>
      <c r="AQ111">
        <v>0</v>
      </c>
      <c r="AR111">
        <v>0</v>
      </c>
      <c r="AS111">
        <v>0</v>
      </c>
      <c r="AT111">
        <f t="shared" si="5"/>
        <v>4.9560000000000004</v>
      </c>
      <c r="AU111">
        <f t="shared" si="3"/>
        <v>5.6666666666666661</v>
      </c>
      <c r="AV111">
        <f t="shared" si="4"/>
        <v>910.2</v>
      </c>
      <c r="AW111">
        <v>52.5</v>
      </c>
      <c r="BC111" t="s">
        <v>402</v>
      </c>
    </row>
    <row r="112" spans="3:55" x14ac:dyDescent="0.45">
      <c r="C112">
        <v>64.099999999999994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4</v>
      </c>
      <c r="K112">
        <v>24</v>
      </c>
      <c r="L112">
        <v>0</v>
      </c>
      <c r="M112">
        <v>7.9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0</v>
      </c>
      <c r="AR112">
        <v>0</v>
      </c>
      <c r="AS112">
        <v>0</v>
      </c>
      <c r="AT112">
        <f t="shared" si="5"/>
        <v>6.7200000000000006</v>
      </c>
      <c r="AU112">
        <f t="shared" si="3"/>
        <v>3.3</v>
      </c>
      <c r="AV112">
        <f t="shared" si="4"/>
        <v>887.57999999999993</v>
      </c>
      <c r="AW112">
        <v>33</v>
      </c>
      <c r="BC112" t="s">
        <v>395</v>
      </c>
    </row>
    <row r="113" spans="3:55" x14ac:dyDescent="0.45">
      <c r="C113">
        <v>64.012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3.92</v>
      </c>
      <c r="K113">
        <v>24.1</v>
      </c>
      <c r="L113">
        <v>0</v>
      </c>
      <c r="M113">
        <v>7.85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8.0000000000000002E-3</v>
      </c>
      <c r="T113">
        <v>0.11</v>
      </c>
      <c r="U113">
        <v>0</v>
      </c>
      <c r="V113">
        <v>1</v>
      </c>
      <c r="W113">
        <v>800</v>
      </c>
      <c r="X113">
        <v>50</v>
      </c>
      <c r="Y113">
        <v>0</v>
      </c>
      <c r="Z113">
        <v>1</v>
      </c>
      <c r="AA113">
        <v>1</v>
      </c>
      <c r="AB113">
        <v>0</v>
      </c>
      <c r="AC113">
        <v>850</v>
      </c>
      <c r="AD113">
        <v>0</v>
      </c>
      <c r="AE113">
        <v>1</v>
      </c>
      <c r="AF113">
        <v>1</v>
      </c>
      <c r="AG113">
        <v>0</v>
      </c>
      <c r="AH113">
        <v>800</v>
      </c>
      <c r="AI113">
        <v>0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</v>
      </c>
      <c r="AR113">
        <v>0</v>
      </c>
      <c r="AS113">
        <v>0</v>
      </c>
      <c r="AT113">
        <f t="shared" si="5"/>
        <v>6.7480000000000011</v>
      </c>
      <c r="AU113">
        <f t="shared" si="3"/>
        <v>3.2818000000000001</v>
      </c>
      <c r="AV113">
        <f t="shared" si="4"/>
        <v>901.452</v>
      </c>
      <c r="AW113">
        <v>42</v>
      </c>
      <c r="AY113">
        <v>850</v>
      </c>
      <c r="BC113" t="s">
        <v>403</v>
      </c>
    </row>
    <row r="114" spans="3:55" x14ac:dyDescent="0.45">
      <c r="C114">
        <v>64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4</v>
      </c>
      <c r="K114">
        <v>24</v>
      </c>
      <c r="L114">
        <v>0</v>
      </c>
      <c r="M114">
        <v>8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0</v>
      </c>
      <c r="AA114">
        <v>0</v>
      </c>
      <c r="AB114">
        <v>0</v>
      </c>
      <c r="AC114">
        <v>1000</v>
      </c>
      <c r="AD114">
        <v>1</v>
      </c>
      <c r="AE114">
        <v>1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>
        <v>0</v>
      </c>
      <c r="AS114">
        <v>0</v>
      </c>
      <c r="AT114">
        <f t="shared" si="5"/>
        <v>6.7200000000000006</v>
      </c>
      <c r="AU114">
        <f t="shared" si="3"/>
        <v>3.333333333333333</v>
      </c>
      <c r="AV114">
        <f t="shared" si="4"/>
        <v>888</v>
      </c>
      <c r="AW114">
        <v>56.9</v>
      </c>
      <c r="AY114">
        <v>795</v>
      </c>
      <c r="BC114" t="s">
        <v>404</v>
      </c>
    </row>
    <row r="115" spans="3:55" x14ac:dyDescent="0.45">
      <c r="C115">
        <v>64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4</v>
      </c>
      <c r="K115">
        <v>24</v>
      </c>
      <c r="L115">
        <v>0</v>
      </c>
      <c r="M115">
        <v>8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</v>
      </c>
      <c r="Z115">
        <v>0</v>
      </c>
      <c r="AA115">
        <v>0</v>
      </c>
      <c r="AB115">
        <v>0</v>
      </c>
      <c r="AC115">
        <v>1000</v>
      </c>
      <c r="AD115">
        <v>1</v>
      </c>
      <c r="AE115">
        <v>1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0</v>
      </c>
      <c r="AP115">
        <v>0</v>
      </c>
      <c r="AQ115">
        <v>0</v>
      </c>
      <c r="AR115">
        <v>0</v>
      </c>
      <c r="AS115">
        <v>0</v>
      </c>
      <c r="AT115">
        <f t="shared" si="5"/>
        <v>6.7200000000000006</v>
      </c>
      <c r="AU115">
        <f t="shared" si="3"/>
        <v>3.333333333333333</v>
      </c>
      <c r="AV115">
        <f t="shared" si="4"/>
        <v>888</v>
      </c>
      <c r="AW115">
        <v>58.3</v>
      </c>
      <c r="AY115">
        <v>760</v>
      </c>
      <c r="BC115" t="s">
        <v>404</v>
      </c>
    </row>
    <row r="116" spans="3:55" x14ac:dyDescent="0.45">
      <c r="C116">
        <v>64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4</v>
      </c>
      <c r="K116">
        <v>24</v>
      </c>
      <c r="L116">
        <v>0</v>
      </c>
      <c r="M116">
        <v>8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0</v>
      </c>
      <c r="AA116">
        <v>0</v>
      </c>
      <c r="AB116">
        <v>0</v>
      </c>
      <c r="AC116">
        <v>1000</v>
      </c>
      <c r="AD116">
        <v>1</v>
      </c>
      <c r="AE116">
        <v>1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f t="shared" si="5"/>
        <v>6.7200000000000006</v>
      </c>
      <c r="AU116">
        <f t="shared" si="3"/>
        <v>3.333333333333333</v>
      </c>
      <c r="AV116">
        <f t="shared" si="4"/>
        <v>888</v>
      </c>
      <c r="AW116">
        <v>59.2</v>
      </c>
      <c r="AY116">
        <v>755</v>
      </c>
      <c r="BC116" t="s">
        <v>404</v>
      </c>
    </row>
    <row r="117" spans="3:55" x14ac:dyDescent="0.45">
      <c r="C117">
        <v>64.099999999999994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4</v>
      </c>
      <c r="K117">
        <v>24</v>
      </c>
      <c r="L117">
        <v>0</v>
      </c>
      <c r="M117">
        <v>7.9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1</v>
      </c>
      <c r="W117">
        <v>800</v>
      </c>
      <c r="X117">
        <v>50</v>
      </c>
      <c r="Y117">
        <v>0</v>
      </c>
      <c r="Z117">
        <v>1</v>
      </c>
      <c r="AA117">
        <v>1</v>
      </c>
      <c r="AB117">
        <v>0</v>
      </c>
      <c r="AC117">
        <v>850</v>
      </c>
      <c r="AD117">
        <v>0</v>
      </c>
      <c r="AE117">
        <v>1</v>
      </c>
      <c r="AF117">
        <v>1</v>
      </c>
      <c r="AG117">
        <v>0</v>
      </c>
      <c r="AH117">
        <v>800</v>
      </c>
      <c r="AI117">
        <v>0</v>
      </c>
      <c r="AJ117">
        <v>0</v>
      </c>
      <c r="AK117">
        <v>0</v>
      </c>
      <c r="AL117">
        <v>0</v>
      </c>
      <c r="AM117">
        <v>0</v>
      </c>
      <c r="AN117">
        <v>0</v>
      </c>
      <c r="AO117">
        <v>0</v>
      </c>
      <c r="AP117">
        <v>0</v>
      </c>
      <c r="AQ117">
        <v>0</v>
      </c>
      <c r="AR117">
        <v>0</v>
      </c>
      <c r="AS117">
        <v>0</v>
      </c>
      <c r="AT117">
        <f t="shared" si="5"/>
        <v>6.7200000000000006</v>
      </c>
      <c r="AU117">
        <f t="shared" si="3"/>
        <v>3.3</v>
      </c>
      <c r="AV117">
        <f t="shared" si="4"/>
        <v>887.57999999999993</v>
      </c>
      <c r="AW117">
        <v>42</v>
      </c>
      <c r="AY117">
        <v>850</v>
      </c>
      <c r="BC117" t="s">
        <v>403</v>
      </c>
    </row>
    <row r="118" spans="3:55" x14ac:dyDescent="0.45">
      <c r="C118">
        <v>71.3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4.4000000000000004</v>
      </c>
      <c r="K118">
        <v>13.5</v>
      </c>
      <c r="L118">
        <v>2.8</v>
      </c>
      <c r="M118">
        <v>8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0</v>
      </c>
      <c r="AR118">
        <v>0</v>
      </c>
      <c r="AS118">
        <v>0</v>
      </c>
      <c r="AT118">
        <f t="shared" si="5"/>
        <v>6.58</v>
      </c>
      <c r="AU118">
        <f t="shared" si="3"/>
        <v>3.4</v>
      </c>
      <c r="AV118">
        <f t="shared" si="4"/>
        <v>858.64</v>
      </c>
      <c r="AW118">
        <v>46</v>
      </c>
      <c r="BC118" t="s">
        <v>373</v>
      </c>
    </row>
    <row r="119" spans="3:55" x14ac:dyDescent="0.45">
      <c r="C119">
        <v>64.3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5.7</v>
      </c>
      <c r="K119">
        <v>14.6</v>
      </c>
      <c r="L119">
        <v>0</v>
      </c>
      <c r="M119">
        <v>9.9</v>
      </c>
      <c r="N119">
        <v>0</v>
      </c>
      <c r="O119">
        <v>5.5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1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0</v>
      </c>
      <c r="AM119">
        <v>0</v>
      </c>
      <c r="AN119">
        <v>0</v>
      </c>
      <c r="AO119">
        <v>0</v>
      </c>
      <c r="AP119">
        <v>0</v>
      </c>
      <c r="AQ119">
        <v>0</v>
      </c>
      <c r="AR119">
        <v>0</v>
      </c>
      <c r="AS119">
        <v>0</v>
      </c>
      <c r="AT119">
        <f t="shared" si="5"/>
        <v>5.298</v>
      </c>
      <c r="AU119">
        <f t="shared" si="3"/>
        <v>4.25</v>
      </c>
      <c r="AV119">
        <f t="shared" si="4"/>
        <v>884.25</v>
      </c>
      <c r="AW119">
        <v>52.2</v>
      </c>
      <c r="BC119" t="s">
        <v>405</v>
      </c>
    </row>
    <row r="120" spans="3:55" x14ac:dyDescent="0.45">
      <c r="C120">
        <v>50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25</v>
      </c>
      <c r="L120">
        <v>0</v>
      </c>
      <c r="M120">
        <v>0</v>
      </c>
      <c r="N120">
        <v>0</v>
      </c>
      <c r="O120">
        <v>25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1</v>
      </c>
      <c r="W120">
        <v>0</v>
      </c>
      <c r="X120">
        <v>80</v>
      </c>
      <c r="Y120">
        <v>0</v>
      </c>
      <c r="Z120">
        <v>1</v>
      </c>
      <c r="AA120">
        <v>0</v>
      </c>
      <c r="AB120">
        <v>0</v>
      </c>
      <c r="AC120">
        <v>950</v>
      </c>
      <c r="AD120">
        <v>20</v>
      </c>
      <c r="AE120">
        <v>1</v>
      </c>
      <c r="AF120">
        <v>0</v>
      </c>
      <c r="AG120">
        <v>0</v>
      </c>
      <c r="AH120">
        <v>850</v>
      </c>
      <c r="AI120">
        <v>0.5</v>
      </c>
      <c r="AJ120">
        <v>0</v>
      </c>
      <c r="AK120">
        <v>0</v>
      </c>
      <c r="AL120">
        <v>0</v>
      </c>
      <c r="AM120">
        <v>0</v>
      </c>
      <c r="AN120">
        <v>0</v>
      </c>
      <c r="AO120">
        <v>0</v>
      </c>
      <c r="AP120">
        <v>0</v>
      </c>
      <c r="AQ120">
        <v>0</v>
      </c>
      <c r="AR120">
        <v>0</v>
      </c>
      <c r="AS120">
        <v>0</v>
      </c>
      <c r="AT120">
        <f t="shared" si="5"/>
        <v>12.5</v>
      </c>
      <c r="AU120">
        <f t="shared" si="3"/>
        <v>0</v>
      </c>
      <c r="AV120">
        <f t="shared" si="4"/>
        <v>882</v>
      </c>
      <c r="AW120">
        <v>55</v>
      </c>
      <c r="AY120">
        <v>530</v>
      </c>
      <c r="AZ120">
        <v>20</v>
      </c>
      <c r="BA120">
        <v>145</v>
      </c>
      <c r="BC120" t="s">
        <v>406</v>
      </c>
    </row>
    <row r="121" spans="3:55" x14ac:dyDescent="0.45">
      <c r="C121">
        <v>67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16</v>
      </c>
      <c r="L121">
        <v>4</v>
      </c>
      <c r="M121">
        <v>0</v>
      </c>
      <c r="N121">
        <v>0</v>
      </c>
      <c r="O121">
        <v>13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1</v>
      </c>
      <c r="W121">
        <v>0</v>
      </c>
      <c r="X121">
        <v>75</v>
      </c>
      <c r="Y121">
        <v>0</v>
      </c>
      <c r="Z121">
        <v>1</v>
      </c>
      <c r="AA121">
        <v>0</v>
      </c>
      <c r="AB121">
        <v>0</v>
      </c>
      <c r="AC121">
        <v>1000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0</v>
      </c>
      <c r="AM121">
        <v>0</v>
      </c>
      <c r="AN121">
        <v>0</v>
      </c>
      <c r="AO121">
        <v>0</v>
      </c>
      <c r="AP121">
        <v>0</v>
      </c>
      <c r="AQ121">
        <v>0</v>
      </c>
      <c r="AR121">
        <v>0</v>
      </c>
      <c r="AS121">
        <v>0</v>
      </c>
      <c r="AT121">
        <f t="shared" si="5"/>
        <v>11.34</v>
      </c>
      <c r="AU121">
        <f t="shared" si="3"/>
        <v>0</v>
      </c>
      <c r="AV121">
        <f t="shared" si="4"/>
        <v>844</v>
      </c>
      <c r="AW121">
        <v>43.5</v>
      </c>
      <c r="BC121" t="s">
        <v>407</v>
      </c>
    </row>
    <row r="122" spans="3:55" x14ac:dyDescent="0.45">
      <c r="C122">
        <v>54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29</v>
      </c>
      <c r="L122">
        <v>4</v>
      </c>
      <c r="M122">
        <v>0</v>
      </c>
      <c r="N122">
        <v>0</v>
      </c>
      <c r="O122">
        <v>13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0</v>
      </c>
      <c r="AN122">
        <v>0</v>
      </c>
      <c r="AO122">
        <v>0</v>
      </c>
      <c r="AP122">
        <v>0</v>
      </c>
      <c r="AQ122">
        <v>0</v>
      </c>
      <c r="AR122">
        <v>0</v>
      </c>
      <c r="AS122">
        <v>0</v>
      </c>
      <c r="AT122">
        <f t="shared" si="5"/>
        <v>14.98</v>
      </c>
      <c r="AU122">
        <f t="shared" si="3"/>
        <v>0</v>
      </c>
      <c r="AV122">
        <f t="shared" si="4"/>
        <v>844</v>
      </c>
      <c r="AW122">
        <v>65</v>
      </c>
      <c r="BC122" t="s">
        <v>408</v>
      </c>
    </row>
    <row r="123" spans="3:55" x14ac:dyDescent="0.45">
      <c r="C123">
        <v>67.3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16.600000000000001</v>
      </c>
      <c r="L123">
        <v>4.9000000000000004</v>
      </c>
      <c r="M123">
        <v>2</v>
      </c>
      <c r="N123">
        <v>0</v>
      </c>
      <c r="O123">
        <v>9.1999999999999993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f t="shared" si="5"/>
        <v>11.572000000000003</v>
      </c>
      <c r="AU123">
        <f t="shared" si="3"/>
        <v>0.66666666666666663</v>
      </c>
      <c r="AV123">
        <f t="shared" si="4"/>
        <v>843.85</v>
      </c>
      <c r="AW123">
        <v>73</v>
      </c>
      <c r="BC123" t="s">
        <v>383</v>
      </c>
    </row>
    <row r="124" spans="3:55" x14ac:dyDescent="0.45">
      <c r="C124">
        <v>56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29</v>
      </c>
      <c r="L124">
        <v>0</v>
      </c>
      <c r="M124">
        <v>2</v>
      </c>
      <c r="N124">
        <v>0</v>
      </c>
      <c r="O124">
        <v>13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  <c r="AP124">
        <v>0</v>
      </c>
      <c r="AQ124">
        <v>0</v>
      </c>
      <c r="AR124">
        <v>0</v>
      </c>
      <c r="AS124">
        <v>0</v>
      </c>
      <c r="AT124">
        <f t="shared" si="5"/>
        <v>10.98</v>
      </c>
      <c r="AU124">
        <f t="shared" si="3"/>
        <v>0.66666666666666663</v>
      </c>
      <c r="AV124">
        <f t="shared" si="4"/>
        <v>890.4</v>
      </c>
      <c r="AW124">
        <v>47</v>
      </c>
      <c r="BC124" t="s">
        <v>407</v>
      </c>
    </row>
    <row r="125" spans="3:55" x14ac:dyDescent="0.45">
      <c r="C125">
        <v>53.4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29</v>
      </c>
      <c r="L125">
        <v>0</v>
      </c>
      <c r="M125">
        <v>4.5999999999999996</v>
      </c>
      <c r="N125">
        <v>0</v>
      </c>
      <c r="O125">
        <v>13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0</v>
      </c>
      <c r="AN125">
        <v>0</v>
      </c>
      <c r="AO125">
        <v>0</v>
      </c>
      <c r="AP125">
        <v>0</v>
      </c>
      <c r="AQ125">
        <v>0</v>
      </c>
      <c r="AR125">
        <v>0</v>
      </c>
      <c r="AS125">
        <v>0</v>
      </c>
      <c r="AT125">
        <f t="shared" si="5"/>
        <v>10.98</v>
      </c>
      <c r="AU125">
        <f t="shared" si="3"/>
        <v>1.5333333333333332</v>
      </c>
      <c r="AV125">
        <f t="shared" si="4"/>
        <v>901.32</v>
      </c>
      <c r="AW125">
        <v>55</v>
      </c>
      <c r="AX125">
        <v>920</v>
      </c>
      <c r="BC125" t="s">
        <v>407</v>
      </c>
    </row>
    <row r="126" spans="3:55" x14ac:dyDescent="0.45">
      <c r="C126">
        <v>52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29</v>
      </c>
      <c r="L126">
        <v>0</v>
      </c>
      <c r="M126">
        <v>6</v>
      </c>
      <c r="N126">
        <v>0</v>
      </c>
      <c r="O126">
        <v>13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0</v>
      </c>
      <c r="AQ126">
        <v>0</v>
      </c>
      <c r="AR126">
        <v>0</v>
      </c>
      <c r="AS126">
        <v>0</v>
      </c>
      <c r="AT126">
        <f t="shared" si="5"/>
        <v>10.98</v>
      </c>
      <c r="AU126">
        <f t="shared" si="3"/>
        <v>2</v>
      </c>
      <c r="AV126">
        <f t="shared" si="4"/>
        <v>907.2</v>
      </c>
      <c r="AW126">
        <v>74</v>
      </c>
      <c r="BC126" t="s">
        <v>407</v>
      </c>
    </row>
    <row r="127" spans="3:55" x14ac:dyDescent="0.45">
      <c r="C127">
        <v>60.7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4.2</v>
      </c>
      <c r="K127">
        <v>21.2</v>
      </c>
      <c r="L127">
        <v>0</v>
      </c>
      <c r="M127">
        <v>5.4</v>
      </c>
      <c r="N127">
        <v>0</v>
      </c>
      <c r="O127">
        <v>8.1999999999999993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f t="shared" si="5"/>
        <v>7.74</v>
      </c>
      <c r="AU127">
        <f t="shared" si="3"/>
        <v>2.5</v>
      </c>
      <c r="AV127">
        <f t="shared" si="4"/>
        <v>875.69999999999993</v>
      </c>
      <c r="AW127">
        <v>47</v>
      </c>
      <c r="BC127" t="s">
        <v>409</v>
      </c>
    </row>
    <row r="128" spans="3:55" x14ac:dyDescent="0.45">
      <c r="C128">
        <v>71.099999999999994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3.4</v>
      </c>
      <c r="K128">
        <v>17.399999999999999</v>
      </c>
      <c r="L128">
        <v>0</v>
      </c>
      <c r="M128">
        <v>0</v>
      </c>
      <c r="N128">
        <v>0</v>
      </c>
      <c r="O128">
        <v>8.1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  <c r="AP128">
        <v>0</v>
      </c>
      <c r="AQ128">
        <v>0</v>
      </c>
      <c r="AR128">
        <v>0</v>
      </c>
      <c r="AS128">
        <v>0</v>
      </c>
      <c r="AT128">
        <f t="shared" si="5"/>
        <v>6.6539999999999999</v>
      </c>
      <c r="AU128">
        <f t="shared" si="3"/>
        <v>0.56666666666666665</v>
      </c>
      <c r="AV128">
        <f t="shared" si="4"/>
        <v>858.54</v>
      </c>
      <c r="AW128">
        <v>55.3</v>
      </c>
      <c r="BC128" t="s">
        <v>383</v>
      </c>
    </row>
    <row r="129" spans="3:55" x14ac:dyDescent="0.45">
      <c r="C129">
        <v>60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5</v>
      </c>
      <c r="K129">
        <v>29</v>
      </c>
      <c r="L129">
        <v>0</v>
      </c>
      <c r="M129">
        <v>0</v>
      </c>
      <c r="N129">
        <v>0</v>
      </c>
      <c r="O129">
        <v>6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0</v>
      </c>
      <c r="AN129">
        <v>0</v>
      </c>
      <c r="AO129">
        <v>0</v>
      </c>
      <c r="AP129">
        <v>0</v>
      </c>
      <c r="AQ129">
        <v>0</v>
      </c>
      <c r="AR129">
        <v>0</v>
      </c>
      <c r="AS129">
        <v>0</v>
      </c>
      <c r="AT129">
        <f t="shared" si="5"/>
        <v>9.4400000000000013</v>
      </c>
      <c r="AU129">
        <f t="shared" si="3"/>
        <v>0.83333333333333337</v>
      </c>
      <c r="AV129">
        <f t="shared" si="4"/>
        <v>847.5</v>
      </c>
      <c r="AW129">
        <v>43</v>
      </c>
      <c r="BC129" t="s">
        <v>401</v>
      </c>
    </row>
    <row r="130" spans="3:55" x14ac:dyDescent="0.45">
      <c r="C130">
        <v>50.9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7.1</v>
      </c>
      <c r="K130">
        <v>29</v>
      </c>
      <c r="L130">
        <v>0</v>
      </c>
      <c r="M130">
        <v>0</v>
      </c>
      <c r="N130">
        <v>0</v>
      </c>
      <c r="O130">
        <v>13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1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0</v>
      </c>
      <c r="AM130">
        <v>0</v>
      </c>
      <c r="AN130">
        <v>0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f t="shared" si="5"/>
        <v>10.98</v>
      </c>
      <c r="AU130">
        <f t="shared" ref="AU130:AU193" si="6">D130+J130/6+M130/3+(T130+S130)/10</f>
        <v>1.1833333333333333</v>
      </c>
      <c r="AV130">
        <f t="shared" ref="AV130:AV193" si="7">882+2.1*D130-9.5*L130+4.2*M130-6.9*J130-11.8*E130-12.1*F130-15.4*H130+23.3*Q130+123*T130</f>
        <v>833.01</v>
      </c>
      <c r="AW130">
        <v>55</v>
      </c>
      <c r="BC130" t="s">
        <v>410</v>
      </c>
    </row>
    <row r="131" spans="3:55" x14ac:dyDescent="0.45">
      <c r="C131">
        <v>55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5</v>
      </c>
      <c r="K131">
        <v>29</v>
      </c>
      <c r="L131">
        <v>0</v>
      </c>
      <c r="M131">
        <v>0</v>
      </c>
      <c r="N131">
        <v>0</v>
      </c>
      <c r="O131">
        <v>11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1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0</v>
      </c>
      <c r="AM131">
        <v>0</v>
      </c>
      <c r="AN131">
        <v>0</v>
      </c>
      <c r="AO131">
        <v>0</v>
      </c>
      <c r="AP131">
        <v>0</v>
      </c>
      <c r="AQ131">
        <v>0</v>
      </c>
      <c r="AR131">
        <v>0</v>
      </c>
      <c r="AS131">
        <v>0</v>
      </c>
      <c r="AT131">
        <f t="shared" ref="AT131:AT194" si="8">L131+0.67*E131+0.44*P131+0.28*K131+0.22*O131+2.9*H131+1.6*F131+1.7*G131-D131</f>
        <v>10.540000000000001</v>
      </c>
      <c r="AU131">
        <f t="shared" si="6"/>
        <v>0.83333333333333337</v>
      </c>
      <c r="AV131">
        <f t="shared" si="7"/>
        <v>847.5</v>
      </c>
      <c r="AW131">
        <v>50</v>
      </c>
      <c r="BC131" t="s">
        <v>411</v>
      </c>
    </row>
    <row r="132" spans="3:55" x14ac:dyDescent="0.45">
      <c r="C132">
        <v>53.5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4.5</v>
      </c>
      <c r="K132">
        <v>29</v>
      </c>
      <c r="L132">
        <v>0</v>
      </c>
      <c r="M132">
        <v>0</v>
      </c>
      <c r="N132">
        <v>0</v>
      </c>
      <c r="O132">
        <v>13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1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0</v>
      </c>
      <c r="AN132">
        <v>0</v>
      </c>
      <c r="AO132">
        <v>0</v>
      </c>
      <c r="AP132">
        <v>0</v>
      </c>
      <c r="AQ132">
        <v>0</v>
      </c>
      <c r="AR132">
        <v>0</v>
      </c>
      <c r="AS132">
        <v>0</v>
      </c>
      <c r="AT132">
        <f t="shared" si="8"/>
        <v>10.98</v>
      </c>
      <c r="AU132">
        <f t="shared" si="6"/>
        <v>0.75</v>
      </c>
      <c r="AV132">
        <f t="shared" si="7"/>
        <v>850.95</v>
      </c>
      <c r="AW132">
        <v>60</v>
      </c>
      <c r="BC132" t="s">
        <v>411</v>
      </c>
    </row>
    <row r="133" spans="3:55" x14ac:dyDescent="0.45">
      <c r="C133">
        <v>53.4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4.5999999999999996</v>
      </c>
      <c r="K133">
        <v>29</v>
      </c>
      <c r="L133">
        <v>0</v>
      </c>
      <c r="M133">
        <v>0</v>
      </c>
      <c r="N133">
        <v>0</v>
      </c>
      <c r="O133">
        <v>13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1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0</v>
      </c>
      <c r="AN133">
        <v>0</v>
      </c>
      <c r="AO133">
        <v>0</v>
      </c>
      <c r="AP133">
        <v>0</v>
      </c>
      <c r="AQ133">
        <v>0</v>
      </c>
      <c r="AR133">
        <v>0</v>
      </c>
      <c r="AS133">
        <v>0</v>
      </c>
      <c r="AT133">
        <f t="shared" si="8"/>
        <v>10.98</v>
      </c>
      <c r="AU133">
        <f t="shared" si="6"/>
        <v>0.76666666666666661</v>
      </c>
      <c r="AV133">
        <f t="shared" si="7"/>
        <v>850.26</v>
      </c>
      <c r="AW133">
        <v>47.8</v>
      </c>
      <c r="BC133" t="s">
        <v>412</v>
      </c>
    </row>
    <row r="134" spans="3:55" x14ac:dyDescent="0.45">
      <c r="C134">
        <v>60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6</v>
      </c>
      <c r="K134">
        <v>35</v>
      </c>
      <c r="L134">
        <v>0</v>
      </c>
      <c r="M134">
        <v>0</v>
      </c>
      <c r="N134">
        <v>0</v>
      </c>
      <c r="O134">
        <v>2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1</v>
      </c>
      <c r="W134">
        <v>0</v>
      </c>
      <c r="X134">
        <v>35</v>
      </c>
      <c r="Y134">
        <v>0</v>
      </c>
      <c r="Z134">
        <v>1</v>
      </c>
      <c r="AA134">
        <v>0</v>
      </c>
      <c r="AB134">
        <v>0</v>
      </c>
      <c r="AC134">
        <v>900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  <c r="AP134">
        <v>0</v>
      </c>
      <c r="AQ134">
        <v>0</v>
      </c>
      <c r="AR134">
        <v>0</v>
      </c>
      <c r="AS134">
        <v>0</v>
      </c>
      <c r="AT134">
        <f t="shared" si="8"/>
        <v>10.24</v>
      </c>
      <c r="AU134">
        <f t="shared" si="6"/>
        <v>1</v>
      </c>
      <c r="AV134">
        <f t="shared" si="7"/>
        <v>840.6</v>
      </c>
      <c r="AW134">
        <v>47.63</v>
      </c>
      <c r="AY134">
        <v>577</v>
      </c>
      <c r="BC134" t="s">
        <v>413</v>
      </c>
    </row>
    <row r="135" spans="3:55" x14ac:dyDescent="0.45">
      <c r="C135">
        <v>55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3</v>
      </c>
      <c r="K135">
        <v>40</v>
      </c>
      <c r="L135">
        <v>0</v>
      </c>
      <c r="M135">
        <v>0</v>
      </c>
      <c r="N135">
        <v>0</v>
      </c>
      <c r="O135">
        <v>2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1</v>
      </c>
      <c r="W135">
        <v>0</v>
      </c>
      <c r="X135">
        <v>90</v>
      </c>
      <c r="Y135">
        <v>0</v>
      </c>
      <c r="Z135">
        <v>1</v>
      </c>
      <c r="AA135">
        <v>0</v>
      </c>
      <c r="AB135">
        <v>0</v>
      </c>
      <c r="AC135">
        <v>650</v>
      </c>
      <c r="AD135">
        <v>0.16666666666666666</v>
      </c>
      <c r="AE135">
        <v>0</v>
      </c>
      <c r="AF135">
        <v>1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0</v>
      </c>
      <c r="AN135">
        <v>0</v>
      </c>
      <c r="AO135">
        <v>0</v>
      </c>
      <c r="AP135">
        <v>0</v>
      </c>
      <c r="AQ135">
        <v>0</v>
      </c>
      <c r="AR135">
        <v>0</v>
      </c>
      <c r="AS135">
        <v>0</v>
      </c>
      <c r="AT135">
        <f t="shared" si="8"/>
        <v>11.64</v>
      </c>
      <c r="AU135">
        <f t="shared" si="6"/>
        <v>0.5</v>
      </c>
      <c r="AV135">
        <f t="shared" si="7"/>
        <v>861.3</v>
      </c>
      <c r="AW135">
        <v>57.8</v>
      </c>
      <c r="AY135">
        <v>589</v>
      </c>
      <c r="AZ135">
        <v>17.8</v>
      </c>
      <c r="BC135" t="s">
        <v>414</v>
      </c>
    </row>
    <row r="136" spans="3:55" x14ac:dyDescent="0.45">
      <c r="C136">
        <v>52.710000000000008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4.8099999999999996</v>
      </c>
      <c r="K136">
        <v>22.28</v>
      </c>
      <c r="L136">
        <v>4.7699999999999996</v>
      </c>
      <c r="M136">
        <v>0</v>
      </c>
      <c r="N136">
        <v>0</v>
      </c>
      <c r="O136">
        <v>15.43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1</v>
      </c>
      <c r="Z136">
        <v>0</v>
      </c>
      <c r="AA136">
        <v>0</v>
      </c>
      <c r="AB136">
        <v>0</v>
      </c>
      <c r="AC136">
        <v>1200</v>
      </c>
      <c r="AD136">
        <v>30</v>
      </c>
      <c r="AE136">
        <v>1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</v>
      </c>
      <c r="AP136">
        <v>0</v>
      </c>
      <c r="AQ136">
        <v>0</v>
      </c>
      <c r="AR136">
        <v>0</v>
      </c>
      <c r="AS136">
        <v>0</v>
      </c>
      <c r="AT136">
        <f t="shared" si="8"/>
        <v>14.403000000000002</v>
      </c>
      <c r="AU136">
        <f t="shared" si="6"/>
        <v>0.80166666666666664</v>
      </c>
      <c r="AV136">
        <f t="shared" si="7"/>
        <v>803.49599999999998</v>
      </c>
      <c r="AW136">
        <v>87.09</v>
      </c>
      <c r="BC136" t="s">
        <v>415</v>
      </c>
    </row>
    <row r="137" spans="3:55" x14ac:dyDescent="0.45">
      <c r="C137">
        <v>60.430000000000007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11.66</v>
      </c>
      <c r="K137">
        <v>10.67</v>
      </c>
      <c r="L137">
        <v>0</v>
      </c>
      <c r="M137">
        <v>4.41</v>
      </c>
      <c r="N137">
        <v>0</v>
      </c>
      <c r="O137">
        <v>12.83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1</v>
      </c>
      <c r="Z137">
        <v>0</v>
      </c>
      <c r="AA137">
        <v>0</v>
      </c>
      <c r="AB137">
        <v>0</v>
      </c>
      <c r="AC137">
        <v>1200</v>
      </c>
      <c r="AD137">
        <v>30</v>
      </c>
      <c r="AE137">
        <v>1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f t="shared" si="8"/>
        <v>5.8102</v>
      </c>
      <c r="AU137">
        <f t="shared" si="6"/>
        <v>3.4133333333333331</v>
      </c>
      <c r="AV137">
        <f t="shared" si="7"/>
        <v>820.06799999999998</v>
      </c>
      <c r="AW137">
        <v>69.91</v>
      </c>
      <c r="BC137" t="s">
        <v>415</v>
      </c>
    </row>
    <row r="138" spans="3:55" x14ac:dyDescent="0.45">
      <c r="C138">
        <v>74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13</v>
      </c>
      <c r="K138">
        <v>13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1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0</v>
      </c>
      <c r="AM138">
        <v>0</v>
      </c>
      <c r="AN138">
        <v>0</v>
      </c>
      <c r="AO138">
        <v>0</v>
      </c>
      <c r="AP138">
        <v>0</v>
      </c>
      <c r="AQ138">
        <v>0</v>
      </c>
      <c r="AR138">
        <v>0</v>
      </c>
      <c r="AS138">
        <v>0</v>
      </c>
      <c r="AT138">
        <f t="shared" si="8"/>
        <v>3.6400000000000006</v>
      </c>
      <c r="AU138">
        <f t="shared" si="6"/>
        <v>2.1666666666666665</v>
      </c>
      <c r="AV138">
        <f t="shared" si="7"/>
        <v>792.3</v>
      </c>
      <c r="AW138">
        <v>77</v>
      </c>
      <c r="BC138" t="s">
        <v>410</v>
      </c>
    </row>
    <row r="139" spans="3:55" x14ac:dyDescent="0.45">
      <c r="C139">
        <v>74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13</v>
      </c>
      <c r="K139">
        <v>13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1</v>
      </c>
      <c r="Z139">
        <v>0</v>
      </c>
      <c r="AA139">
        <v>0</v>
      </c>
      <c r="AB139">
        <v>0</v>
      </c>
      <c r="AC139">
        <v>1000</v>
      </c>
      <c r="AD139">
        <v>1</v>
      </c>
      <c r="AE139">
        <v>1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0</v>
      </c>
      <c r="AN139">
        <v>0</v>
      </c>
      <c r="AO139">
        <v>0</v>
      </c>
      <c r="AP139">
        <v>0</v>
      </c>
      <c r="AQ139">
        <v>0</v>
      </c>
      <c r="AR139">
        <v>0</v>
      </c>
      <c r="AS139">
        <v>0</v>
      </c>
      <c r="AT139">
        <f t="shared" si="8"/>
        <v>3.6400000000000006</v>
      </c>
      <c r="AU139">
        <f t="shared" si="6"/>
        <v>2.1666666666666665</v>
      </c>
      <c r="AV139">
        <f t="shared" si="7"/>
        <v>792.3</v>
      </c>
      <c r="AW139">
        <v>79</v>
      </c>
      <c r="AX139">
        <v>900</v>
      </c>
      <c r="AY139">
        <v>1030</v>
      </c>
      <c r="AZ139">
        <v>15</v>
      </c>
      <c r="BC139" t="s">
        <v>416</v>
      </c>
    </row>
    <row r="140" spans="3:55" x14ac:dyDescent="0.45">
      <c r="C140">
        <v>74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13</v>
      </c>
      <c r="K140">
        <v>13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1</v>
      </c>
      <c r="W140">
        <v>0</v>
      </c>
      <c r="X140">
        <v>60</v>
      </c>
      <c r="Y140">
        <v>0</v>
      </c>
      <c r="Z140">
        <v>1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0</v>
      </c>
      <c r="AM140">
        <v>0</v>
      </c>
      <c r="AN140">
        <v>0</v>
      </c>
      <c r="AO140">
        <v>0</v>
      </c>
      <c r="AP140">
        <v>0</v>
      </c>
      <c r="AQ140">
        <v>0</v>
      </c>
      <c r="AR140">
        <v>0</v>
      </c>
      <c r="AS140">
        <v>0</v>
      </c>
      <c r="AT140">
        <f t="shared" si="8"/>
        <v>3.6400000000000006</v>
      </c>
      <c r="AU140">
        <f t="shared" si="6"/>
        <v>2.1666666666666665</v>
      </c>
      <c r="AV140">
        <f t="shared" si="7"/>
        <v>792.3</v>
      </c>
      <c r="AW140">
        <v>47.5</v>
      </c>
      <c r="AY140">
        <v>1075</v>
      </c>
      <c r="BC140" t="s">
        <v>416</v>
      </c>
    </row>
    <row r="141" spans="3:55" x14ac:dyDescent="0.45">
      <c r="C141">
        <v>74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13</v>
      </c>
      <c r="K141">
        <v>13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1</v>
      </c>
      <c r="W141">
        <v>0</v>
      </c>
      <c r="X141">
        <v>52</v>
      </c>
      <c r="Y141">
        <v>0</v>
      </c>
      <c r="Z141">
        <v>1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0</v>
      </c>
      <c r="AM141">
        <v>0</v>
      </c>
      <c r="AN141">
        <v>0</v>
      </c>
      <c r="AO141">
        <v>0</v>
      </c>
      <c r="AP141">
        <v>0</v>
      </c>
      <c r="AQ141">
        <v>0</v>
      </c>
      <c r="AR141">
        <v>0</v>
      </c>
      <c r="AS141">
        <v>0</v>
      </c>
      <c r="AT141">
        <f t="shared" si="8"/>
        <v>3.6400000000000006</v>
      </c>
      <c r="AU141">
        <f t="shared" si="6"/>
        <v>2.1666666666666665</v>
      </c>
      <c r="AV141">
        <f t="shared" si="7"/>
        <v>792.3</v>
      </c>
      <c r="AW141">
        <v>52</v>
      </c>
      <c r="AX141">
        <v>1270</v>
      </c>
      <c r="AY141">
        <v>1280</v>
      </c>
      <c r="AZ141">
        <v>3</v>
      </c>
      <c r="BC141" t="s">
        <v>416</v>
      </c>
    </row>
    <row r="142" spans="3:55" x14ac:dyDescent="0.45">
      <c r="C142">
        <v>74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13</v>
      </c>
      <c r="K142">
        <v>13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1</v>
      </c>
      <c r="Z142">
        <v>0</v>
      </c>
      <c r="AA142">
        <v>0</v>
      </c>
      <c r="AB142">
        <v>0</v>
      </c>
      <c r="AC142">
        <v>1000</v>
      </c>
      <c r="AD142">
        <v>1</v>
      </c>
      <c r="AE142">
        <v>1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0</v>
      </c>
      <c r="AN142">
        <v>0</v>
      </c>
      <c r="AO142">
        <v>0</v>
      </c>
      <c r="AP142">
        <v>0</v>
      </c>
      <c r="AQ142">
        <v>0</v>
      </c>
      <c r="AR142">
        <v>0</v>
      </c>
      <c r="AS142">
        <v>0</v>
      </c>
      <c r="AT142">
        <f t="shared" si="8"/>
        <v>3.6400000000000006</v>
      </c>
      <c r="AU142">
        <f t="shared" si="6"/>
        <v>2.1666666666666665</v>
      </c>
      <c r="AV142">
        <f t="shared" si="7"/>
        <v>792.3</v>
      </c>
      <c r="AW142">
        <v>60</v>
      </c>
      <c r="AX142">
        <v>640</v>
      </c>
      <c r="AY142">
        <v>860</v>
      </c>
      <c r="AZ142">
        <v>15</v>
      </c>
      <c r="BC142" t="s">
        <v>416</v>
      </c>
    </row>
    <row r="143" spans="3:55" x14ac:dyDescent="0.45">
      <c r="C143">
        <v>67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14</v>
      </c>
      <c r="K143">
        <v>19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1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0</v>
      </c>
      <c r="AM143">
        <v>0</v>
      </c>
      <c r="AN143">
        <v>0</v>
      </c>
      <c r="AO143">
        <v>0</v>
      </c>
      <c r="AP143">
        <v>0</v>
      </c>
      <c r="AQ143">
        <v>0</v>
      </c>
      <c r="AR143">
        <v>0</v>
      </c>
      <c r="AS143">
        <v>0</v>
      </c>
      <c r="AT143">
        <f t="shared" si="8"/>
        <v>5.32</v>
      </c>
      <c r="AU143">
        <f t="shared" si="6"/>
        <v>2.3333333333333335</v>
      </c>
      <c r="AV143">
        <f t="shared" si="7"/>
        <v>785.4</v>
      </c>
      <c r="AW143">
        <v>14</v>
      </c>
      <c r="BC143" t="s">
        <v>395</v>
      </c>
    </row>
    <row r="144" spans="3:55" x14ac:dyDescent="0.45">
      <c r="C144">
        <v>70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7</v>
      </c>
      <c r="K144">
        <v>23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>
        <v>0</v>
      </c>
      <c r="AB144">
        <v>0</v>
      </c>
      <c r="AC144">
        <v>1000</v>
      </c>
      <c r="AD144">
        <v>1</v>
      </c>
      <c r="AE144">
        <v>1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0</v>
      </c>
      <c r="AR144">
        <v>0</v>
      </c>
      <c r="AS144">
        <v>0</v>
      </c>
      <c r="AT144">
        <f t="shared" si="8"/>
        <v>6.44</v>
      </c>
      <c r="AU144">
        <f t="shared" si="6"/>
        <v>1.1666666666666667</v>
      </c>
      <c r="AV144">
        <f t="shared" si="7"/>
        <v>833.7</v>
      </c>
      <c r="AW144">
        <v>36</v>
      </c>
      <c r="BA144">
        <v>237</v>
      </c>
      <c r="BC144" t="s">
        <v>417</v>
      </c>
    </row>
    <row r="145" spans="3:55" x14ac:dyDescent="0.45">
      <c r="C145">
        <v>65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7</v>
      </c>
      <c r="K145">
        <v>28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  <c r="AP145">
        <v>0</v>
      </c>
      <c r="AQ145">
        <v>0</v>
      </c>
      <c r="AR145">
        <v>0</v>
      </c>
      <c r="AS145">
        <v>0</v>
      </c>
      <c r="AT145">
        <f t="shared" si="8"/>
        <v>7.8400000000000007</v>
      </c>
      <c r="AU145">
        <f t="shared" si="6"/>
        <v>1.1666666666666667</v>
      </c>
      <c r="AV145">
        <f t="shared" si="7"/>
        <v>833.7</v>
      </c>
      <c r="AW145">
        <v>29</v>
      </c>
      <c r="BA145">
        <v>194</v>
      </c>
      <c r="BC145" t="s">
        <v>417</v>
      </c>
    </row>
    <row r="146" spans="3:55" x14ac:dyDescent="0.45">
      <c r="C146">
        <v>60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7</v>
      </c>
      <c r="K146">
        <v>33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0</v>
      </c>
      <c r="AN146">
        <v>0</v>
      </c>
      <c r="AO146">
        <v>0</v>
      </c>
      <c r="AP146">
        <v>0</v>
      </c>
      <c r="AQ146">
        <v>0</v>
      </c>
      <c r="AR146">
        <v>0</v>
      </c>
      <c r="AS146">
        <v>0</v>
      </c>
      <c r="AT146">
        <f t="shared" si="8"/>
        <v>9.24</v>
      </c>
      <c r="AU146">
        <f t="shared" si="6"/>
        <v>1.1666666666666667</v>
      </c>
      <c r="AV146">
        <f t="shared" si="7"/>
        <v>833.7</v>
      </c>
      <c r="AW146">
        <v>29</v>
      </c>
      <c r="BA146">
        <v>181</v>
      </c>
      <c r="BC146" t="s">
        <v>417</v>
      </c>
    </row>
    <row r="147" spans="3:55" x14ac:dyDescent="0.45">
      <c r="C147">
        <v>51.8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7.1</v>
      </c>
      <c r="K147">
        <v>41.1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89</v>
      </c>
      <c r="Y147">
        <v>0</v>
      </c>
      <c r="Z147">
        <v>0</v>
      </c>
      <c r="AA147">
        <v>1</v>
      </c>
      <c r="AB147">
        <v>0</v>
      </c>
      <c r="AC147">
        <v>1000</v>
      </c>
      <c r="AD147">
        <v>2</v>
      </c>
      <c r="AE147">
        <v>1</v>
      </c>
      <c r="AF147">
        <v>0</v>
      </c>
      <c r="AG147">
        <v>0</v>
      </c>
      <c r="AH147">
        <v>1000</v>
      </c>
      <c r="AI147">
        <v>2</v>
      </c>
      <c r="AJ147">
        <v>1</v>
      </c>
      <c r="AK147">
        <v>0</v>
      </c>
      <c r="AL147">
        <v>0</v>
      </c>
      <c r="AM147">
        <v>0</v>
      </c>
      <c r="AN147">
        <v>0</v>
      </c>
      <c r="AO147">
        <v>0</v>
      </c>
      <c r="AP147">
        <v>0</v>
      </c>
      <c r="AQ147">
        <v>0</v>
      </c>
      <c r="AR147">
        <v>0</v>
      </c>
      <c r="AS147">
        <v>0</v>
      </c>
      <c r="AT147">
        <f t="shared" si="8"/>
        <v>11.508000000000001</v>
      </c>
      <c r="AU147">
        <f t="shared" si="6"/>
        <v>1.1833333333333333</v>
      </c>
      <c r="AV147">
        <f t="shared" si="7"/>
        <v>833.01</v>
      </c>
      <c r="AW147">
        <v>65</v>
      </c>
      <c r="AX147">
        <v>490</v>
      </c>
      <c r="AY147">
        <v>490</v>
      </c>
      <c r="AZ147">
        <v>16</v>
      </c>
      <c r="BA147">
        <v>490</v>
      </c>
      <c r="BC147" t="s">
        <v>418</v>
      </c>
    </row>
    <row r="148" spans="3:55" x14ac:dyDescent="0.45">
      <c r="C148">
        <v>65</v>
      </c>
      <c r="D148">
        <v>0</v>
      </c>
      <c r="E148">
        <v>0</v>
      </c>
      <c r="F148">
        <v>0</v>
      </c>
      <c r="G148">
        <v>0</v>
      </c>
      <c r="H148">
        <v>2</v>
      </c>
      <c r="I148">
        <v>0</v>
      </c>
      <c r="J148">
        <v>0</v>
      </c>
      <c r="K148">
        <v>23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20</v>
      </c>
      <c r="Y148">
        <v>0</v>
      </c>
      <c r="Z148">
        <v>1</v>
      </c>
      <c r="AA148">
        <v>0</v>
      </c>
      <c r="AB148">
        <v>0</v>
      </c>
      <c r="AC148">
        <v>1000</v>
      </c>
      <c r="AD148">
        <v>12</v>
      </c>
      <c r="AE148">
        <v>0</v>
      </c>
      <c r="AF148">
        <v>0</v>
      </c>
      <c r="AG148">
        <v>0</v>
      </c>
      <c r="AH148">
        <v>800</v>
      </c>
      <c r="AI148">
        <v>0.16666666666666666</v>
      </c>
      <c r="AJ148">
        <v>1</v>
      </c>
      <c r="AK148">
        <v>0</v>
      </c>
      <c r="AL148">
        <v>0</v>
      </c>
      <c r="AM148">
        <v>0</v>
      </c>
      <c r="AN148">
        <v>0</v>
      </c>
      <c r="AO148">
        <v>0</v>
      </c>
      <c r="AP148">
        <v>0</v>
      </c>
      <c r="AQ148">
        <v>0</v>
      </c>
      <c r="AR148">
        <v>0</v>
      </c>
      <c r="AS148">
        <v>0</v>
      </c>
      <c r="AT148">
        <f t="shared" si="8"/>
        <v>12.24</v>
      </c>
      <c r="AU148">
        <f t="shared" si="6"/>
        <v>0</v>
      </c>
      <c r="AV148">
        <f t="shared" si="7"/>
        <v>851.2</v>
      </c>
      <c r="AW148">
        <v>79</v>
      </c>
      <c r="AX148">
        <v>782</v>
      </c>
      <c r="BC148" t="s">
        <v>419</v>
      </c>
    </row>
    <row r="149" spans="3:55" x14ac:dyDescent="0.45">
      <c r="C149">
        <v>65</v>
      </c>
      <c r="D149">
        <v>0</v>
      </c>
      <c r="E149">
        <v>0</v>
      </c>
      <c r="F149">
        <v>0</v>
      </c>
      <c r="G149">
        <v>0</v>
      </c>
      <c r="H149">
        <v>2</v>
      </c>
      <c r="I149">
        <v>0</v>
      </c>
      <c r="J149">
        <v>0</v>
      </c>
      <c r="K149">
        <v>23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1</v>
      </c>
      <c r="W149">
        <v>0</v>
      </c>
      <c r="X149">
        <v>20</v>
      </c>
      <c r="Y149">
        <v>0</v>
      </c>
      <c r="Z149">
        <v>1</v>
      </c>
      <c r="AA149">
        <v>0</v>
      </c>
      <c r="AB149">
        <v>0</v>
      </c>
      <c r="AC149">
        <v>1000</v>
      </c>
      <c r="AD149">
        <v>12</v>
      </c>
      <c r="AE149">
        <v>0</v>
      </c>
      <c r="AF149">
        <v>0</v>
      </c>
      <c r="AG149">
        <v>0</v>
      </c>
      <c r="AH149">
        <v>800</v>
      </c>
      <c r="AI149">
        <v>0.16666666666666666</v>
      </c>
      <c r="AJ149">
        <v>1</v>
      </c>
      <c r="AK149">
        <v>0</v>
      </c>
      <c r="AL149">
        <v>0</v>
      </c>
      <c r="AM149">
        <v>0</v>
      </c>
      <c r="AN149">
        <v>0</v>
      </c>
      <c r="AO149">
        <v>0</v>
      </c>
      <c r="AP149">
        <v>0</v>
      </c>
      <c r="AQ149">
        <v>0</v>
      </c>
      <c r="AR149">
        <v>0</v>
      </c>
      <c r="AS149">
        <v>0</v>
      </c>
      <c r="AT149">
        <f t="shared" si="8"/>
        <v>12.24</v>
      </c>
      <c r="AU149">
        <f t="shared" si="6"/>
        <v>0</v>
      </c>
      <c r="AV149">
        <f t="shared" si="7"/>
        <v>851.2</v>
      </c>
      <c r="AW149">
        <v>104</v>
      </c>
      <c r="AX149">
        <v>980</v>
      </c>
      <c r="BC149" t="s">
        <v>419</v>
      </c>
    </row>
    <row r="150" spans="3:55" x14ac:dyDescent="0.45">
      <c r="C150">
        <v>61.5</v>
      </c>
      <c r="D150">
        <v>0</v>
      </c>
      <c r="E150">
        <v>0</v>
      </c>
      <c r="F150">
        <v>0</v>
      </c>
      <c r="G150">
        <v>0</v>
      </c>
      <c r="H150">
        <v>1.5</v>
      </c>
      <c r="I150">
        <v>0</v>
      </c>
      <c r="J150">
        <v>0</v>
      </c>
      <c r="K150">
        <v>27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1</v>
      </c>
      <c r="W150">
        <v>0</v>
      </c>
      <c r="X150">
        <v>20</v>
      </c>
      <c r="Y150">
        <v>0</v>
      </c>
      <c r="Z150">
        <v>1</v>
      </c>
      <c r="AA150">
        <v>0</v>
      </c>
      <c r="AB150">
        <v>0</v>
      </c>
      <c r="AC150">
        <v>1000</v>
      </c>
      <c r="AD150">
        <v>12</v>
      </c>
      <c r="AE150">
        <v>0</v>
      </c>
      <c r="AF150">
        <v>0</v>
      </c>
      <c r="AG150">
        <v>0</v>
      </c>
      <c r="AH150">
        <v>800</v>
      </c>
      <c r="AI150">
        <v>0.16666666666666666</v>
      </c>
      <c r="AJ150">
        <v>1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0</v>
      </c>
      <c r="AR150">
        <v>0</v>
      </c>
      <c r="AS150">
        <v>0</v>
      </c>
      <c r="AT150">
        <f t="shared" si="8"/>
        <v>11.91</v>
      </c>
      <c r="AU150">
        <f t="shared" si="6"/>
        <v>0</v>
      </c>
      <c r="AV150">
        <f t="shared" si="7"/>
        <v>858.9</v>
      </c>
      <c r="AW150">
        <v>78</v>
      </c>
      <c r="AX150">
        <v>735</v>
      </c>
      <c r="BC150" t="s">
        <v>419</v>
      </c>
    </row>
    <row r="151" spans="3:55" x14ac:dyDescent="0.45">
      <c r="C151">
        <v>61.5</v>
      </c>
      <c r="D151">
        <v>0</v>
      </c>
      <c r="E151">
        <v>0</v>
      </c>
      <c r="F151">
        <v>0</v>
      </c>
      <c r="G151">
        <v>0</v>
      </c>
      <c r="H151">
        <v>1.5</v>
      </c>
      <c r="I151">
        <v>0</v>
      </c>
      <c r="J151">
        <v>0</v>
      </c>
      <c r="K151">
        <v>27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1</v>
      </c>
      <c r="W151">
        <v>0</v>
      </c>
      <c r="X151">
        <v>20</v>
      </c>
      <c r="Y151">
        <v>0</v>
      </c>
      <c r="Z151">
        <v>1</v>
      </c>
      <c r="AA151">
        <v>0</v>
      </c>
      <c r="AB151">
        <v>0</v>
      </c>
      <c r="AC151">
        <v>1000</v>
      </c>
      <c r="AD151">
        <v>12</v>
      </c>
      <c r="AE151">
        <v>0</v>
      </c>
      <c r="AF151">
        <v>0</v>
      </c>
      <c r="AG151">
        <v>0</v>
      </c>
      <c r="AH151">
        <v>800</v>
      </c>
      <c r="AI151">
        <v>0.16666666666666666</v>
      </c>
      <c r="AJ151">
        <v>1</v>
      </c>
      <c r="AK151">
        <v>0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0</v>
      </c>
      <c r="AR151">
        <v>0</v>
      </c>
      <c r="AS151">
        <v>0</v>
      </c>
      <c r="AT151">
        <f t="shared" si="8"/>
        <v>11.91</v>
      </c>
      <c r="AU151">
        <f t="shared" si="6"/>
        <v>0</v>
      </c>
      <c r="AV151">
        <f t="shared" si="7"/>
        <v>858.9</v>
      </c>
      <c r="AW151">
        <v>101</v>
      </c>
      <c r="AX151">
        <v>903</v>
      </c>
      <c r="BC151" t="s">
        <v>419</v>
      </c>
    </row>
    <row r="152" spans="3:55" x14ac:dyDescent="0.45">
      <c r="C152">
        <v>57</v>
      </c>
      <c r="D152">
        <v>0</v>
      </c>
      <c r="E152">
        <v>0</v>
      </c>
      <c r="F152">
        <v>0</v>
      </c>
      <c r="G152">
        <v>0</v>
      </c>
      <c r="H152">
        <v>2</v>
      </c>
      <c r="I152">
        <v>0</v>
      </c>
      <c r="J152">
        <v>13</v>
      </c>
      <c r="K152">
        <v>28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  <c r="AQ152">
        <v>0</v>
      </c>
      <c r="AR152">
        <v>0</v>
      </c>
      <c r="AS152">
        <v>0</v>
      </c>
      <c r="AT152">
        <f t="shared" si="8"/>
        <v>13.64</v>
      </c>
      <c r="AU152">
        <f t="shared" si="6"/>
        <v>2.1666666666666665</v>
      </c>
      <c r="AV152">
        <f t="shared" si="7"/>
        <v>761.5</v>
      </c>
      <c r="AW152">
        <v>54</v>
      </c>
      <c r="BC152" t="s">
        <v>420</v>
      </c>
    </row>
    <row r="153" spans="3:55" x14ac:dyDescent="0.45">
      <c r="C153">
        <v>57.66</v>
      </c>
      <c r="D153">
        <v>0</v>
      </c>
      <c r="E153">
        <v>0</v>
      </c>
      <c r="F153">
        <v>0</v>
      </c>
      <c r="G153">
        <v>0</v>
      </c>
      <c r="H153">
        <v>0.53</v>
      </c>
      <c r="I153">
        <v>0</v>
      </c>
      <c r="J153">
        <v>13.2</v>
      </c>
      <c r="K153">
        <v>28.5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0.11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  <c r="AP153">
        <v>0</v>
      </c>
      <c r="AQ153">
        <v>0</v>
      </c>
      <c r="AR153">
        <v>0</v>
      </c>
      <c r="AS153">
        <v>0</v>
      </c>
      <c r="AT153">
        <f t="shared" si="8"/>
        <v>9.5169999999999995</v>
      </c>
      <c r="AU153">
        <f t="shared" si="6"/>
        <v>2.2109999999999999</v>
      </c>
      <c r="AV153">
        <f t="shared" si="7"/>
        <v>796.2879999999999</v>
      </c>
      <c r="AW153">
        <v>58</v>
      </c>
      <c r="AX153">
        <v>780</v>
      </c>
      <c r="AZ153">
        <v>13</v>
      </c>
      <c r="BC153" t="s">
        <v>421</v>
      </c>
    </row>
    <row r="154" spans="3:55" x14ac:dyDescent="0.45">
      <c r="C154">
        <v>58</v>
      </c>
      <c r="D154">
        <v>0</v>
      </c>
      <c r="E154">
        <v>0</v>
      </c>
      <c r="F154">
        <v>0</v>
      </c>
      <c r="G154">
        <v>0</v>
      </c>
      <c r="H154">
        <v>1</v>
      </c>
      <c r="I154">
        <v>0</v>
      </c>
      <c r="J154">
        <v>0</v>
      </c>
      <c r="K154">
        <v>3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1</v>
      </c>
      <c r="W154">
        <v>0</v>
      </c>
      <c r="X154">
        <v>20</v>
      </c>
      <c r="Y154">
        <v>0</v>
      </c>
      <c r="Z154">
        <v>1</v>
      </c>
      <c r="AA154">
        <v>0</v>
      </c>
      <c r="AB154">
        <v>0</v>
      </c>
      <c r="AC154">
        <v>1000</v>
      </c>
      <c r="AD154">
        <v>12</v>
      </c>
      <c r="AE154">
        <v>0</v>
      </c>
      <c r="AF154">
        <v>0</v>
      </c>
      <c r="AG154">
        <v>0</v>
      </c>
      <c r="AH154">
        <v>800</v>
      </c>
      <c r="AI154">
        <v>0.16666666666666666</v>
      </c>
      <c r="AJ154">
        <v>1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0</v>
      </c>
      <c r="AR154">
        <v>0</v>
      </c>
      <c r="AS154">
        <v>0</v>
      </c>
      <c r="AT154">
        <f t="shared" si="8"/>
        <v>3.74</v>
      </c>
      <c r="AU154">
        <f t="shared" si="6"/>
        <v>0</v>
      </c>
      <c r="AV154">
        <f t="shared" si="7"/>
        <v>866.6</v>
      </c>
      <c r="AW154">
        <v>77</v>
      </c>
      <c r="AX154">
        <v>672</v>
      </c>
      <c r="BC154" t="s">
        <v>419</v>
      </c>
    </row>
    <row r="155" spans="3:55" x14ac:dyDescent="0.45">
      <c r="C155">
        <v>58</v>
      </c>
      <c r="D155">
        <v>0</v>
      </c>
      <c r="E155">
        <v>0</v>
      </c>
      <c r="F155">
        <v>0</v>
      </c>
      <c r="G155">
        <v>0</v>
      </c>
      <c r="H155">
        <v>1</v>
      </c>
      <c r="I155">
        <v>0</v>
      </c>
      <c r="J155">
        <v>0</v>
      </c>
      <c r="K155">
        <v>3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1</v>
      </c>
      <c r="W155">
        <v>0</v>
      </c>
      <c r="X155">
        <v>20</v>
      </c>
      <c r="Y155">
        <v>0</v>
      </c>
      <c r="Z155">
        <v>1</v>
      </c>
      <c r="AA155">
        <v>0</v>
      </c>
      <c r="AB155">
        <v>0</v>
      </c>
      <c r="AC155">
        <v>1000</v>
      </c>
      <c r="AD155">
        <v>12</v>
      </c>
      <c r="AE155">
        <v>0</v>
      </c>
      <c r="AF155">
        <v>0</v>
      </c>
      <c r="AG155">
        <v>0</v>
      </c>
      <c r="AH155">
        <v>800</v>
      </c>
      <c r="AI155">
        <v>0.16666666666666666</v>
      </c>
      <c r="AJ155">
        <v>1</v>
      </c>
      <c r="AK155">
        <v>0</v>
      </c>
      <c r="AL155">
        <v>0</v>
      </c>
      <c r="AM155">
        <v>0</v>
      </c>
      <c r="AN155">
        <v>0</v>
      </c>
      <c r="AO155">
        <v>0</v>
      </c>
      <c r="AP155">
        <v>0</v>
      </c>
      <c r="AQ155">
        <v>0</v>
      </c>
      <c r="AR155">
        <v>0</v>
      </c>
      <c r="AS155">
        <v>0</v>
      </c>
      <c r="AT155">
        <f t="shared" si="8"/>
        <v>3.74</v>
      </c>
      <c r="AU155">
        <f t="shared" si="6"/>
        <v>0</v>
      </c>
      <c r="AV155">
        <f t="shared" si="7"/>
        <v>866.6</v>
      </c>
      <c r="AW155">
        <v>89</v>
      </c>
      <c r="AX155">
        <v>796</v>
      </c>
      <c r="BC155" t="s">
        <v>419</v>
      </c>
    </row>
    <row r="156" spans="3:55" x14ac:dyDescent="0.45">
      <c r="C156">
        <v>63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6</v>
      </c>
      <c r="K156">
        <v>29</v>
      </c>
      <c r="L156">
        <v>2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1</v>
      </c>
      <c r="W156">
        <v>0</v>
      </c>
      <c r="X156">
        <v>70</v>
      </c>
      <c r="Y156">
        <v>0</v>
      </c>
      <c r="Z156">
        <v>1</v>
      </c>
      <c r="AA156">
        <v>0</v>
      </c>
      <c r="AB156">
        <v>0</v>
      </c>
      <c r="AC156">
        <v>1000</v>
      </c>
      <c r="AD156">
        <v>24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0</v>
      </c>
      <c r="AM156">
        <v>0</v>
      </c>
      <c r="AN156">
        <v>0</v>
      </c>
      <c r="AO156">
        <v>0</v>
      </c>
      <c r="AP156">
        <v>0</v>
      </c>
      <c r="AQ156">
        <v>0</v>
      </c>
      <c r="AR156">
        <v>0</v>
      </c>
      <c r="AS156">
        <v>0</v>
      </c>
      <c r="AT156">
        <f t="shared" si="8"/>
        <v>10.120000000000001</v>
      </c>
      <c r="AU156">
        <f t="shared" si="6"/>
        <v>1</v>
      </c>
      <c r="AV156">
        <f t="shared" si="7"/>
        <v>821.6</v>
      </c>
      <c r="AW156">
        <v>29</v>
      </c>
      <c r="BC156" t="s">
        <v>422</v>
      </c>
    </row>
    <row r="157" spans="3:55" x14ac:dyDescent="0.45">
      <c r="C157">
        <v>58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6</v>
      </c>
      <c r="K157">
        <v>31</v>
      </c>
      <c r="L157">
        <v>5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1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0</v>
      </c>
      <c r="AR157">
        <v>0</v>
      </c>
      <c r="AS157">
        <v>0</v>
      </c>
      <c r="AT157">
        <f t="shared" si="8"/>
        <v>13.680000000000001</v>
      </c>
      <c r="AU157">
        <f t="shared" si="6"/>
        <v>1</v>
      </c>
      <c r="AV157">
        <f t="shared" si="7"/>
        <v>793.1</v>
      </c>
      <c r="AW157">
        <v>44</v>
      </c>
      <c r="BC157" t="s">
        <v>401</v>
      </c>
    </row>
    <row r="158" spans="3:55" x14ac:dyDescent="0.45">
      <c r="C158">
        <v>58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6</v>
      </c>
      <c r="K158">
        <v>31</v>
      </c>
      <c r="L158">
        <v>5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1</v>
      </c>
      <c r="W158">
        <v>0</v>
      </c>
      <c r="X158">
        <v>75</v>
      </c>
      <c r="Y158">
        <v>0</v>
      </c>
      <c r="Z158">
        <v>1</v>
      </c>
      <c r="AA158">
        <v>0</v>
      </c>
      <c r="AB158">
        <v>0</v>
      </c>
      <c r="AC158">
        <v>600</v>
      </c>
      <c r="AD158">
        <v>0.25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>
        <v>0</v>
      </c>
      <c r="AS158">
        <v>0</v>
      </c>
      <c r="AT158">
        <f t="shared" si="8"/>
        <v>13.680000000000001</v>
      </c>
      <c r="AU158">
        <f t="shared" si="6"/>
        <v>1</v>
      </c>
      <c r="AV158">
        <f t="shared" si="7"/>
        <v>793.1</v>
      </c>
      <c r="AW158">
        <v>48</v>
      </c>
      <c r="BC158" t="s">
        <v>401</v>
      </c>
    </row>
    <row r="159" spans="3:55" x14ac:dyDescent="0.45">
      <c r="C159">
        <v>63.3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7</v>
      </c>
      <c r="K159">
        <v>29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0.7</v>
      </c>
      <c r="U159">
        <v>0</v>
      </c>
      <c r="V159">
        <v>1</v>
      </c>
      <c r="W159">
        <v>0</v>
      </c>
      <c r="X159">
        <v>70</v>
      </c>
      <c r="Y159">
        <v>0</v>
      </c>
      <c r="Z159">
        <v>0</v>
      </c>
      <c r="AA159">
        <v>1</v>
      </c>
      <c r="AB159">
        <v>0</v>
      </c>
      <c r="AC159">
        <v>1000</v>
      </c>
      <c r="AD159">
        <v>6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  <c r="AQ159">
        <v>0</v>
      </c>
      <c r="AR159">
        <v>0</v>
      </c>
      <c r="AS159">
        <v>0</v>
      </c>
      <c r="AT159">
        <f t="shared" si="8"/>
        <v>8.120000000000001</v>
      </c>
      <c r="AU159">
        <f t="shared" si="6"/>
        <v>1.2366666666666668</v>
      </c>
      <c r="AV159">
        <f t="shared" si="7"/>
        <v>919.80000000000007</v>
      </c>
      <c r="AW159">
        <v>65</v>
      </c>
      <c r="AX159">
        <v>1000</v>
      </c>
      <c r="BC159" t="s">
        <v>423</v>
      </c>
    </row>
    <row r="160" spans="3:55" x14ac:dyDescent="0.45">
      <c r="C160">
        <v>61.9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9.1999999999999993</v>
      </c>
      <c r="K160">
        <v>23.2</v>
      </c>
      <c r="L160">
        <v>0</v>
      </c>
      <c r="M160">
        <v>5.7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1</v>
      </c>
      <c r="Z160">
        <v>0</v>
      </c>
      <c r="AA160">
        <v>0</v>
      </c>
      <c r="AB160">
        <v>0</v>
      </c>
      <c r="AC160">
        <v>1150</v>
      </c>
      <c r="AD160">
        <v>24</v>
      </c>
      <c r="AE160">
        <v>1</v>
      </c>
      <c r="AF160">
        <v>0</v>
      </c>
      <c r="AG160">
        <v>0</v>
      </c>
      <c r="AH160">
        <v>1000</v>
      </c>
      <c r="AI160">
        <v>0.16666666666666666</v>
      </c>
      <c r="AJ160">
        <v>1</v>
      </c>
      <c r="AK160">
        <v>0</v>
      </c>
      <c r="AL160">
        <v>0</v>
      </c>
      <c r="AM160">
        <v>0</v>
      </c>
      <c r="AN160">
        <v>0</v>
      </c>
      <c r="AO160">
        <v>0</v>
      </c>
      <c r="AP160">
        <v>0</v>
      </c>
      <c r="AQ160">
        <v>0</v>
      </c>
      <c r="AR160">
        <v>0</v>
      </c>
      <c r="AS160">
        <v>0</v>
      </c>
      <c r="AT160">
        <f t="shared" si="8"/>
        <v>6.4960000000000004</v>
      </c>
      <c r="AU160">
        <f t="shared" si="6"/>
        <v>3.4333333333333336</v>
      </c>
      <c r="AV160">
        <f t="shared" si="7"/>
        <v>842.46</v>
      </c>
      <c r="AW160">
        <v>48.7</v>
      </c>
      <c r="BC160" t="s">
        <v>405</v>
      </c>
    </row>
    <row r="161" spans="3:55" x14ac:dyDescent="0.45">
      <c r="C161">
        <v>68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10</v>
      </c>
      <c r="K161">
        <v>10.199999999999999</v>
      </c>
      <c r="L161">
        <v>5.3</v>
      </c>
      <c r="M161">
        <v>6.5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1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0</v>
      </c>
      <c r="AN161">
        <v>0</v>
      </c>
      <c r="AO161">
        <v>0</v>
      </c>
      <c r="AP161">
        <v>0</v>
      </c>
      <c r="AQ161">
        <v>0</v>
      </c>
      <c r="AR161">
        <v>0</v>
      </c>
      <c r="AS161">
        <v>0</v>
      </c>
      <c r="AT161">
        <f t="shared" si="8"/>
        <v>8.1559999999999988</v>
      </c>
      <c r="AU161">
        <f t="shared" si="6"/>
        <v>3.833333333333333</v>
      </c>
      <c r="AV161">
        <f t="shared" si="7"/>
        <v>789.94999999999993</v>
      </c>
      <c r="AW161">
        <v>48</v>
      </c>
      <c r="AX161">
        <v>478</v>
      </c>
      <c r="AY161">
        <v>715</v>
      </c>
      <c r="AZ161">
        <v>7.6</v>
      </c>
      <c r="BC161" t="s">
        <v>399</v>
      </c>
    </row>
    <row r="162" spans="3:55" x14ac:dyDescent="0.45">
      <c r="C162">
        <v>69.599999999999994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9.5</v>
      </c>
      <c r="K162">
        <v>9.6999999999999993</v>
      </c>
      <c r="L162">
        <v>5</v>
      </c>
      <c r="M162">
        <v>6.2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1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0</v>
      </c>
      <c r="AR162">
        <v>0</v>
      </c>
      <c r="AS162">
        <v>0</v>
      </c>
      <c r="AT162">
        <f t="shared" si="8"/>
        <v>7.7160000000000002</v>
      </c>
      <c r="AU162">
        <f t="shared" si="6"/>
        <v>3.6500000000000004</v>
      </c>
      <c r="AV162">
        <f t="shared" si="7"/>
        <v>794.99</v>
      </c>
      <c r="AW162">
        <v>54</v>
      </c>
      <c r="AX162">
        <v>235</v>
      </c>
      <c r="AY162">
        <v>715</v>
      </c>
      <c r="AZ162">
        <v>12.5</v>
      </c>
      <c r="BC162" t="s">
        <v>399</v>
      </c>
    </row>
    <row r="163" spans="3:55" x14ac:dyDescent="0.45">
      <c r="C163">
        <v>68.099999999999994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10</v>
      </c>
      <c r="K163">
        <v>10.199999999999999</v>
      </c>
      <c r="L163">
        <v>5.2</v>
      </c>
      <c r="M163">
        <v>6.5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1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0</v>
      </c>
      <c r="AM163">
        <v>0</v>
      </c>
      <c r="AN163">
        <v>0</v>
      </c>
      <c r="AO163">
        <v>0</v>
      </c>
      <c r="AP163">
        <v>0</v>
      </c>
      <c r="AQ163">
        <v>0</v>
      </c>
      <c r="AR163">
        <v>0</v>
      </c>
      <c r="AS163">
        <v>0</v>
      </c>
      <c r="AT163">
        <f t="shared" si="8"/>
        <v>8.0560000000000009</v>
      </c>
      <c r="AU163">
        <f t="shared" si="6"/>
        <v>3.833333333333333</v>
      </c>
      <c r="AV163">
        <f t="shared" si="7"/>
        <v>790.9</v>
      </c>
      <c r="AW163">
        <v>48</v>
      </c>
      <c r="AX163">
        <v>478</v>
      </c>
      <c r="AY163">
        <v>715</v>
      </c>
      <c r="AZ163">
        <v>7.6</v>
      </c>
      <c r="BC163" t="s">
        <v>398</v>
      </c>
    </row>
    <row r="164" spans="3:55" x14ac:dyDescent="0.45">
      <c r="C164">
        <v>68.099999999999994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10</v>
      </c>
      <c r="K164">
        <v>10.199999999999999</v>
      </c>
      <c r="L164">
        <v>5.2</v>
      </c>
      <c r="M164">
        <v>6.5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1</v>
      </c>
      <c r="Z164">
        <v>0</v>
      </c>
      <c r="AA164">
        <v>0</v>
      </c>
      <c r="AB164">
        <v>0</v>
      </c>
      <c r="AC164">
        <v>950</v>
      </c>
      <c r="AD164">
        <v>2</v>
      </c>
      <c r="AE164">
        <v>1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  <c r="AP164">
        <v>0</v>
      </c>
      <c r="AQ164">
        <v>0</v>
      </c>
      <c r="AR164">
        <v>0</v>
      </c>
      <c r="AS164">
        <v>0</v>
      </c>
      <c r="AT164">
        <f t="shared" si="8"/>
        <v>8.0560000000000009</v>
      </c>
      <c r="AU164">
        <f t="shared" si="6"/>
        <v>3.833333333333333</v>
      </c>
      <c r="AV164">
        <f t="shared" si="7"/>
        <v>790.9</v>
      </c>
      <c r="AW164">
        <v>43</v>
      </c>
      <c r="AX164">
        <v>408</v>
      </c>
      <c r="AY164">
        <v>577</v>
      </c>
      <c r="AZ164">
        <v>6.7</v>
      </c>
      <c r="BC164" t="s">
        <v>398</v>
      </c>
    </row>
    <row r="165" spans="3:55" x14ac:dyDescent="0.45">
      <c r="C165">
        <v>69.599999999999994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9.5</v>
      </c>
      <c r="K165">
        <v>9.6999999999999993</v>
      </c>
      <c r="L165">
        <v>5</v>
      </c>
      <c r="M165">
        <v>6.2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1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  <c r="AP165">
        <v>0</v>
      </c>
      <c r="AQ165">
        <v>0</v>
      </c>
      <c r="AR165">
        <v>0</v>
      </c>
      <c r="AS165">
        <v>0</v>
      </c>
      <c r="AT165">
        <f t="shared" si="8"/>
        <v>7.7160000000000002</v>
      </c>
      <c r="AU165">
        <f t="shared" si="6"/>
        <v>3.6500000000000004</v>
      </c>
      <c r="AV165">
        <f t="shared" si="7"/>
        <v>794.99</v>
      </c>
      <c r="AW165">
        <v>54</v>
      </c>
      <c r="BC165" t="s">
        <v>373</v>
      </c>
    </row>
    <row r="166" spans="3:55" x14ac:dyDescent="0.45">
      <c r="C166">
        <v>65.599999999999994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9.3000000000000007</v>
      </c>
      <c r="K166">
        <v>14.2</v>
      </c>
      <c r="L166">
        <v>4.9000000000000004</v>
      </c>
      <c r="M166">
        <v>6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1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0</v>
      </c>
      <c r="AM166">
        <v>0</v>
      </c>
      <c r="AN166">
        <v>0</v>
      </c>
      <c r="AO166">
        <v>0</v>
      </c>
      <c r="AP166">
        <v>0</v>
      </c>
      <c r="AQ166">
        <v>0</v>
      </c>
      <c r="AR166">
        <v>0</v>
      </c>
      <c r="AS166">
        <v>0</v>
      </c>
      <c r="AT166">
        <f t="shared" si="8"/>
        <v>8.8760000000000012</v>
      </c>
      <c r="AU166">
        <f t="shared" si="6"/>
        <v>3.55</v>
      </c>
      <c r="AV166">
        <f t="shared" si="7"/>
        <v>796.48000000000013</v>
      </c>
      <c r="AW166">
        <v>56</v>
      </c>
      <c r="AX166">
        <v>566</v>
      </c>
      <c r="AY166">
        <v>701</v>
      </c>
      <c r="AZ166">
        <v>13.6</v>
      </c>
      <c r="BC166" t="s">
        <v>399</v>
      </c>
    </row>
    <row r="167" spans="3:55" x14ac:dyDescent="0.45">
      <c r="C167">
        <v>65.599999999999994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9.3000000000000007</v>
      </c>
      <c r="K167">
        <v>14.2</v>
      </c>
      <c r="L167">
        <v>4.9000000000000004</v>
      </c>
      <c r="M167">
        <v>6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1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0</v>
      </c>
      <c r="AO167">
        <v>0</v>
      </c>
      <c r="AP167">
        <v>0</v>
      </c>
      <c r="AQ167">
        <v>0</v>
      </c>
      <c r="AR167">
        <v>0</v>
      </c>
      <c r="AS167">
        <v>0</v>
      </c>
      <c r="AT167">
        <f t="shared" si="8"/>
        <v>8.8760000000000012</v>
      </c>
      <c r="AU167">
        <f t="shared" si="6"/>
        <v>3.55</v>
      </c>
      <c r="AV167">
        <f t="shared" si="7"/>
        <v>796.48000000000013</v>
      </c>
      <c r="AW167">
        <v>56</v>
      </c>
      <c r="BC167" t="s">
        <v>373</v>
      </c>
    </row>
    <row r="168" spans="3:55" x14ac:dyDescent="0.45">
      <c r="C168">
        <v>61.7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9.1</v>
      </c>
      <c r="K168">
        <v>18.5</v>
      </c>
      <c r="L168">
        <v>4.8</v>
      </c>
      <c r="M168">
        <v>5.9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1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0</v>
      </c>
      <c r="AN168">
        <v>0</v>
      </c>
      <c r="AO168">
        <v>0</v>
      </c>
      <c r="AP168">
        <v>0</v>
      </c>
      <c r="AQ168">
        <v>0</v>
      </c>
      <c r="AR168">
        <v>0</v>
      </c>
      <c r="AS168">
        <v>0</v>
      </c>
      <c r="AT168">
        <f t="shared" si="8"/>
        <v>9.98</v>
      </c>
      <c r="AU168">
        <f t="shared" si="6"/>
        <v>3.4833333333333334</v>
      </c>
      <c r="AV168">
        <f t="shared" si="7"/>
        <v>798.39</v>
      </c>
      <c r="AW168">
        <v>72</v>
      </c>
      <c r="AX168">
        <v>499</v>
      </c>
      <c r="AY168">
        <v>519</v>
      </c>
      <c r="AZ168">
        <v>6.4</v>
      </c>
      <c r="BC168" t="s">
        <v>399</v>
      </c>
    </row>
    <row r="169" spans="3:55" x14ac:dyDescent="0.45">
      <c r="C169">
        <v>61.7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9.1</v>
      </c>
      <c r="K169">
        <v>18.5</v>
      </c>
      <c r="L169">
        <v>4.8</v>
      </c>
      <c r="M169">
        <v>5.9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1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  <c r="AP169">
        <v>0</v>
      </c>
      <c r="AQ169">
        <v>0</v>
      </c>
      <c r="AR169">
        <v>0</v>
      </c>
      <c r="AS169">
        <v>0</v>
      </c>
      <c r="AT169">
        <f t="shared" si="8"/>
        <v>9.98</v>
      </c>
      <c r="AU169">
        <f t="shared" si="6"/>
        <v>3.4833333333333334</v>
      </c>
      <c r="AV169">
        <f t="shared" si="7"/>
        <v>798.39</v>
      </c>
      <c r="AW169">
        <v>73</v>
      </c>
      <c r="BC169" t="s">
        <v>373</v>
      </c>
    </row>
    <row r="170" spans="3:55" x14ac:dyDescent="0.45">
      <c r="C170">
        <v>57.7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6.8</v>
      </c>
      <c r="K170">
        <v>32.5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1</v>
      </c>
      <c r="W170">
        <v>0</v>
      </c>
      <c r="X170">
        <v>0</v>
      </c>
      <c r="Y170">
        <v>0</v>
      </c>
      <c r="Z170">
        <v>0</v>
      </c>
      <c r="AA170">
        <v>1</v>
      </c>
      <c r="AB170">
        <v>0</v>
      </c>
      <c r="AC170">
        <v>1000</v>
      </c>
      <c r="AD170">
        <v>1</v>
      </c>
      <c r="AE170">
        <v>1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  <c r="AP170">
        <v>0</v>
      </c>
      <c r="AQ170">
        <v>0</v>
      </c>
      <c r="AR170">
        <v>0</v>
      </c>
      <c r="AS170">
        <v>0</v>
      </c>
      <c r="AT170">
        <f t="shared" si="8"/>
        <v>9.1000000000000014</v>
      </c>
      <c r="AU170">
        <f t="shared" si="6"/>
        <v>1.1333333333333333</v>
      </c>
      <c r="AV170">
        <f t="shared" si="7"/>
        <v>835.08</v>
      </c>
      <c r="AW170">
        <v>66.900000000000006</v>
      </c>
      <c r="AY170">
        <v>829</v>
      </c>
      <c r="AZ170">
        <v>15.4</v>
      </c>
      <c r="BC170" t="s">
        <v>424</v>
      </c>
    </row>
    <row r="171" spans="3:55" x14ac:dyDescent="0.45">
      <c r="C171">
        <v>57.7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6.8</v>
      </c>
      <c r="K171">
        <v>32.5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1</v>
      </c>
      <c r="W171">
        <v>0</v>
      </c>
      <c r="X171">
        <v>50</v>
      </c>
      <c r="Y171">
        <v>0</v>
      </c>
      <c r="Z171">
        <v>1</v>
      </c>
      <c r="AA171">
        <v>1</v>
      </c>
      <c r="AB171">
        <v>0</v>
      </c>
      <c r="AC171">
        <v>1000</v>
      </c>
      <c r="AD171">
        <v>1</v>
      </c>
      <c r="AE171">
        <v>1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</v>
      </c>
      <c r="AM171">
        <v>0</v>
      </c>
      <c r="AN171">
        <v>0</v>
      </c>
      <c r="AO171">
        <v>0</v>
      </c>
      <c r="AP171">
        <v>0</v>
      </c>
      <c r="AQ171">
        <v>0</v>
      </c>
      <c r="AR171">
        <v>0</v>
      </c>
      <c r="AS171">
        <v>0</v>
      </c>
      <c r="AT171">
        <f t="shared" si="8"/>
        <v>9.1000000000000014</v>
      </c>
      <c r="AU171">
        <f t="shared" si="6"/>
        <v>1.1333333333333333</v>
      </c>
      <c r="AV171">
        <f t="shared" si="7"/>
        <v>835.08</v>
      </c>
      <c r="AW171">
        <v>60.7</v>
      </c>
      <c r="AY171">
        <v>942</v>
      </c>
      <c r="AZ171">
        <v>13.8</v>
      </c>
      <c r="BC171" t="s">
        <v>424</v>
      </c>
    </row>
    <row r="172" spans="3:55" x14ac:dyDescent="0.45">
      <c r="C172">
        <v>57.7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6.8</v>
      </c>
      <c r="K172">
        <v>32.5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1</v>
      </c>
      <c r="W172">
        <v>0</v>
      </c>
      <c r="X172">
        <v>90</v>
      </c>
      <c r="Y172">
        <v>0</v>
      </c>
      <c r="Z172">
        <v>1</v>
      </c>
      <c r="AA172">
        <v>1</v>
      </c>
      <c r="AB172">
        <v>0</v>
      </c>
      <c r="AC172">
        <v>1000</v>
      </c>
      <c r="AD172">
        <v>1</v>
      </c>
      <c r="AE172">
        <v>1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0</v>
      </c>
      <c r="AM172">
        <v>0</v>
      </c>
      <c r="AN172">
        <v>0</v>
      </c>
      <c r="AO172">
        <v>0</v>
      </c>
      <c r="AP172">
        <v>0</v>
      </c>
      <c r="AQ172">
        <v>0</v>
      </c>
      <c r="AR172">
        <v>0</v>
      </c>
      <c r="AS172">
        <v>0</v>
      </c>
      <c r="AT172">
        <f t="shared" si="8"/>
        <v>9.1000000000000014</v>
      </c>
      <c r="AU172">
        <f t="shared" si="6"/>
        <v>1.1333333333333333</v>
      </c>
      <c r="AV172">
        <f t="shared" si="7"/>
        <v>835.08</v>
      </c>
      <c r="AW172">
        <v>55.3</v>
      </c>
      <c r="AY172">
        <v>1093</v>
      </c>
      <c r="AZ172">
        <v>12.6</v>
      </c>
      <c r="BC172" t="s">
        <v>424</v>
      </c>
    </row>
    <row r="173" spans="3:55" x14ac:dyDescent="0.45">
      <c r="C173">
        <v>64.3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5.7</v>
      </c>
      <c r="K173">
        <v>14.6</v>
      </c>
      <c r="L173">
        <v>0</v>
      </c>
      <c r="M173">
        <v>9.9</v>
      </c>
      <c r="N173">
        <v>0</v>
      </c>
      <c r="O173">
        <v>5.5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0</v>
      </c>
      <c r="AM173">
        <v>0</v>
      </c>
      <c r="AN173">
        <v>0</v>
      </c>
      <c r="AO173">
        <v>0</v>
      </c>
      <c r="AP173">
        <v>0</v>
      </c>
      <c r="AQ173">
        <v>0</v>
      </c>
      <c r="AR173">
        <v>0</v>
      </c>
      <c r="AS173">
        <v>0</v>
      </c>
      <c r="AT173">
        <f t="shared" si="8"/>
        <v>5.298</v>
      </c>
      <c r="AU173">
        <f t="shared" si="6"/>
        <v>4.25</v>
      </c>
      <c r="AV173">
        <f t="shared" si="7"/>
        <v>884.25</v>
      </c>
      <c r="AW173">
        <v>52.2</v>
      </c>
      <c r="BC173" t="s">
        <v>405</v>
      </c>
    </row>
    <row r="174" spans="3:55" x14ac:dyDescent="0.45">
      <c r="C174">
        <v>69.900000000000006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5.0999999999999996</v>
      </c>
      <c r="K174">
        <v>20.5</v>
      </c>
      <c r="L174">
        <v>0</v>
      </c>
      <c r="M174">
        <v>0</v>
      </c>
      <c r="N174">
        <v>0</v>
      </c>
      <c r="O174">
        <v>4.5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0</v>
      </c>
      <c r="AO174">
        <v>0</v>
      </c>
      <c r="AP174">
        <v>0</v>
      </c>
      <c r="AQ174">
        <v>0</v>
      </c>
      <c r="AR174">
        <v>0</v>
      </c>
      <c r="AS174">
        <v>0</v>
      </c>
      <c r="AT174">
        <f t="shared" si="8"/>
        <v>6.73</v>
      </c>
      <c r="AU174">
        <f t="shared" si="6"/>
        <v>0.85</v>
      </c>
      <c r="AV174">
        <f t="shared" si="7"/>
        <v>846.81</v>
      </c>
      <c r="AW174">
        <v>50</v>
      </c>
      <c r="BC174" t="s">
        <v>373</v>
      </c>
    </row>
    <row r="175" spans="3:55" x14ac:dyDescent="0.45">
      <c r="C175">
        <v>68.7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5.0999999999999996</v>
      </c>
      <c r="K175">
        <v>24.2</v>
      </c>
      <c r="L175">
        <v>0</v>
      </c>
      <c r="M175">
        <v>0</v>
      </c>
      <c r="N175">
        <v>0</v>
      </c>
      <c r="O175">
        <v>2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  <c r="AL175">
        <v>0</v>
      </c>
      <c r="AM175">
        <v>0</v>
      </c>
      <c r="AN175">
        <v>0</v>
      </c>
      <c r="AO175">
        <v>0</v>
      </c>
      <c r="AP175">
        <v>0</v>
      </c>
      <c r="AQ175">
        <v>0</v>
      </c>
      <c r="AR175">
        <v>0</v>
      </c>
      <c r="AS175">
        <v>0</v>
      </c>
      <c r="AT175">
        <f t="shared" si="8"/>
        <v>7.2160000000000011</v>
      </c>
      <c r="AU175">
        <f t="shared" si="6"/>
        <v>0.85</v>
      </c>
      <c r="AV175">
        <f t="shared" si="7"/>
        <v>846.81</v>
      </c>
      <c r="AW175">
        <v>48</v>
      </c>
      <c r="BC175" t="s">
        <v>425</v>
      </c>
    </row>
    <row r="176" spans="3:55" x14ac:dyDescent="0.45">
      <c r="C176">
        <v>70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3</v>
      </c>
      <c r="K176">
        <v>25</v>
      </c>
      <c r="L176">
        <v>0</v>
      </c>
      <c r="M176">
        <v>0</v>
      </c>
      <c r="N176">
        <v>0</v>
      </c>
      <c r="O176">
        <v>2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1</v>
      </c>
      <c r="W176">
        <v>0</v>
      </c>
      <c r="X176">
        <v>90</v>
      </c>
      <c r="Y176">
        <v>0</v>
      </c>
      <c r="Z176">
        <v>1</v>
      </c>
      <c r="AA176">
        <v>0</v>
      </c>
      <c r="AB176">
        <v>0</v>
      </c>
      <c r="AC176">
        <v>650</v>
      </c>
      <c r="AD176">
        <v>0.16666666666666666</v>
      </c>
      <c r="AE176">
        <v>0</v>
      </c>
      <c r="AF176">
        <v>1</v>
      </c>
      <c r="AG176">
        <v>0</v>
      </c>
      <c r="AH176">
        <v>0</v>
      </c>
      <c r="AI176">
        <v>0</v>
      </c>
      <c r="AJ176">
        <v>0</v>
      </c>
      <c r="AK176">
        <v>0</v>
      </c>
      <c r="AL176">
        <v>0</v>
      </c>
      <c r="AM176">
        <v>0</v>
      </c>
      <c r="AN176">
        <v>0</v>
      </c>
      <c r="AO176">
        <v>0</v>
      </c>
      <c r="AP176">
        <v>0</v>
      </c>
      <c r="AQ176">
        <v>0</v>
      </c>
      <c r="AR176">
        <v>0</v>
      </c>
      <c r="AS176">
        <v>0</v>
      </c>
      <c r="AT176">
        <f t="shared" si="8"/>
        <v>7.4400000000000013</v>
      </c>
      <c r="AU176">
        <f t="shared" si="6"/>
        <v>0.5</v>
      </c>
      <c r="AV176">
        <f t="shared" si="7"/>
        <v>861.3</v>
      </c>
      <c r="AW176">
        <v>75.2</v>
      </c>
      <c r="AY176">
        <v>864</v>
      </c>
      <c r="AZ176">
        <v>1.25</v>
      </c>
      <c r="BC176" t="s">
        <v>414</v>
      </c>
    </row>
    <row r="177" spans="3:55" x14ac:dyDescent="0.45">
      <c r="C177">
        <v>65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3</v>
      </c>
      <c r="K177">
        <v>30</v>
      </c>
      <c r="L177">
        <v>0</v>
      </c>
      <c r="M177">
        <v>0</v>
      </c>
      <c r="N177">
        <v>0</v>
      </c>
      <c r="O177">
        <v>2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1</v>
      </c>
      <c r="W177">
        <v>0</v>
      </c>
      <c r="X177">
        <v>90</v>
      </c>
      <c r="Y177">
        <v>0</v>
      </c>
      <c r="Z177">
        <v>1</v>
      </c>
      <c r="AA177">
        <v>0</v>
      </c>
      <c r="AB177">
        <v>0</v>
      </c>
      <c r="AC177">
        <v>650</v>
      </c>
      <c r="AD177">
        <v>0.16666666666666666</v>
      </c>
      <c r="AE177">
        <v>0</v>
      </c>
      <c r="AF177">
        <v>1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0</v>
      </c>
      <c r="AM177">
        <v>0</v>
      </c>
      <c r="AN177">
        <v>0</v>
      </c>
      <c r="AO177">
        <v>0</v>
      </c>
      <c r="AP177">
        <v>0</v>
      </c>
      <c r="AQ177">
        <v>0</v>
      </c>
      <c r="AR177">
        <v>0</v>
      </c>
      <c r="AS177">
        <v>0</v>
      </c>
      <c r="AT177">
        <f t="shared" si="8"/>
        <v>8.84</v>
      </c>
      <c r="AU177">
        <f t="shared" si="6"/>
        <v>0.5</v>
      </c>
      <c r="AV177">
        <f t="shared" si="7"/>
        <v>861.3</v>
      </c>
      <c r="AW177">
        <v>57.1</v>
      </c>
      <c r="AY177">
        <v>663</v>
      </c>
      <c r="AZ177">
        <v>17.5</v>
      </c>
      <c r="BC177" t="s">
        <v>414</v>
      </c>
    </row>
    <row r="178" spans="3:55" x14ac:dyDescent="0.45">
      <c r="C178">
        <v>60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3</v>
      </c>
      <c r="K178">
        <v>35</v>
      </c>
      <c r="L178">
        <v>0</v>
      </c>
      <c r="M178">
        <v>0</v>
      </c>
      <c r="N178">
        <v>0</v>
      </c>
      <c r="O178">
        <v>2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1</v>
      </c>
      <c r="W178">
        <v>0</v>
      </c>
      <c r="X178">
        <v>90</v>
      </c>
      <c r="Y178">
        <v>0</v>
      </c>
      <c r="Z178">
        <v>1</v>
      </c>
      <c r="AA178">
        <v>0</v>
      </c>
      <c r="AB178">
        <v>0</v>
      </c>
      <c r="AC178">
        <v>650</v>
      </c>
      <c r="AD178">
        <v>0.16666666666666666</v>
      </c>
      <c r="AE178">
        <v>0</v>
      </c>
      <c r="AF178">
        <v>1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0</v>
      </c>
      <c r="AM178">
        <v>0</v>
      </c>
      <c r="AN178">
        <v>0</v>
      </c>
      <c r="AO178">
        <v>0</v>
      </c>
      <c r="AP178">
        <v>0</v>
      </c>
      <c r="AQ178">
        <v>0</v>
      </c>
      <c r="AR178">
        <v>0</v>
      </c>
      <c r="AS178">
        <v>0</v>
      </c>
      <c r="AT178">
        <f t="shared" si="8"/>
        <v>10.24</v>
      </c>
      <c r="AU178">
        <f t="shared" si="6"/>
        <v>0.5</v>
      </c>
      <c r="AV178">
        <f t="shared" si="7"/>
        <v>861.3</v>
      </c>
      <c r="AW178">
        <v>52</v>
      </c>
      <c r="AY178">
        <v>431</v>
      </c>
      <c r="AZ178">
        <v>18.8</v>
      </c>
      <c r="BC178" t="s">
        <v>414</v>
      </c>
    </row>
    <row r="179" spans="3:55" x14ac:dyDescent="0.45">
      <c r="C179">
        <v>52.099999999999994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7.2</v>
      </c>
      <c r="K179">
        <v>35</v>
      </c>
      <c r="L179">
        <v>0</v>
      </c>
      <c r="M179">
        <v>0</v>
      </c>
      <c r="N179">
        <v>0</v>
      </c>
      <c r="O179">
        <v>5.7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0</v>
      </c>
      <c r="AN179">
        <v>0</v>
      </c>
      <c r="AO179">
        <v>0</v>
      </c>
      <c r="AP179">
        <v>0</v>
      </c>
      <c r="AQ179">
        <v>0</v>
      </c>
      <c r="AR179">
        <v>0</v>
      </c>
      <c r="AS179">
        <v>0</v>
      </c>
      <c r="AT179">
        <f t="shared" si="8"/>
        <v>11.054</v>
      </c>
      <c r="AU179">
        <f t="shared" si="6"/>
        <v>1.2</v>
      </c>
      <c r="AV179">
        <f t="shared" si="7"/>
        <v>832.31999999999994</v>
      </c>
      <c r="AW179">
        <v>57</v>
      </c>
      <c r="BC179" t="s">
        <v>410</v>
      </c>
    </row>
    <row r="180" spans="3:55" x14ac:dyDescent="0.45">
      <c r="C180">
        <v>53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7</v>
      </c>
      <c r="K180">
        <v>35</v>
      </c>
      <c r="L180">
        <v>0</v>
      </c>
      <c r="M180">
        <v>0</v>
      </c>
      <c r="N180">
        <v>0</v>
      </c>
      <c r="O180">
        <v>5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1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0</v>
      </c>
      <c r="AM180">
        <v>0</v>
      </c>
      <c r="AN180">
        <v>0</v>
      </c>
      <c r="AO180">
        <v>0</v>
      </c>
      <c r="AP180">
        <v>0</v>
      </c>
      <c r="AQ180">
        <v>0</v>
      </c>
      <c r="AR180">
        <v>0</v>
      </c>
      <c r="AS180">
        <v>0</v>
      </c>
      <c r="AT180">
        <f t="shared" si="8"/>
        <v>10.9</v>
      </c>
      <c r="AU180">
        <f t="shared" si="6"/>
        <v>1.1666666666666667</v>
      </c>
      <c r="AV180">
        <f t="shared" si="7"/>
        <v>833.7</v>
      </c>
      <c r="AW180">
        <v>55</v>
      </c>
      <c r="BC180" t="s">
        <v>426</v>
      </c>
    </row>
    <row r="181" spans="3:55" x14ac:dyDescent="0.45">
      <c r="C181">
        <v>51.44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7.3</v>
      </c>
      <c r="K181">
        <v>35.5</v>
      </c>
      <c r="L181">
        <v>0</v>
      </c>
      <c r="M181">
        <v>0</v>
      </c>
      <c r="N181">
        <v>0</v>
      </c>
      <c r="O181">
        <v>5.7</v>
      </c>
      <c r="P181">
        <v>0</v>
      </c>
      <c r="Q181">
        <v>0</v>
      </c>
      <c r="R181">
        <v>0</v>
      </c>
      <c r="S181">
        <v>0</v>
      </c>
      <c r="T181">
        <v>0.06</v>
      </c>
      <c r="U181">
        <v>0</v>
      </c>
      <c r="V181">
        <v>1</v>
      </c>
      <c r="W181">
        <v>1100</v>
      </c>
      <c r="X181">
        <v>0</v>
      </c>
      <c r="Y181">
        <v>0</v>
      </c>
      <c r="Z181">
        <v>0</v>
      </c>
      <c r="AA181">
        <v>1</v>
      </c>
      <c r="AB181">
        <v>0</v>
      </c>
      <c r="AC181">
        <v>1400</v>
      </c>
      <c r="AD181">
        <v>2</v>
      </c>
      <c r="AE181">
        <v>0</v>
      </c>
      <c r="AF181">
        <v>0</v>
      </c>
      <c r="AG181">
        <v>1</v>
      </c>
      <c r="AH181">
        <v>0</v>
      </c>
      <c r="AI181">
        <v>0</v>
      </c>
      <c r="AJ181">
        <v>0</v>
      </c>
      <c r="AK181">
        <v>0</v>
      </c>
      <c r="AL181">
        <v>0</v>
      </c>
      <c r="AM181">
        <v>0</v>
      </c>
      <c r="AN181">
        <v>0</v>
      </c>
      <c r="AO181">
        <v>0</v>
      </c>
      <c r="AP181">
        <v>0</v>
      </c>
      <c r="AQ181">
        <v>0</v>
      </c>
      <c r="AR181">
        <v>0</v>
      </c>
      <c r="AS181">
        <v>0</v>
      </c>
      <c r="AT181">
        <f t="shared" si="8"/>
        <v>11.194000000000001</v>
      </c>
      <c r="AU181">
        <f t="shared" si="6"/>
        <v>1.2226666666666666</v>
      </c>
      <c r="AV181">
        <f t="shared" si="7"/>
        <v>839.01</v>
      </c>
      <c r="AW181">
        <v>63</v>
      </c>
      <c r="AX181">
        <v>447</v>
      </c>
      <c r="AY181">
        <v>545</v>
      </c>
      <c r="AZ181">
        <v>21</v>
      </c>
      <c r="BA181">
        <v>164</v>
      </c>
      <c r="BC181" t="s">
        <v>427</v>
      </c>
    </row>
    <row r="182" spans="3:55" x14ac:dyDescent="0.45">
      <c r="C182">
        <v>49.44</v>
      </c>
      <c r="D182">
        <v>0</v>
      </c>
      <c r="E182">
        <v>0</v>
      </c>
      <c r="F182">
        <v>0</v>
      </c>
      <c r="G182">
        <v>0</v>
      </c>
      <c r="H182">
        <v>2</v>
      </c>
      <c r="I182">
        <v>0</v>
      </c>
      <c r="J182">
        <v>7.3</v>
      </c>
      <c r="K182">
        <v>35.5</v>
      </c>
      <c r="L182">
        <v>0</v>
      </c>
      <c r="M182">
        <v>0</v>
      </c>
      <c r="N182">
        <v>0</v>
      </c>
      <c r="O182">
        <v>5.7</v>
      </c>
      <c r="P182">
        <v>0</v>
      </c>
      <c r="Q182">
        <v>0</v>
      </c>
      <c r="R182">
        <v>0</v>
      </c>
      <c r="S182">
        <v>0</v>
      </c>
      <c r="T182">
        <v>0.06</v>
      </c>
      <c r="U182">
        <v>0</v>
      </c>
      <c r="V182">
        <v>1</v>
      </c>
      <c r="W182">
        <v>1100</v>
      </c>
      <c r="X182">
        <v>0</v>
      </c>
      <c r="Y182">
        <v>0</v>
      </c>
      <c r="Z182">
        <v>0</v>
      </c>
      <c r="AA182">
        <v>1</v>
      </c>
      <c r="AB182">
        <v>0</v>
      </c>
      <c r="AC182">
        <v>1400</v>
      </c>
      <c r="AD182">
        <v>2</v>
      </c>
      <c r="AE182">
        <v>0</v>
      </c>
      <c r="AF182">
        <v>0</v>
      </c>
      <c r="AG182">
        <v>1</v>
      </c>
      <c r="AH182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>
        <v>0</v>
      </c>
      <c r="AQ182">
        <v>0</v>
      </c>
      <c r="AR182">
        <v>0</v>
      </c>
      <c r="AS182">
        <v>0</v>
      </c>
      <c r="AT182">
        <f t="shared" si="8"/>
        <v>16.994</v>
      </c>
      <c r="AU182">
        <f t="shared" si="6"/>
        <v>1.2226666666666666</v>
      </c>
      <c r="AV182">
        <f t="shared" si="7"/>
        <v>808.21</v>
      </c>
      <c r="AW182">
        <v>107</v>
      </c>
      <c r="AX182">
        <v>817</v>
      </c>
      <c r="AY182">
        <v>1130</v>
      </c>
      <c r="AZ182">
        <v>28</v>
      </c>
      <c r="BA182">
        <v>321</v>
      </c>
      <c r="BC182" t="s">
        <v>427</v>
      </c>
    </row>
    <row r="183" spans="3:55" x14ac:dyDescent="0.45">
      <c r="C183">
        <v>49.15</v>
      </c>
      <c r="D183">
        <v>0</v>
      </c>
      <c r="E183">
        <v>0</v>
      </c>
      <c r="F183">
        <v>0</v>
      </c>
      <c r="G183">
        <v>0</v>
      </c>
      <c r="H183">
        <v>2</v>
      </c>
      <c r="I183">
        <v>0</v>
      </c>
      <c r="J183">
        <v>7.3</v>
      </c>
      <c r="K183">
        <v>35.5</v>
      </c>
      <c r="L183">
        <v>0</v>
      </c>
      <c r="M183">
        <v>0</v>
      </c>
      <c r="N183">
        <v>0</v>
      </c>
      <c r="O183">
        <v>5.7</v>
      </c>
      <c r="P183">
        <v>0</v>
      </c>
      <c r="Q183">
        <v>0</v>
      </c>
      <c r="R183">
        <v>0</v>
      </c>
      <c r="S183">
        <v>0</v>
      </c>
      <c r="T183">
        <v>0.35</v>
      </c>
      <c r="U183">
        <v>0</v>
      </c>
      <c r="V183">
        <v>1</v>
      </c>
      <c r="W183">
        <v>1100</v>
      </c>
      <c r="X183">
        <v>0</v>
      </c>
      <c r="Y183">
        <v>0</v>
      </c>
      <c r="Z183">
        <v>0</v>
      </c>
      <c r="AA183">
        <v>1</v>
      </c>
      <c r="AB183">
        <v>0</v>
      </c>
      <c r="AC183">
        <v>1400</v>
      </c>
      <c r="AD183">
        <v>2</v>
      </c>
      <c r="AE183">
        <v>0</v>
      </c>
      <c r="AF183">
        <v>0</v>
      </c>
      <c r="AG183">
        <v>1</v>
      </c>
      <c r="AH183">
        <v>0</v>
      </c>
      <c r="AI183">
        <v>0</v>
      </c>
      <c r="AJ183">
        <v>0</v>
      </c>
      <c r="AK183">
        <v>0</v>
      </c>
      <c r="AL183">
        <v>0</v>
      </c>
      <c r="AM183">
        <v>0</v>
      </c>
      <c r="AN183">
        <v>0</v>
      </c>
      <c r="AO183">
        <v>0</v>
      </c>
      <c r="AP183">
        <v>0</v>
      </c>
      <c r="AQ183">
        <v>0</v>
      </c>
      <c r="AR183">
        <v>0</v>
      </c>
      <c r="AS183">
        <v>0</v>
      </c>
      <c r="AT183">
        <f t="shared" si="8"/>
        <v>16.994</v>
      </c>
      <c r="AU183">
        <f t="shared" si="6"/>
        <v>1.2516666666666665</v>
      </c>
      <c r="AV183">
        <f t="shared" si="7"/>
        <v>843.88</v>
      </c>
      <c r="AW183">
        <v>80</v>
      </c>
      <c r="AX183">
        <v>1017</v>
      </c>
      <c r="AY183">
        <v>1217</v>
      </c>
      <c r="AZ183">
        <v>21</v>
      </c>
      <c r="BA183">
        <v>335</v>
      </c>
      <c r="BC183" t="s">
        <v>427</v>
      </c>
    </row>
    <row r="184" spans="3:55" x14ac:dyDescent="0.45">
      <c r="C184">
        <v>48.84</v>
      </c>
      <c r="D184">
        <v>0</v>
      </c>
      <c r="E184">
        <v>0</v>
      </c>
      <c r="F184">
        <v>0</v>
      </c>
      <c r="G184">
        <v>0</v>
      </c>
      <c r="H184">
        <v>2</v>
      </c>
      <c r="I184">
        <v>0</v>
      </c>
      <c r="J184">
        <v>7.3</v>
      </c>
      <c r="K184">
        <v>35.5</v>
      </c>
      <c r="L184">
        <v>0</v>
      </c>
      <c r="M184">
        <v>0</v>
      </c>
      <c r="N184">
        <v>0</v>
      </c>
      <c r="O184">
        <v>5.7</v>
      </c>
      <c r="P184">
        <v>0</v>
      </c>
      <c r="Q184">
        <v>0</v>
      </c>
      <c r="R184">
        <v>0</v>
      </c>
      <c r="S184">
        <v>0</v>
      </c>
      <c r="T184">
        <v>0.66</v>
      </c>
      <c r="U184">
        <v>0</v>
      </c>
      <c r="V184">
        <v>0</v>
      </c>
      <c r="W184">
        <v>0</v>
      </c>
      <c r="X184">
        <v>0</v>
      </c>
      <c r="Y184">
        <v>1</v>
      </c>
      <c r="Z184">
        <v>0</v>
      </c>
      <c r="AA184">
        <v>0</v>
      </c>
      <c r="AB184">
        <v>0</v>
      </c>
      <c r="AC184">
        <v>1400</v>
      </c>
      <c r="AD184">
        <v>2</v>
      </c>
      <c r="AE184">
        <v>0</v>
      </c>
      <c r="AF184">
        <v>0</v>
      </c>
      <c r="AG184">
        <v>1</v>
      </c>
      <c r="AH184">
        <v>0</v>
      </c>
      <c r="AI184">
        <v>0</v>
      </c>
      <c r="AJ184">
        <v>0</v>
      </c>
      <c r="AK184">
        <v>0</v>
      </c>
      <c r="AL184">
        <v>0</v>
      </c>
      <c r="AM184">
        <v>0</v>
      </c>
      <c r="AN184">
        <v>0</v>
      </c>
      <c r="AO184">
        <v>0</v>
      </c>
      <c r="AP184">
        <v>0</v>
      </c>
      <c r="AQ184">
        <v>0</v>
      </c>
      <c r="AR184">
        <v>0</v>
      </c>
      <c r="AS184">
        <v>0</v>
      </c>
      <c r="AT184">
        <f t="shared" si="8"/>
        <v>16.994</v>
      </c>
      <c r="AU184">
        <f t="shared" si="6"/>
        <v>1.2826666666666666</v>
      </c>
      <c r="AV184">
        <f t="shared" si="7"/>
        <v>882.01</v>
      </c>
      <c r="AW184">
        <v>109</v>
      </c>
      <c r="BA184">
        <v>371</v>
      </c>
      <c r="BC184" t="s">
        <v>427</v>
      </c>
    </row>
    <row r="185" spans="3:55" x14ac:dyDescent="0.45">
      <c r="C185">
        <v>48.9</v>
      </c>
      <c r="D185">
        <v>0</v>
      </c>
      <c r="E185">
        <v>0</v>
      </c>
      <c r="F185">
        <v>0</v>
      </c>
      <c r="G185">
        <v>0</v>
      </c>
      <c r="H185">
        <v>2</v>
      </c>
      <c r="I185">
        <v>0</v>
      </c>
      <c r="J185">
        <v>7.3</v>
      </c>
      <c r="K185">
        <v>35.5</v>
      </c>
      <c r="L185">
        <v>0</v>
      </c>
      <c r="M185">
        <v>0</v>
      </c>
      <c r="N185">
        <v>0</v>
      </c>
      <c r="O185">
        <v>5.7</v>
      </c>
      <c r="P185">
        <v>0</v>
      </c>
      <c r="Q185">
        <v>0.25</v>
      </c>
      <c r="R185">
        <v>0</v>
      </c>
      <c r="S185">
        <v>0</v>
      </c>
      <c r="T185">
        <v>0.35</v>
      </c>
      <c r="U185">
        <v>0</v>
      </c>
      <c r="V185">
        <v>0</v>
      </c>
      <c r="W185">
        <v>0</v>
      </c>
      <c r="X185">
        <v>0</v>
      </c>
      <c r="Y185">
        <v>1</v>
      </c>
      <c r="Z185">
        <v>0</v>
      </c>
      <c r="AA185">
        <v>0</v>
      </c>
      <c r="AB185">
        <v>0</v>
      </c>
      <c r="AC185">
        <v>1400</v>
      </c>
      <c r="AD185">
        <v>2</v>
      </c>
      <c r="AE185">
        <v>0</v>
      </c>
      <c r="AF185">
        <v>0</v>
      </c>
      <c r="AG185">
        <v>1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0</v>
      </c>
      <c r="AN185">
        <v>0</v>
      </c>
      <c r="AO185">
        <v>0</v>
      </c>
      <c r="AP185">
        <v>0</v>
      </c>
      <c r="AQ185">
        <v>0</v>
      </c>
      <c r="AR185">
        <v>0</v>
      </c>
      <c r="AS185">
        <v>0</v>
      </c>
      <c r="AT185">
        <f t="shared" si="8"/>
        <v>16.994</v>
      </c>
      <c r="AU185">
        <f t="shared" si="6"/>
        <v>1.2516666666666665</v>
      </c>
      <c r="AV185">
        <f t="shared" si="7"/>
        <v>849.70500000000004</v>
      </c>
      <c r="AW185">
        <v>87</v>
      </c>
      <c r="AX185">
        <v>1085</v>
      </c>
      <c r="AY185">
        <v>1373</v>
      </c>
      <c r="AZ185">
        <v>24</v>
      </c>
      <c r="BA185">
        <v>337</v>
      </c>
      <c r="BC185" t="s">
        <v>427</v>
      </c>
    </row>
    <row r="186" spans="3:55" x14ac:dyDescent="0.45">
      <c r="C186">
        <v>48.59</v>
      </c>
      <c r="D186">
        <v>0</v>
      </c>
      <c r="E186">
        <v>0</v>
      </c>
      <c r="F186">
        <v>0</v>
      </c>
      <c r="G186">
        <v>0</v>
      </c>
      <c r="H186">
        <v>2</v>
      </c>
      <c r="I186">
        <v>0</v>
      </c>
      <c r="J186">
        <v>7.3</v>
      </c>
      <c r="K186">
        <v>35.5</v>
      </c>
      <c r="L186">
        <v>0</v>
      </c>
      <c r="M186">
        <v>0</v>
      </c>
      <c r="N186">
        <v>0</v>
      </c>
      <c r="O186">
        <v>5.7</v>
      </c>
      <c r="P186">
        <v>0</v>
      </c>
      <c r="Q186">
        <v>0.25</v>
      </c>
      <c r="R186">
        <v>0</v>
      </c>
      <c r="S186">
        <v>0</v>
      </c>
      <c r="T186">
        <v>0.66</v>
      </c>
      <c r="U186">
        <v>0</v>
      </c>
      <c r="V186">
        <v>0</v>
      </c>
      <c r="W186">
        <v>0</v>
      </c>
      <c r="X186">
        <v>0</v>
      </c>
      <c r="Y186">
        <v>1</v>
      </c>
      <c r="Z186">
        <v>0</v>
      </c>
      <c r="AA186">
        <v>0</v>
      </c>
      <c r="AB186">
        <v>0</v>
      </c>
      <c r="AC186">
        <v>1400</v>
      </c>
      <c r="AD186">
        <v>2</v>
      </c>
      <c r="AE186">
        <v>0</v>
      </c>
      <c r="AF186">
        <v>0</v>
      </c>
      <c r="AG186">
        <v>1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0</v>
      </c>
      <c r="AN186">
        <v>0</v>
      </c>
      <c r="AO186">
        <v>0</v>
      </c>
      <c r="AP186">
        <v>0</v>
      </c>
      <c r="AQ186">
        <v>0</v>
      </c>
      <c r="AR186">
        <v>0</v>
      </c>
      <c r="AS186">
        <v>0</v>
      </c>
      <c r="AT186">
        <f t="shared" si="8"/>
        <v>16.994</v>
      </c>
      <c r="AU186">
        <f t="shared" si="6"/>
        <v>1.2826666666666666</v>
      </c>
      <c r="AV186">
        <f t="shared" si="7"/>
        <v>887.83500000000004</v>
      </c>
      <c r="AW186">
        <v>94</v>
      </c>
      <c r="BA186">
        <v>390</v>
      </c>
      <c r="BC186" t="s">
        <v>427</v>
      </c>
    </row>
    <row r="187" spans="3:55" x14ac:dyDescent="0.45">
      <c r="C187">
        <v>49.19</v>
      </c>
      <c r="D187">
        <v>0</v>
      </c>
      <c r="E187">
        <v>0</v>
      </c>
      <c r="F187">
        <v>0</v>
      </c>
      <c r="G187">
        <v>0</v>
      </c>
      <c r="H187">
        <v>2</v>
      </c>
      <c r="I187">
        <v>0</v>
      </c>
      <c r="J187">
        <v>7.3</v>
      </c>
      <c r="K187">
        <v>35.5</v>
      </c>
      <c r="L187">
        <v>0</v>
      </c>
      <c r="M187">
        <v>0</v>
      </c>
      <c r="N187">
        <v>0</v>
      </c>
      <c r="O187">
        <v>5.7</v>
      </c>
      <c r="P187">
        <v>0</v>
      </c>
      <c r="Q187">
        <v>0.25</v>
      </c>
      <c r="R187">
        <v>0</v>
      </c>
      <c r="S187">
        <v>0</v>
      </c>
      <c r="T187">
        <v>0.06</v>
      </c>
      <c r="U187">
        <v>0</v>
      </c>
      <c r="V187">
        <v>0</v>
      </c>
      <c r="W187">
        <v>0</v>
      </c>
      <c r="X187">
        <v>0</v>
      </c>
      <c r="Y187">
        <v>1</v>
      </c>
      <c r="Z187">
        <v>0</v>
      </c>
      <c r="AA187">
        <v>0</v>
      </c>
      <c r="AB187">
        <v>0</v>
      </c>
      <c r="AC187">
        <v>1400</v>
      </c>
      <c r="AD187">
        <v>2</v>
      </c>
      <c r="AE187">
        <v>0</v>
      </c>
      <c r="AF187">
        <v>0</v>
      </c>
      <c r="AG187">
        <v>1</v>
      </c>
      <c r="AH187">
        <v>0</v>
      </c>
      <c r="AI187">
        <v>0</v>
      </c>
      <c r="AJ187">
        <v>0</v>
      </c>
      <c r="AK187">
        <v>0</v>
      </c>
      <c r="AL187">
        <v>0</v>
      </c>
      <c r="AM187">
        <v>0</v>
      </c>
      <c r="AN187">
        <v>0</v>
      </c>
      <c r="AO187">
        <v>0</v>
      </c>
      <c r="AP187">
        <v>0</v>
      </c>
      <c r="AQ187">
        <v>0</v>
      </c>
      <c r="AR187">
        <v>0</v>
      </c>
      <c r="AS187">
        <v>0</v>
      </c>
      <c r="AT187">
        <f t="shared" si="8"/>
        <v>16.994</v>
      </c>
      <c r="AU187">
        <f t="shared" si="6"/>
        <v>1.2226666666666666</v>
      </c>
      <c r="AV187">
        <f t="shared" si="7"/>
        <v>814.03500000000008</v>
      </c>
      <c r="AW187">
        <v>85</v>
      </c>
      <c r="BA187">
        <v>328</v>
      </c>
      <c r="BC187" t="s">
        <v>427</v>
      </c>
    </row>
    <row r="188" spans="3:55" x14ac:dyDescent="0.45">
      <c r="C188">
        <v>54.55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8.92</v>
      </c>
      <c r="K188">
        <v>19.649999999999999</v>
      </c>
      <c r="L188">
        <v>6.52</v>
      </c>
      <c r="M188">
        <v>0</v>
      </c>
      <c r="N188">
        <v>0</v>
      </c>
      <c r="O188">
        <v>10.36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1</v>
      </c>
      <c r="Z188">
        <v>0</v>
      </c>
      <c r="AA188">
        <v>0</v>
      </c>
      <c r="AB188">
        <v>0</v>
      </c>
      <c r="AC188">
        <v>1200</v>
      </c>
      <c r="AD188">
        <v>30</v>
      </c>
      <c r="AE188">
        <v>1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0</v>
      </c>
      <c r="AN188">
        <v>0</v>
      </c>
      <c r="AO188">
        <v>0</v>
      </c>
      <c r="AP188">
        <v>0</v>
      </c>
      <c r="AQ188">
        <v>0</v>
      </c>
      <c r="AR188">
        <v>0</v>
      </c>
      <c r="AS188">
        <v>0</v>
      </c>
      <c r="AT188">
        <f t="shared" si="8"/>
        <v>14.301199999999998</v>
      </c>
      <c r="AU188">
        <f t="shared" si="6"/>
        <v>1.4866666666666666</v>
      </c>
      <c r="AV188">
        <f t="shared" si="7"/>
        <v>758.51199999999994</v>
      </c>
      <c r="AW188">
        <v>86.53</v>
      </c>
      <c r="BC188" t="s">
        <v>415</v>
      </c>
    </row>
    <row r="189" spans="3:55" x14ac:dyDescent="0.45">
      <c r="C189">
        <v>51.15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7.3</v>
      </c>
      <c r="K189">
        <v>35.5</v>
      </c>
      <c r="L189">
        <v>0</v>
      </c>
      <c r="M189">
        <v>0</v>
      </c>
      <c r="N189">
        <v>0</v>
      </c>
      <c r="O189">
        <v>5.7</v>
      </c>
      <c r="P189">
        <v>0</v>
      </c>
      <c r="Q189">
        <v>0</v>
      </c>
      <c r="R189">
        <v>0</v>
      </c>
      <c r="S189">
        <v>0</v>
      </c>
      <c r="T189">
        <v>0.35</v>
      </c>
      <c r="U189">
        <v>0</v>
      </c>
      <c r="V189">
        <v>1</v>
      </c>
      <c r="W189">
        <v>1100</v>
      </c>
      <c r="X189">
        <v>0</v>
      </c>
      <c r="Y189">
        <v>0</v>
      </c>
      <c r="Z189">
        <v>0</v>
      </c>
      <c r="AA189">
        <v>1</v>
      </c>
      <c r="AB189">
        <v>0</v>
      </c>
      <c r="AC189">
        <v>1400</v>
      </c>
      <c r="AD189">
        <v>2</v>
      </c>
      <c r="AE189">
        <v>0</v>
      </c>
      <c r="AF189">
        <v>0</v>
      </c>
      <c r="AG189">
        <v>1</v>
      </c>
      <c r="AH189">
        <v>0</v>
      </c>
      <c r="AI189">
        <v>0</v>
      </c>
      <c r="AJ189">
        <v>0</v>
      </c>
      <c r="AK189">
        <v>0</v>
      </c>
      <c r="AL189">
        <v>0</v>
      </c>
      <c r="AM189">
        <v>0</v>
      </c>
      <c r="AN189">
        <v>0</v>
      </c>
      <c r="AO189">
        <v>0</v>
      </c>
      <c r="AP189">
        <v>0</v>
      </c>
      <c r="AQ189">
        <v>0</v>
      </c>
      <c r="AR189">
        <v>0</v>
      </c>
      <c r="AS189">
        <v>0</v>
      </c>
      <c r="AT189">
        <f t="shared" si="8"/>
        <v>11.194000000000001</v>
      </c>
      <c r="AU189">
        <f t="shared" si="6"/>
        <v>1.2516666666666665</v>
      </c>
      <c r="AV189">
        <f t="shared" si="7"/>
        <v>874.68</v>
      </c>
      <c r="AW189">
        <v>79</v>
      </c>
      <c r="AX189">
        <v>587</v>
      </c>
      <c r="AY189">
        <v>719</v>
      </c>
      <c r="AZ189">
        <v>27</v>
      </c>
      <c r="BA189">
        <v>236</v>
      </c>
      <c r="BC189" t="s">
        <v>427</v>
      </c>
    </row>
    <row r="190" spans="3:55" x14ac:dyDescent="0.45">
      <c r="C190">
        <v>50.84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7.3</v>
      </c>
      <c r="K190">
        <v>35.5</v>
      </c>
      <c r="L190">
        <v>0</v>
      </c>
      <c r="M190">
        <v>0</v>
      </c>
      <c r="N190">
        <v>0</v>
      </c>
      <c r="O190">
        <v>5.7</v>
      </c>
      <c r="P190">
        <v>0</v>
      </c>
      <c r="Q190">
        <v>0</v>
      </c>
      <c r="R190">
        <v>0</v>
      </c>
      <c r="S190">
        <v>0</v>
      </c>
      <c r="T190">
        <v>0.66</v>
      </c>
      <c r="U190">
        <v>0</v>
      </c>
      <c r="V190">
        <v>1</v>
      </c>
      <c r="W190">
        <v>1100</v>
      </c>
      <c r="X190">
        <v>0</v>
      </c>
      <c r="Y190">
        <v>0</v>
      </c>
      <c r="Z190">
        <v>0</v>
      </c>
      <c r="AA190">
        <v>1</v>
      </c>
      <c r="AB190">
        <v>0</v>
      </c>
      <c r="AC190">
        <v>1400</v>
      </c>
      <c r="AD190">
        <v>2</v>
      </c>
      <c r="AE190">
        <v>0</v>
      </c>
      <c r="AF190">
        <v>0</v>
      </c>
      <c r="AG190">
        <v>1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0</v>
      </c>
      <c r="AN190">
        <v>0</v>
      </c>
      <c r="AO190">
        <v>0</v>
      </c>
      <c r="AP190">
        <v>0</v>
      </c>
      <c r="AQ190">
        <v>0</v>
      </c>
      <c r="AR190">
        <v>0</v>
      </c>
      <c r="AS190">
        <v>0</v>
      </c>
      <c r="AT190">
        <f t="shared" si="8"/>
        <v>11.194000000000001</v>
      </c>
      <c r="AU190">
        <f t="shared" si="6"/>
        <v>1.2826666666666666</v>
      </c>
      <c r="AV190">
        <f t="shared" si="7"/>
        <v>912.81</v>
      </c>
      <c r="AW190">
        <v>81</v>
      </c>
      <c r="AX190">
        <v>860</v>
      </c>
      <c r="AY190">
        <v>903</v>
      </c>
      <c r="AZ190">
        <v>16</v>
      </c>
      <c r="BA190">
        <v>270</v>
      </c>
      <c r="BC190" t="s">
        <v>427</v>
      </c>
    </row>
    <row r="191" spans="3:55" x14ac:dyDescent="0.45">
      <c r="C191">
        <v>52.55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7.2</v>
      </c>
      <c r="K191">
        <v>35</v>
      </c>
      <c r="L191">
        <v>0</v>
      </c>
      <c r="M191">
        <v>0</v>
      </c>
      <c r="N191">
        <v>0</v>
      </c>
      <c r="O191">
        <v>4.9000000000000004</v>
      </c>
      <c r="P191">
        <v>0</v>
      </c>
      <c r="Q191">
        <v>0</v>
      </c>
      <c r="R191">
        <v>0</v>
      </c>
      <c r="S191">
        <v>0</v>
      </c>
      <c r="T191">
        <v>0.35</v>
      </c>
      <c r="U191">
        <v>0</v>
      </c>
      <c r="V191">
        <v>0</v>
      </c>
      <c r="W191">
        <v>0</v>
      </c>
      <c r="X191">
        <v>0</v>
      </c>
      <c r="Y191">
        <v>1</v>
      </c>
      <c r="Z191">
        <v>0</v>
      </c>
      <c r="AA191">
        <v>0</v>
      </c>
      <c r="AB191">
        <v>0</v>
      </c>
      <c r="AC191">
        <v>750</v>
      </c>
      <c r="AD191">
        <v>8</v>
      </c>
      <c r="AE191">
        <v>1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0</v>
      </c>
      <c r="AM191">
        <v>0</v>
      </c>
      <c r="AN191">
        <v>0</v>
      </c>
      <c r="AO191">
        <v>0</v>
      </c>
      <c r="AP191">
        <v>0</v>
      </c>
      <c r="AQ191">
        <v>0</v>
      </c>
      <c r="AR191">
        <v>0</v>
      </c>
      <c r="AS191">
        <v>0</v>
      </c>
      <c r="AT191">
        <f t="shared" si="8"/>
        <v>10.878</v>
      </c>
      <c r="AU191">
        <f t="shared" si="6"/>
        <v>1.2349999999999999</v>
      </c>
      <c r="AV191">
        <f t="shared" si="7"/>
        <v>875.36999999999989</v>
      </c>
      <c r="AW191">
        <v>41.5</v>
      </c>
      <c r="AX191">
        <v>857</v>
      </c>
      <c r="AY191">
        <v>876</v>
      </c>
      <c r="AZ191">
        <v>14.2</v>
      </c>
      <c r="BC191" t="s">
        <v>428</v>
      </c>
    </row>
    <row r="192" spans="3:55" x14ac:dyDescent="0.45">
      <c r="C192">
        <v>52.55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7.2</v>
      </c>
      <c r="K192">
        <v>35</v>
      </c>
      <c r="L192">
        <v>0</v>
      </c>
      <c r="M192">
        <v>0</v>
      </c>
      <c r="N192">
        <v>0</v>
      </c>
      <c r="O192">
        <v>4.9000000000000004</v>
      </c>
      <c r="P192">
        <v>0</v>
      </c>
      <c r="Q192">
        <v>0</v>
      </c>
      <c r="R192">
        <v>0</v>
      </c>
      <c r="S192">
        <v>0</v>
      </c>
      <c r="T192">
        <v>0.35</v>
      </c>
      <c r="U192">
        <v>0</v>
      </c>
      <c r="V192">
        <v>0</v>
      </c>
      <c r="W192">
        <v>0</v>
      </c>
      <c r="X192">
        <v>0</v>
      </c>
      <c r="Y192">
        <v>1</v>
      </c>
      <c r="Z192">
        <v>0</v>
      </c>
      <c r="AA192">
        <v>0</v>
      </c>
      <c r="AB192">
        <v>0</v>
      </c>
      <c r="AC192">
        <v>750</v>
      </c>
      <c r="AD192">
        <v>8</v>
      </c>
      <c r="AE192">
        <v>1</v>
      </c>
      <c r="AF192">
        <v>0</v>
      </c>
      <c r="AG192">
        <v>0</v>
      </c>
      <c r="AH192">
        <v>300</v>
      </c>
      <c r="AI192">
        <v>8</v>
      </c>
      <c r="AJ192">
        <v>1</v>
      </c>
      <c r="AK192">
        <v>0</v>
      </c>
      <c r="AL192">
        <v>0</v>
      </c>
      <c r="AM192">
        <v>0</v>
      </c>
      <c r="AN192">
        <v>0</v>
      </c>
      <c r="AO192">
        <v>0</v>
      </c>
      <c r="AP192">
        <v>0</v>
      </c>
      <c r="AQ192">
        <v>0</v>
      </c>
      <c r="AR192">
        <v>0</v>
      </c>
      <c r="AS192">
        <v>0</v>
      </c>
      <c r="AT192">
        <f t="shared" si="8"/>
        <v>10.878</v>
      </c>
      <c r="AU192">
        <f t="shared" si="6"/>
        <v>1.2349999999999999</v>
      </c>
      <c r="AV192">
        <f t="shared" si="7"/>
        <v>875.36999999999989</v>
      </c>
      <c r="AW192">
        <v>45.8</v>
      </c>
      <c r="AX192">
        <v>923</v>
      </c>
      <c r="AY192">
        <v>969</v>
      </c>
      <c r="AZ192">
        <v>15.6</v>
      </c>
      <c r="BC192" t="s">
        <v>429</v>
      </c>
    </row>
    <row r="193" spans="3:55" x14ac:dyDescent="0.45">
      <c r="C193">
        <v>52.55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7.2</v>
      </c>
      <c r="K193">
        <v>35</v>
      </c>
      <c r="L193">
        <v>0</v>
      </c>
      <c r="M193">
        <v>0</v>
      </c>
      <c r="N193">
        <v>0</v>
      </c>
      <c r="O193">
        <v>4.9000000000000004</v>
      </c>
      <c r="P193">
        <v>0</v>
      </c>
      <c r="Q193">
        <v>0</v>
      </c>
      <c r="R193">
        <v>0</v>
      </c>
      <c r="S193">
        <v>0</v>
      </c>
      <c r="T193">
        <v>0.35</v>
      </c>
      <c r="U193">
        <v>0</v>
      </c>
      <c r="V193">
        <v>0</v>
      </c>
      <c r="W193">
        <v>0</v>
      </c>
      <c r="X193">
        <v>0</v>
      </c>
      <c r="Y193">
        <v>1</v>
      </c>
      <c r="Z193">
        <v>0</v>
      </c>
      <c r="AA193">
        <v>0</v>
      </c>
      <c r="AB193">
        <v>0</v>
      </c>
      <c r="AC193">
        <v>750</v>
      </c>
      <c r="AD193">
        <v>8</v>
      </c>
      <c r="AE193">
        <v>1</v>
      </c>
      <c r="AF193">
        <v>0</v>
      </c>
      <c r="AG193">
        <v>0</v>
      </c>
      <c r="AH193">
        <v>350</v>
      </c>
      <c r="AI193">
        <v>16</v>
      </c>
      <c r="AJ193">
        <v>1</v>
      </c>
      <c r="AK193">
        <v>0</v>
      </c>
      <c r="AL193">
        <v>0</v>
      </c>
      <c r="AM193">
        <v>0</v>
      </c>
      <c r="AN193">
        <v>0</v>
      </c>
      <c r="AO193">
        <v>0</v>
      </c>
      <c r="AP193">
        <v>0</v>
      </c>
      <c r="AQ193">
        <v>0</v>
      </c>
      <c r="AR193">
        <v>0</v>
      </c>
      <c r="AS193">
        <v>0</v>
      </c>
      <c r="AT193">
        <f t="shared" si="8"/>
        <v>10.878</v>
      </c>
      <c r="AU193">
        <f t="shared" si="6"/>
        <v>1.2349999999999999</v>
      </c>
      <c r="AV193">
        <f t="shared" si="7"/>
        <v>875.36999999999989</v>
      </c>
      <c r="AW193">
        <v>43.5</v>
      </c>
      <c r="AX193">
        <v>966</v>
      </c>
      <c r="AY193">
        <v>1015</v>
      </c>
      <c r="AZ193">
        <v>13.7</v>
      </c>
      <c r="BC193" t="s">
        <v>429</v>
      </c>
    </row>
    <row r="194" spans="3:55" x14ac:dyDescent="0.45">
      <c r="C194">
        <v>52.55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7.2</v>
      </c>
      <c r="K194">
        <v>35</v>
      </c>
      <c r="L194">
        <v>0</v>
      </c>
      <c r="M194">
        <v>0</v>
      </c>
      <c r="N194">
        <v>0</v>
      </c>
      <c r="O194">
        <v>4.9000000000000004</v>
      </c>
      <c r="P194">
        <v>0</v>
      </c>
      <c r="Q194">
        <v>0</v>
      </c>
      <c r="R194">
        <v>0</v>
      </c>
      <c r="S194">
        <v>0</v>
      </c>
      <c r="T194">
        <v>0.35</v>
      </c>
      <c r="U194">
        <v>0</v>
      </c>
      <c r="V194">
        <v>0</v>
      </c>
      <c r="W194">
        <v>0</v>
      </c>
      <c r="X194">
        <v>0</v>
      </c>
      <c r="Y194">
        <v>1</v>
      </c>
      <c r="Z194">
        <v>0</v>
      </c>
      <c r="AA194">
        <v>0</v>
      </c>
      <c r="AB194">
        <v>0</v>
      </c>
      <c r="AC194">
        <v>750</v>
      </c>
      <c r="AD194">
        <v>8</v>
      </c>
      <c r="AE194">
        <v>1</v>
      </c>
      <c r="AF194">
        <v>0</v>
      </c>
      <c r="AG194">
        <v>0</v>
      </c>
      <c r="AH194">
        <v>400</v>
      </c>
      <c r="AI194">
        <v>8</v>
      </c>
      <c r="AJ194">
        <v>1</v>
      </c>
      <c r="AK194">
        <v>0</v>
      </c>
      <c r="AL194">
        <v>0</v>
      </c>
      <c r="AM194">
        <v>0</v>
      </c>
      <c r="AN194">
        <v>0</v>
      </c>
      <c r="AO194">
        <v>0</v>
      </c>
      <c r="AP194">
        <v>0</v>
      </c>
      <c r="AQ194">
        <v>0</v>
      </c>
      <c r="AR194">
        <v>0</v>
      </c>
      <c r="AS194">
        <v>0</v>
      </c>
      <c r="AT194">
        <f t="shared" si="8"/>
        <v>10.878</v>
      </c>
      <c r="AU194">
        <f t="shared" ref="AU194:AU240" si="9">D194+J194/6+M194/3+(T194+S194)/10</f>
        <v>1.2349999999999999</v>
      </c>
      <c r="AV194">
        <f t="shared" ref="AV194:AV240" si="10">882+2.1*D194-9.5*L194+4.2*M194-6.9*J194-11.8*E194-12.1*F194-15.4*H194+23.3*Q194+123*T194</f>
        <v>875.36999999999989</v>
      </c>
      <c r="AW194">
        <v>42.8</v>
      </c>
      <c r="AX194">
        <v>939</v>
      </c>
      <c r="AY194">
        <v>983</v>
      </c>
      <c r="AZ194">
        <v>5.3</v>
      </c>
      <c r="BC194" t="s">
        <v>429</v>
      </c>
    </row>
    <row r="195" spans="3:55" x14ac:dyDescent="0.45">
      <c r="C195">
        <v>52.55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7.2</v>
      </c>
      <c r="K195">
        <v>35</v>
      </c>
      <c r="L195">
        <v>0</v>
      </c>
      <c r="M195">
        <v>0</v>
      </c>
      <c r="N195">
        <v>0</v>
      </c>
      <c r="O195">
        <v>4.9000000000000004</v>
      </c>
      <c r="P195">
        <v>0</v>
      </c>
      <c r="Q195">
        <v>0</v>
      </c>
      <c r="R195">
        <v>0</v>
      </c>
      <c r="S195">
        <v>0</v>
      </c>
      <c r="T195">
        <v>0.35</v>
      </c>
      <c r="U195">
        <v>0</v>
      </c>
      <c r="V195">
        <v>0</v>
      </c>
      <c r="W195">
        <v>0</v>
      </c>
      <c r="X195">
        <v>0</v>
      </c>
      <c r="Y195">
        <v>1</v>
      </c>
      <c r="Z195">
        <v>0</v>
      </c>
      <c r="AA195">
        <v>0</v>
      </c>
      <c r="AB195">
        <v>0</v>
      </c>
      <c r="AC195">
        <v>750</v>
      </c>
      <c r="AD195">
        <v>8</v>
      </c>
      <c r="AE195">
        <v>1</v>
      </c>
      <c r="AF195">
        <v>0</v>
      </c>
      <c r="AG195">
        <v>0</v>
      </c>
      <c r="AH195">
        <v>450</v>
      </c>
      <c r="AI195">
        <v>32</v>
      </c>
      <c r="AJ195">
        <v>1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  <c r="AQ195">
        <v>0</v>
      </c>
      <c r="AR195">
        <v>0</v>
      </c>
      <c r="AS195">
        <v>0</v>
      </c>
      <c r="AT195">
        <f t="shared" ref="AT195:AT240" si="11">L195+0.67*E195+0.44*P195+0.28*K195+0.22*O195+2.9*H195+1.6*F195+1.7*G195-D195</f>
        <v>10.878</v>
      </c>
      <c r="AU195">
        <f t="shared" si="9"/>
        <v>1.2349999999999999</v>
      </c>
      <c r="AV195">
        <f t="shared" si="10"/>
        <v>875.36999999999989</v>
      </c>
      <c r="AW195">
        <v>44.7</v>
      </c>
      <c r="AX195">
        <v>864</v>
      </c>
      <c r="AY195">
        <v>908</v>
      </c>
      <c r="AZ195">
        <v>3.4</v>
      </c>
      <c r="BC195" t="s">
        <v>429</v>
      </c>
    </row>
    <row r="196" spans="3:55" x14ac:dyDescent="0.45">
      <c r="C196">
        <v>52.55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7.2</v>
      </c>
      <c r="K196">
        <v>35</v>
      </c>
      <c r="L196">
        <v>0</v>
      </c>
      <c r="M196">
        <v>0</v>
      </c>
      <c r="N196">
        <v>0</v>
      </c>
      <c r="O196">
        <v>4.9000000000000004</v>
      </c>
      <c r="P196">
        <v>0</v>
      </c>
      <c r="Q196">
        <v>0</v>
      </c>
      <c r="R196">
        <v>0</v>
      </c>
      <c r="S196">
        <v>0</v>
      </c>
      <c r="T196">
        <v>0.35</v>
      </c>
      <c r="U196">
        <v>0</v>
      </c>
      <c r="V196">
        <v>0</v>
      </c>
      <c r="W196">
        <v>0</v>
      </c>
      <c r="X196">
        <v>0</v>
      </c>
      <c r="Y196">
        <v>1</v>
      </c>
      <c r="Z196">
        <v>0</v>
      </c>
      <c r="AA196">
        <v>0</v>
      </c>
      <c r="AB196">
        <v>0</v>
      </c>
      <c r="AC196">
        <v>750</v>
      </c>
      <c r="AD196">
        <v>8</v>
      </c>
      <c r="AE196">
        <v>1</v>
      </c>
      <c r="AF196">
        <v>0</v>
      </c>
      <c r="AG196">
        <v>0</v>
      </c>
      <c r="AH196">
        <v>500</v>
      </c>
      <c r="AI196">
        <v>8</v>
      </c>
      <c r="AJ196">
        <v>1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  <c r="AQ196">
        <v>0</v>
      </c>
      <c r="AR196">
        <v>0</v>
      </c>
      <c r="AS196">
        <v>0</v>
      </c>
      <c r="AT196">
        <f t="shared" si="11"/>
        <v>10.878</v>
      </c>
      <c r="AU196">
        <f t="shared" si="9"/>
        <v>1.2349999999999999</v>
      </c>
      <c r="AV196">
        <f t="shared" si="10"/>
        <v>875.36999999999989</v>
      </c>
      <c r="AW196">
        <v>44.2</v>
      </c>
      <c r="AX196">
        <v>902</v>
      </c>
      <c r="AY196">
        <v>911</v>
      </c>
      <c r="AZ196">
        <v>4.5</v>
      </c>
      <c r="BC196" t="s">
        <v>429</v>
      </c>
    </row>
    <row r="197" spans="3:55" x14ac:dyDescent="0.45">
      <c r="C197">
        <v>52.55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7.2</v>
      </c>
      <c r="K197">
        <v>35</v>
      </c>
      <c r="L197">
        <v>0</v>
      </c>
      <c r="M197">
        <v>0</v>
      </c>
      <c r="N197">
        <v>0</v>
      </c>
      <c r="O197">
        <v>4.9000000000000004</v>
      </c>
      <c r="P197">
        <v>0</v>
      </c>
      <c r="Q197">
        <v>0</v>
      </c>
      <c r="R197">
        <v>0</v>
      </c>
      <c r="S197">
        <v>0</v>
      </c>
      <c r="T197">
        <v>0.35</v>
      </c>
      <c r="U197">
        <v>0</v>
      </c>
      <c r="V197">
        <v>0</v>
      </c>
      <c r="W197">
        <v>0</v>
      </c>
      <c r="X197">
        <v>0</v>
      </c>
      <c r="Y197">
        <v>1</v>
      </c>
      <c r="Z197">
        <v>0</v>
      </c>
      <c r="AA197">
        <v>0</v>
      </c>
      <c r="AB197">
        <v>0</v>
      </c>
      <c r="AC197">
        <v>750</v>
      </c>
      <c r="AD197">
        <v>8</v>
      </c>
      <c r="AE197">
        <v>1</v>
      </c>
      <c r="AF197">
        <v>0</v>
      </c>
      <c r="AG197">
        <v>0</v>
      </c>
      <c r="AH197">
        <v>550</v>
      </c>
      <c r="AI197">
        <v>4</v>
      </c>
      <c r="AJ197">
        <v>1</v>
      </c>
      <c r="AK197">
        <v>0</v>
      </c>
      <c r="AL197">
        <v>0</v>
      </c>
      <c r="AM197">
        <v>0</v>
      </c>
      <c r="AN197">
        <v>0</v>
      </c>
      <c r="AO197">
        <v>0</v>
      </c>
      <c r="AP197">
        <v>0</v>
      </c>
      <c r="AQ197">
        <v>0</v>
      </c>
      <c r="AR197">
        <v>0</v>
      </c>
      <c r="AS197">
        <v>0</v>
      </c>
      <c r="AT197">
        <f t="shared" si="11"/>
        <v>10.878</v>
      </c>
      <c r="AU197">
        <f t="shared" si="9"/>
        <v>1.2349999999999999</v>
      </c>
      <c r="AV197">
        <f t="shared" si="10"/>
        <v>875.36999999999989</v>
      </c>
      <c r="AW197">
        <v>43.3</v>
      </c>
      <c r="AX197">
        <v>905</v>
      </c>
      <c r="AY197">
        <v>911</v>
      </c>
      <c r="AZ197">
        <v>2.2000000000000002</v>
      </c>
      <c r="BC197" t="s">
        <v>429</v>
      </c>
    </row>
    <row r="198" spans="3:55" x14ac:dyDescent="0.45">
      <c r="C198">
        <v>50.9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7.3</v>
      </c>
      <c r="K198">
        <v>35.5</v>
      </c>
      <c r="L198">
        <v>0</v>
      </c>
      <c r="M198">
        <v>0</v>
      </c>
      <c r="N198">
        <v>0</v>
      </c>
      <c r="O198">
        <v>5.7</v>
      </c>
      <c r="P198">
        <v>0</v>
      </c>
      <c r="Q198">
        <v>0.25</v>
      </c>
      <c r="R198">
        <v>0</v>
      </c>
      <c r="S198">
        <v>0</v>
      </c>
      <c r="T198">
        <v>0.35</v>
      </c>
      <c r="U198">
        <v>0</v>
      </c>
      <c r="V198">
        <v>1</v>
      </c>
      <c r="W198">
        <v>1100</v>
      </c>
      <c r="X198">
        <v>0</v>
      </c>
      <c r="Y198">
        <v>0</v>
      </c>
      <c r="Z198">
        <v>0</v>
      </c>
      <c r="AA198">
        <v>1</v>
      </c>
      <c r="AB198">
        <v>0</v>
      </c>
      <c r="AC198">
        <v>1400</v>
      </c>
      <c r="AD198">
        <v>2</v>
      </c>
      <c r="AE198">
        <v>0</v>
      </c>
      <c r="AF198">
        <v>0</v>
      </c>
      <c r="AG198">
        <v>1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  <c r="AQ198">
        <v>0</v>
      </c>
      <c r="AR198">
        <v>0</v>
      </c>
      <c r="AS198">
        <v>0</v>
      </c>
      <c r="AT198">
        <f t="shared" si="11"/>
        <v>11.194000000000001</v>
      </c>
      <c r="AU198">
        <f t="shared" si="9"/>
        <v>1.2516666666666665</v>
      </c>
      <c r="AV198">
        <f t="shared" si="10"/>
        <v>880.505</v>
      </c>
      <c r="AW198">
        <v>82</v>
      </c>
      <c r="BA198">
        <v>263</v>
      </c>
      <c r="BC198" t="s">
        <v>427</v>
      </c>
    </row>
    <row r="199" spans="3:55" x14ac:dyDescent="0.45">
      <c r="C199">
        <v>51.19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7.3</v>
      </c>
      <c r="K199">
        <v>35.5</v>
      </c>
      <c r="L199">
        <v>0</v>
      </c>
      <c r="M199">
        <v>0</v>
      </c>
      <c r="N199">
        <v>0</v>
      </c>
      <c r="O199">
        <v>5.7</v>
      </c>
      <c r="P199">
        <v>0</v>
      </c>
      <c r="Q199">
        <v>0.25</v>
      </c>
      <c r="R199">
        <v>0</v>
      </c>
      <c r="S199">
        <v>0</v>
      </c>
      <c r="T199">
        <v>0.06</v>
      </c>
      <c r="U199">
        <v>0</v>
      </c>
      <c r="V199">
        <v>1</v>
      </c>
      <c r="W199">
        <v>1100</v>
      </c>
      <c r="X199">
        <v>0</v>
      </c>
      <c r="Y199">
        <v>0</v>
      </c>
      <c r="Z199">
        <v>0</v>
      </c>
      <c r="AA199">
        <v>1</v>
      </c>
      <c r="AB199">
        <v>0</v>
      </c>
      <c r="AC199">
        <v>1400</v>
      </c>
      <c r="AD199">
        <v>2</v>
      </c>
      <c r="AE199">
        <v>0</v>
      </c>
      <c r="AF199">
        <v>0</v>
      </c>
      <c r="AG199">
        <v>1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0</v>
      </c>
      <c r="AN199">
        <v>0</v>
      </c>
      <c r="AO199">
        <v>0</v>
      </c>
      <c r="AP199">
        <v>0</v>
      </c>
      <c r="AQ199">
        <v>0</v>
      </c>
      <c r="AR199">
        <v>0</v>
      </c>
      <c r="AS199">
        <v>0</v>
      </c>
      <c r="AT199">
        <f t="shared" si="11"/>
        <v>11.194000000000001</v>
      </c>
      <c r="AU199">
        <f t="shared" si="9"/>
        <v>1.2226666666666666</v>
      </c>
      <c r="AV199">
        <f t="shared" si="10"/>
        <v>844.83500000000004</v>
      </c>
      <c r="AW199">
        <v>65</v>
      </c>
      <c r="AX199">
        <v>629</v>
      </c>
      <c r="AY199">
        <v>716</v>
      </c>
      <c r="AZ199">
        <v>13</v>
      </c>
      <c r="BA199">
        <v>219</v>
      </c>
      <c r="BC199" t="s">
        <v>427</v>
      </c>
    </row>
    <row r="200" spans="3:55" x14ac:dyDescent="0.45">
      <c r="C200">
        <v>50.59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7.3</v>
      </c>
      <c r="K200">
        <v>35.5</v>
      </c>
      <c r="L200">
        <v>0</v>
      </c>
      <c r="M200">
        <v>0</v>
      </c>
      <c r="N200">
        <v>0</v>
      </c>
      <c r="O200">
        <v>5.7</v>
      </c>
      <c r="P200">
        <v>0</v>
      </c>
      <c r="Q200">
        <v>0.25</v>
      </c>
      <c r="R200">
        <v>0</v>
      </c>
      <c r="S200">
        <v>0</v>
      </c>
      <c r="T200">
        <v>0.66</v>
      </c>
      <c r="U200">
        <v>0</v>
      </c>
      <c r="V200">
        <v>1</v>
      </c>
      <c r="W200">
        <v>1100</v>
      </c>
      <c r="X200">
        <v>0</v>
      </c>
      <c r="Y200">
        <v>0</v>
      </c>
      <c r="Z200">
        <v>0</v>
      </c>
      <c r="AA200">
        <v>1</v>
      </c>
      <c r="AB200">
        <v>0</v>
      </c>
      <c r="AC200">
        <v>1400</v>
      </c>
      <c r="AD200">
        <v>2</v>
      </c>
      <c r="AE200">
        <v>0</v>
      </c>
      <c r="AF200">
        <v>0</v>
      </c>
      <c r="AG200">
        <v>1</v>
      </c>
      <c r="AH200">
        <v>0</v>
      </c>
      <c r="AI200">
        <v>0</v>
      </c>
      <c r="AJ200">
        <v>0</v>
      </c>
      <c r="AK200">
        <v>0</v>
      </c>
      <c r="AL200">
        <v>0</v>
      </c>
      <c r="AM200">
        <v>0</v>
      </c>
      <c r="AN200">
        <v>0</v>
      </c>
      <c r="AO200">
        <v>0</v>
      </c>
      <c r="AP200">
        <v>0</v>
      </c>
      <c r="AQ200">
        <v>0</v>
      </c>
      <c r="AR200">
        <v>0</v>
      </c>
      <c r="AS200">
        <v>0</v>
      </c>
      <c r="AT200">
        <f t="shared" si="11"/>
        <v>11.194000000000001</v>
      </c>
      <c r="AU200">
        <f t="shared" si="9"/>
        <v>1.2826666666666666</v>
      </c>
      <c r="AV200">
        <f t="shared" si="10"/>
        <v>918.63499999999999</v>
      </c>
      <c r="AW200">
        <v>87</v>
      </c>
      <c r="AX200">
        <v>885</v>
      </c>
      <c r="AY200">
        <v>1099</v>
      </c>
      <c r="AZ200">
        <v>22</v>
      </c>
      <c r="BA200">
        <v>294</v>
      </c>
      <c r="BC200" t="s">
        <v>427</v>
      </c>
    </row>
    <row r="201" spans="3:55" x14ac:dyDescent="0.45">
      <c r="C201">
        <v>90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10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>
        <v>0</v>
      </c>
      <c r="AM201">
        <v>0</v>
      </c>
      <c r="AN201">
        <v>0</v>
      </c>
      <c r="AO201">
        <v>0</v>
      </c>
      <c r="AP201">
        <v>0</v>
      </c>
      <c r="AQ201">
        <v>0</v>
      </c>
      <c r="AR201">
        <v>0</v>
      </c>
      <c r="AS201">
        <v>0</v>
      </c>
      <c r="AT201">
        <f t="shared" si="11"/>
        <v>0</v>
      </c>
      <c r="AU201">
        <f t="shared" si="9"/>
        <v>3.3333333333333335</v>
      </c>
      <c r="AV201">
        <f t="shared" si="10"/>
        <v>924</v>
      </c>
      <c r="AW201">
        <v>106</v>
      </c>
      <c r="AY201">
        <v>1180</v>
      </c>
      <c r="BC201" t="s">
        <v>426</v>
      </c>
    </row>
    <row r="202" spans="3:55" x14ac:dyDescent="0.45">
      <c r="C202">
        <v>85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15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>
        <v>0</v>
      </c>
      <c r="AM202">
        <v>0</v>
      </c>
      <c r="AN202">
        <v>0</v>
      </c>
      <c r="AO202">
        <v>0</v>
      </c>
      <c r="AP202">
        <v>0</v>
      </c>
      <c r="AQ202">
        <v>0</v>
      </c>
      <c r="AR202">
        <v>0</v>
      </c>
      <c r="AS202">
        <v>0</v>
      </c>
      <c r="AT202">
        <f t="shared" si="11"/>
        <v>0</v>
      </c>
      <c r="AU202">
        <f t="shared" si="9"/>
        <v>5</v>
      </c>
      <c r="AV202">
        <f t="shared" si="10"/>
        <v>945</v>
      </c>
      <c r="AW202">
        <v>128</v>
      </c>
      <c r="AY202">
        <v>1325</v>
      </c>
      <c r="BC202" t="s">
        <v>426</v>
      </c>
    </row>
    <row r="203" spans="3:55" x14ac:dyDescent="0.45">
      <c r="C203">
        <v>80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20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0</v>
      </c>
      <c r="AM203">
        <v>0</v>
      </c>
      <c r="AN203">
        <v>0</v>
      </c>
      <c r="AO203">
        <v>0</v>
      </c>
      <c r="AP203">
        <v>0</v>
      </c>
      <c r="AQ203">
        <v>0</v>
      </c>
      <c r="AR203">
        <v>0</v>
      </c>
      <c r="AS203">
        <v>0</v>
      </c>
      <c r="AT203">
        <f t="shared" si="11"/>
        <v>0</v>
      </c>
      <c r="AU203">
        <f t="shared" si="9"/>
        <v>6.666666666666667</v>
      </c>
      <c r="AV203">
        <f t="shared" si="10"/>
        <v>966</v>
      </c>
      <c r="AW203">
        <v>146</v>
      </c>
      <c r="AY203">
        <v>1525</v>
      </c>
      <c r="BC203" t="s">
        <v>426</v>
      </c>
    </row>
    <row r="204" spans="3:55" x14ac:dyDescent="0.45">
      <c r="C204">
        <v>95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5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0</v>
      </c>
      <c r="AN204">
        <v>0</v>
      </c>
      <c r="AO204">
        <v>0</v>
      </c>
      <c r="AP204">
        <v>0</v>
      </c>
      <c r="AQ204">
        <v>0</v>
      </c>
      <c r="AR204">
        <v>0</v>
      </c>
      <c r="AS204">
        <v>0</v>
      </c>
      <c r="AT204">
        <f t="shared" si="11"/>
        <v>0</v>
      </c>
      <c r="AU204">
        <f t="shared" si="9"/>
        <v>1.6666666666666667</v>
      </c>
      <c r="AV204">
        <f t="shared" si="10"/>
        <v>903</v>
      </c>
      <c r="AW204">
        <v>98</v>
      </c>
      <c r="AY204">
        <v>990</v>
      </c>
      <c r="BC204" t="s">
        <v>426</v>
      </c>
    </row>
    <row r="205" spans="3:55" x14ac:dyDescent="0.45">
      <c r="C205">
        <v>76.900000000000006</v>
      </c>
      <c r="D205">
        <v>0</v>
      </c>
      <c r="E205">
        <v>0.42</v>
      </c>
      <c r="F205">
        <v>0.03</v>
      </c>
      <c r="G205">
        <v>0</v>
      </c>
      <c r="H205">
        <v>0.05</v>
      </c>
      <c r="I205">
        <v>0.06</v>
      </c>
      <c r="J205">
        <v>0</v>
      </c>
      <c r="K205">
        <v>4.92</v>
      </c>
      <c r="L205">
        <v>5.25</v>
      </c>
      <c r="M205">
        <v>12.2</v>
      </c>
      <c r="N205">
        <v>0</v>
      </c>
      <c r="O205">
        <v>0</v>
      </c>
      <c r="P205">
        <v>0</v>
      </c>
      <c r="Q205">
        <v>0.04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1</v>
      </c>
      <c r="Z205">
        <v>0</v>
      </c>
      <c r="AA205">
        <v>0</v>
      </c>
      <c r="AB205">
        <v>0</v>
      </c>
      <c r="AC205">
        <v>1100</v>
      </c>
      <c r="AD205">
        <v>7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  <c r="AQ205">
        <v>0</v>
      </c>
      <c r="AR205">
        <v>0</v>
      </c>
      <c r="AS205">
        <v>0</v>
      </c>
      <c r="AT205">
        <f t="shared" si="11"/>
        <v>7.1019999999999994</v>
      </c>
      <c r="AU205">
        <f t="shared" si="9"/>
        <v>4.0666666666666664</v>
      </c>
      <c r="AV205">
        <f t="shared" si="10"/>
        <v>878.20799999999997</v>
      </c>
      <c r="AW205">
        <v>92.8</v>
      </c>
      <c r="BA205">
        <v>397</v>
      </c>
      <c r="BC205" t="s">
        <v>372</v>
      </c>
    </row>
    <row r="206" spans="3:55" x14ac:dyDescent="0.45">
      <c r="C206">
        <v>65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11.4</v>
      </c>
      <c r="K206">
        <v>11.6</v>
      </c>
      <c r="L206">
        <v>0</v>
      </c>
      <c r="M206">
        <v>12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1</v>
      </c>
      <c r="Z206">
        <v>0</v>
      </c>
      <c r="AA206">
        <v>0</v>
      </c>
      <c r="AB206">
        <v>0</v>
      </c>
      <c r="AC206">
        <v>1200</v>
      </c>
      <c r="AD206">
        <v>24</v>
      </c>
      <c r="AE206">
        <v>1</v>
      </c>
      <c r="AF206">
        <v>0</v>
      </c>
      <c r="AG206">
        <v>0</v>
      </c>
      <c r="AH206">
        <v>900</v>
      </c>
      <c r="AI206">
        <v>0.16666666666666666</v>
      </c>
      <c r="AJ206">
        <v>1</v>
      </c>
      <c r="AK206">
        <v>0</v>
      </c>
      <c r="AL206">
        <v>0</v>
      </c>
      <c r="AM206">
        <v>0</v>
      </c>
      <c r="AN206">
        <v>0</v>
      </c>
      <c r="AO206">
        <v>0</v>
      </c>
      <c r="AP206">
        <v>0</v>
      </c>
      <c r="AQ206">
        <v>0</v>
      </c>
      <c r="AR206">
        <v>0</v>
      </c>
      <c r="AS206">
        <v>0</v>
      </c>
      <c r="AT206">
        <f t="shared" si="11"/>
        <v>3.2480000000000002</v>
      </c>
      <c r="AU206">
        <f t="shared" si="9"/>
        <v>5.9</v>
      </c>
      <c r="AV206">
        <f t="shared" si="10"/>
        <v>853.74</v>
      </c>
      <c r="AW206">
        <v>42.1</v>
      </c>
      <c r="BC206" t="s">
        <v>401</v>
      </c>
    </row>
    <row r="207" spans="3:55" x14ac:dyDescent="0.45">
      <c r="C207">
        <v>65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9.8000000000000007</v>
      </c>
      <c r="K207">
        <v>10.7</v>
      </c>
      <c r="L207">
        <v>0</v>
      </c>
      <c r="M207">
        <v>14.5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1</v>
      </c>
      <c r="W207">
        <v>1000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1200</v>
      </c>
      <c r="AD207">
        <v>24</v>
      </c>
      <c r="AE207">
        <v>1</v>
      </c>
      <c r="AF207">
        <v>0</v>
      </c>
      <c r="AG207">
        <v>0</v>
      </c>
      <c r="AH207">
        <v>900</v>
      </c>
      <c r="AI207">
        <v>0.16666666666666666</v>
      </c>
      <c r="AJ207">
        <v>1</v>
      </c>
      <c r="AK207">
        <v>0</v>
      </c>
      <c r="AL207">
        <v>0</v>
      </c>
      <c r="AM207">
        <v>0</v>
      </c>
      <c r="AN207">
        <v>0</v>
      </c>
      <c r="AO207">
        <v>0</v>
      </c>
      <c r="AP207">
        <v>0</v>
      </c>
      <c r="AQ207">
        <v>0</v>
      </c>
      <c r="AR207">
        <v>0</v>
      </c>
      <c r="AS207">
        <v>0</v>
      </c>
      <c r="AT207">
        <f t="shared" si="11"/>
        <v>2.996</v>
      </c>
      <c r="AU207">
        <f t="shared" si="9"/>
        <v>6.4666666666666668</v>
      </c>
      <c r="AV207">
        <f t="shared" si="10"/>
        <v>875.28</v>
      </c>
      <c r="AW207">
        <v>61.4</v>
      </c>
      <c r="BC207" t="s">
        <v>401</v>
      </c>
    </row>
    <row r="208" spans="3:55" x14ac:dyDescent="0.45">
      <c r="C208">
        <v>67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11.4</v>
      </c>
      <c r="K208">
        <v>9.8000000000000007</v>
      </c>
      <c r="L208">
        <v>0</v>
      </c>
      <c r="M208">
        <v>11.8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1</v>
      </c>
      <c r="Z208">
        <v>0</v>
      </c>
      <c r="AA208">
        <v>0</v>
      </c>
      <c r="AB208">
        <v>0</v>
      </c>
      <c r="AC208">
        <v>1200</v>
      </c>
      <c r="AD208">
        <v>24</v>
      </c>
      <c r="AE208">
        <v>1</v>
      </c>
      <c r="AF208">
        <v>0</v>
      </c>
      <c r="AG208">
        <v>0</v>
      </c>
      <c r="AH208">
        <v>900</v>
      </c>
      <c r="AI208">
        <v>0.16666666666666666</v>
      </c>
      <c r="AJ208">
        <v>1</v>
      </c>
      <c r="AK208">
        <v>0</v>
      </c>
      <c r="AL208">
        <v>0</v>
      </c>
      <c r="AM208">
        <v>0</v>
      </c>
      <c r="AN208">
        <v>0</v>
      </c>
      <c r="AO208">
        <v>0</v>
      </c>
      <c r="AP208">
        <v>0</v>
      </c>
      <c r="AQ208">
        <v>0</v>
      </c>
      <c r="AR208">
        <v>0</v>
      </c>
      <c r="AS208">
        <v>0</v>
      </c>
      <c r="AT208">
        <f t="shared" si="11"/>
        <v>2.7440000000000007</v>
      </c>
      <c r="AU208">
        <f t="shared" si="9"/>
        <v>5.8333333333333339</v>
      </c>
      <c r="AV208">
        <f t="shared" si="10"/>
        <v>852.9</v>
      </c>
      <c r="AW208">
        <v>57.2</v>
      </c>
      <c r="BC208" t="s">
        <v>401</v>
      </c>
    </row>
    <row r="209" spans="3:55" x14ac:dyDescent="0.45">
      <c r="C209">
        <v>65.599999999999994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11.6</v>
      </c>
      <c r="K209">
        <v>5.7</v>
      </c>
      <c r="L209">
        <v>5.3</v>
      </c>
      <c r="M209">
        <v>11.8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1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  <c r="AL209">
        <v>0</v>
      </c>
      <c r="AM209">
        <v>0</v>
      </c>
      <c r="AN209">
        <v>0</v>
      </c>
      <c r="AO209">
        <v>0</v>
      </c>
      <c r="AP209">
        <v>0</v>
      </c>
      <c r="AQ209">
        <v>0</v>
      </c>
      <c r="AR209">
        <v>0</v>
      </c>
      <c r="AS209">
        <v>0</v>
      </c>
      <c r="AT209">
        <f t="shared" si="11"/>
        <v>6.8959999999999999</v>
      </c>
      <c r="AU209">
        <f t="shared" si="9"/>
        <v>5.8666666666666671</v>
      </c>
      <c r="AV209">
        <f t="shared" si="10"/>
        <v>801.17000000000007</v>
      </c>
      <c r="AW209">
        <v>68.8</v>
      </c>
      <c r="BC209" t="s">
        <v>405</v>
      </c>
    </row>
    <row r="210" spans="3:55" x14ac:dyDescent="0.45">
      <c r="C210">
        <v>67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12.2</v>
      </c>
      <c r="K210">
        <v>5.9</v>
      </c>
      <c r="L210">
        <v>1.7</v>
      </c>
      <c r="M210">
        <v>12.4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1</v>
      </c>
      <c r="Z210">
        <v>0</v>
      </c>
      <c r="AA210">
        <v>0</v>
      </c>
      <c r="AB210">
        <v>0</v>
      </c>
      <c r="AC210">
        <v>1200</v>
      </c>
      <c r="AD210">
        <v>24</v>
      </c>
      <c r="AE210">
        <v>1</v>
      </c>
      <c r="AF210">
        <v>0</v>
      </c>
      <c r="AG210">
        <v>0</v>
      </c>
      <c r="AH210">
        <v>900</v>
      </c>
      <c r="AI210">
        <v>0.16666666666666666</v>
      </c>
      <c r="AJ210">
        <v>1</v>
      </c>
      <c r="AK210">
        <v>0</v>
      </c>
      <c r="AL210">
        <v>0</v>
      </c>
      <c r="AM210">
        <v>0</v>
      </c>
      <c r="AN210">
        <v>0</v>
      </c>
      <c r="AO210">
        <v>0</v>
      </c>
      <c r="AP210">
        <v>0</v>
      </c>
      <c r="AQ210">
        <v>0</v>
      </c>
      <c r="AR210">
        <v>0</v>
      </c>
      <c r="AS210">
        <v>0</v>
      </c>
      <c r="AT210">
        <f t="shared" si="11"/>
        <v>3.3520000000000003</v>
      </c>
      <c r="AU210">
        <f t="shared" si="9"/>
        <v>6.166666666666667</v>
      </c>
      <c r="AV210">
        <f t="shared" si="10"/>
        <v>833.75000000000011</v>
      </c>
      <c r="AW210">
        <v>79.8</v>
      </c>
      <c r="BC210" t="s">
        <v>401</v>
      </c>
    </row>
    <row r="211" spans="3:55" x14ac:dyDescent="0.45">
      <c r="C211">
        <v>65.599999999999994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11.6</v>
      </c>
      <c r="K211">
        <v>5.7</v>
      </c>
      <c r="L211">
        <v>5.3</v>
      </c>
      <c r="M211">
        <v>11.8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1</v>
      </c>
      <c r="Z211">
        <v>0</v>
      </c>
      <c r="AA211">
        <v>0</v>
      </c>
      <c r="AB211">
        <v>0</v>
      </c>
      <c r="AC211">
        <v>1200</v>
      </c>
      <c r="AD211">
        <v>24</v>
      </c>
      <c r="AE211">
        <v>1</v>
      </c>
      <c r="AF211">
        <v>0</v>
      </c>
      <c r="AG211">
        <v>0</v>
      </c>
      <c r="AH211">
        <v>900</v>
      </c>
      <c r="AI211">
        <v>0.16666666666666666</v>
      </c>
      <c r="AJ211">
        <v>1</v>
      </c>
      <c r="AK211">
        <v>0</v>
      </c>
      <c r="AL211">
        <v>0</v>
      </c>
      <c r="AM211">
        <v>0</v>
      </c>
      <c r="AN211">
        <v>0</v>
      </c>
      <c r="AO211">
        <v>0</v>
      </c>
      <c r="AP211">
        <v>0</v>
      </c>
      <c r="AQ211">
        <v>0</v>
      </c>
      <c r="AR211">
        <v>0</v>
      </c>
      <c r="AS211">
        <v>0</v>
      </c>
      <c r="AT211">
        <f t="shared" si="11"/>
        <v>6.8959999999999999</v>
      </c>
      <c r="AU211">
        <f t="shared" si="9"/>
        <v>5.8666666666666671</v>
      </c>
      <c r="AV211">
        <f t="shared" si="10"/>
        <v>801.17000000000007</v>
      </c>
      <c r="AW211">
        <v>69.3</v>
      </c>
      <c r="BC211" t="s">
        <v>401</v>
      </c>
    </row>
    <row r="212" spans="3:55" x14ac:dyDescent="0.45">
      <c r="C212">
        <v>70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30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1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>
        <v>0</v>
      </c>
      <c r="AM212">
        <v>0</v>
      </c>
      <c r="AN212">
        <v>0</v>
      </c>
      <c r="AO212">
        <v>0</v>
      </c>
      <c r="AP212">
        <v>0</v>
      </c>
      <c r="AQ212">
        <v>0</v>
      </c>
      <c r="AR212">
        <v>0</v>
      </c>
      <c r="AS212">
        <v>0</v>
      </c>
      <c r="AT212">
        <f t="shared" si="11"/>
        <v>6.6</v>
      </c>
      <c r="AU212">
        <f t="shared" si="9"/>
        <v>0</v>
      </c>
      <c r="AV212">
        <f t="shared" si="10"/>
        <v>882</v>
      </c>
      <c r="AW212">
        <v>50</v>
      </c>
      <c r="BC212" t="s">
        <v>430</v>
      </c>
    </row>
    <row r="213" spans="3:55" x14ac:dyDescent="0.45">
      <c r="C213">
        <v>51.81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48.19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1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>
        <v>0</v>
      </c>
      <c r="AM213">
        <v>0</v>
      </c>
      <c r="AN213">
        <v>0</v>
      </c>
      <c r="AO213">
        <v>0</v>
      </c>
      <c r="AP213">
        <v>0</v>
      </c>
      <c r="AQ213">
        <v>0</v>
      </c>
      <c r="AR213">
        <v>0</v>
      </c>
      <c r="AS213">
        <v>0</v>
      </c>
      <c r="AT213">
        <f t="shared" si="11"/>
        <v>10.601799999999999</v>
      </c>
      <c r="AU213">
        <f t="shared" si="9"/>
        <v>0</v>
      </c>
      <c r="AV213">
        <f t="shared" si="10"/>
        <v>882</v>
      </c>
      <c r="AW213">
        <v>75.77</v>
      </c>
      <c r="AX213">
        <v>883</v>
      </c>
      <c r="AY213">
        <v>944</v>
      </c>
      <c r="AZ213">
        <v>11.72</v>
      </c>
      <c r="BC213" t="s">
        <v>430</v>
      </c>
    </row>
    <row r="214" spans="3:55" x14ac:dyDescent="0.45">
      <c r="C214">
        <v>48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52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1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>
        <v>0</v>
      </c>
      <c r="AM214">
        <v>0</v>
      </c>
      <c r="AN214">
        <v>0</v>
      </c>
      <c r="AO214">
        <v>0</v>
      </c>
      <c r="AP214">
        <v>0</v>
      </c>
      <c r="AQ214">
        <v>0</v>
      </c>
      <c r="AR214">
        <v>0</v>
      </c>
      <c r="AS214">
        <v>0</v>
      </c>
      <c r="AT214">
        <f t="shared" si="11"/>
        <v>11.44</v>
      </c>
      <c r="AU214">
        <f t="shared" si="9"/>
        <v>0</v>
      </c>
      <c r="AV214">
        <f t="shared" si="10"/>
        <v>882</v>
      </c>
      <c r="AW214">
        <v>32</v>
      </c>
      <c r="BC214" t="s">
        <v>430</v>
      </c>
    </row>
    <row r="215" spans="3:55" x14ac:dyDescent="0.45">
      <c r="C215">
        <v>30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70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80</v>
      </c>
      <c r="Y215">
        <v>0</v>
      </c>
      <c r="Z215">
        <v>1</v>
      </c>
      <c r="AA215">
        <v>0</v>
      </c>
      <c r="AB215">
        <v>0</v>
      </c>
      <c r="AC215">
        <v>900</v>
      </c>
      <c r="AD215">
        <v>6</v>
      </c>
      <c r="AE215">
        <v>1</v>
      </c>
      <c r="AF215">
        <v>0</v>
      </c>
      <c r="AG215">
        <v>0</v>
      </c>
      <c r="AH215">
        <v>950</v>
      </c>
      <c r="AI215">
        <v>1</v>
      </c>
      <c r="AJ215">
        <v>0</v>
      </c>
      <c r="AK215">
        <v>0</v>
      </c>
      <c r="AL215">
        <v>0</v>
      </c>
      <c r="AM215">
        <v>0</v>
      </c>
      <c r="AN215">
        <v>0</v>
      </c>
      <c r="AO215">
        <v>0</v>
      </c>
      <c r="AP215">
        <v>0</v>
      </c>
      <c r="AQ215">
        <v>0</v>
      </c>
      <c r="AR215">
        <v>0</v>
      </c>
      <c r="AS215">
        <v>0</v>
      </c>
      <c r="AT215">
        <f t="shared" si="11"/>
        <v>15.4</v>
      </c>
      <c r="AU215">
        <f t="shared" si="9"/>
        <v>0</v>
      </c>
      <c r="AV215">
        <f t="shared" si="10"/>
        <v>882</v>
      </c>
      <c r="AW215">
        <v>67</v>
      </c>
      <c r="AY215">
        <v>600</v>
      </c>
      <c r="BA215">
        <v>227</v>
      </c>
      <c r="BC215" t="s">
        <v>431</v>
      </c>
    </row>
    <row r="216" spans="3:55" x14ac:dyDescent="0.45">
      <c r="C216">
        <v>50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25</v>
      </c>
      <c r="L216">
        <v>0</v>
      </c>
      <c r="M216">
        <v>0</v>
      </c>
      <c r="N216">
        <v>0</v>
      </c>
      <c r="O216">
        <v>25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80</v>
      </c>
      <c r="Y216">
        <v>0</v>
      </c>
      <c r="Z216">
        <v>1</v>
      </c>
      <c r="AA216">
        <v>0</v>
      </c>
      <c r="AB216">
        <v>0</v>
      </c>
      <c r="AC216">
        <v>950</v>
      </c>
      <c r="AD216">
        <v>20</v>
      </c>
      <c r="AE216">
        <v>1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0</v>
      </c>
      <c r="AM216">
        <v>0</v>
      </c>
      <c r="AN216">
        <v>0</v>
      </c>
      <c r="AO216">
        <v>0</v>
      </c>
      <c r="AP216">
        <v>0</v>
      </c>
      <c r="AQ216">
        <v>0</v>
      </c>
      <c r="AR216">
        <v>0</v>
      </c>
      <c r="AS216">
        <v>0</v>
      </c>
      <c r="AT216">
        <f t="shared" si="11"/>
        <v>12.5</v>
      </c>
      <c r="AU216">
        <f t="shared" si="9"/>
        <v>0</v>
      </c>
      <c r="AV216">
        <f t="shared" si="10"/>
        <v>882</v>
      </c>
      <c r="AW216">
        <v>55</v>
      </c>
      <c r="AY216">
        <v>530</v>
      </c>
      <c r="BA216">
        <v>145</v>
      </c>
      <c r="BC216" t="s">
        <v>406</v>
      </c>
    </row>
    <row r="217" spans="3:55" x14ac:dyDescent="0.45">
      <c r="C217">
        <v>82.698999999999998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1.49</v>
      </c>
      <c r="K217">
        <v>0</v>
      </c>
      <c r="L217">
        <v>0</v>
      </c>
      <c r="M217">
        <v>0</v>
      </c>
      <c r="N217">
        <v>0</v>
      </c>
      <c r="O217">
        <v>15.1</v>
      </c>
      <c r="P217">
        <v>0</v>
      </c>
      <c r="Q217">
        <v>0</v>
      </c>
      <c r="R217">
        <v>0</v>
      </c>
      <c r="S217">
        <v>3.1E-2</v>
      </c>
      <c r="T217">
        <v>0.68</v>
      </c>
      <c r="U217">
        <v>0</v>
      </c>
      <c r="V217">
        <v>0</v>
      </c>
      <c r="W217">
        <v>0</v>
      </c>
      <c r="X217">
        <v>0</v>
      </c>
      <c r="Y217">
        <v>1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  <c r="AL217">
        <v>0</v>
      </c>
      <c r="AM217">
        <v>0</v>
      </c>
      <c r="AN217">
        <v>0</v>
      </c>
      <c r="AO217">
        <v>0</v>
      </c>
      <c r="AP217">
        <v>0</v>
      </c>
      <c r="AQ217">
        <v>0</v>
      </c>
      <c r="AR217">
        <v>0</v>
      </c>
      <c r="AS217">
        <v>0</v>
      </c>
      <c r="AT217">
        <f t="shared" si="11"/>
        <v>3.3220000000000001</v>
      </c>
      <c r="AU217">
        <f t="shared" si="9"/>
        <v>0.31943333333333335</v>
      </c>
      <c r="AV217">
        <f t="shared" si="10"/>
        <v>955.35900000000004</v>
      </c>
      <c r="AW217">
        <v>92.18</v>
      </c>
      <c r="AX217">
        <v>869</v>
      </c>
      <c r="AY217">
        <v>890</v>
      </c>
      <c r="AZ217">
        <v>16.11</v>
      </c>
      <c r="BC217" t="s">
        <v>432</v>
      </c>
    </row>
    <row r="218" spans="3:55" x14ac:dyDescent="0.45">
      <c r="C218">
        <v>78.881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5.51</v>
      </c>
      <c r="K218">
        <v>0</v>
      </c>
      <c r="L218">
        <v>0</v>
      </c>
      <c r="M218">
        <v>0</v>
      </c>
      <c r="N218">
        <v>0</v>
      </c>
      <c r="O218">
        <v>14.9</v>
      </c>
      <c r="P218">
        <v>0</v>
      </c>
      <c r="Q218">
        <v>0</v>
      </c>
      <c r="R218">
        <v>0</v>
      </c>
      <c r="S218">
        <v>2.9000000000000001E-2</v>
      </c>
      <c r="T218">
        <v>0.68</v>
      </c>
      <c r="U218">
        <v>0</v>
      </c>
      <c r="V218">
        <v>0</v>
      </c>
      <c r="W218">
        <v>0</v>
      </c>
      <c r="X218">
        <v>0</v>
      </c>
      <c r="Y218">
        <v>1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  <c r="AL218">
        <v>0</v>
      </c>
      <c r="AM218">
        <v>0</v>
      </c>
      <c r="AN218">
        <v>0</v>
      </c>
      <c r="AO218">
        <v>0</v>
      </c>
      <c r="AP218">
        <v>0</v>
      </c>
      <c r="AQ218">
        <v>0</v>
      </c>
      <c r="AR218">
        <v>0</v>
      </c>
      <c r="AS218">
        <v>0</v>
      </c>
      <c r="AT218">
        <f t="shared" si="11"/>
        <v>3.278</v>
      </c>
      <c r="AU218">
        <f t="shared" si="9"/>
        <v>0.9892333333333333</v>
      </c>
      <c r="AV218">
        <f t="shared" si="10"/>
        <v>927.62099999999998</v>
      </c>
      <c r="AW218">
        <v>71.62</v>
      </c>
      <c r="AX218">
        <v>925</v>
      </c>
      <c r="AY218">
        <v>960</v>
      </c>
      <c r="AZ218">
        <v>18.920000000000002</v>
      </c>
      <c r="BC218" t="s">
        <v>432</v>
      </c>
    </row>
    <row r="219" spans="3:55" x14ac:dyDescent="0.45">
      <c r="C219">
        <v>73.515999999999991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10.6</v>
      </c>
      <c r="K219">
        <v>0</v>
      </c>
      <c r="L219">
        <v>0</v>
      </c>
      <c r="M219">
        <v>0</v>
      </c>
      <c r="N219">
        <v>0</v>
      </c>
      <c r="O219">
        <v>15</v>
      </c>
      <c r="P219">
        <v>0</v>
      </c>
      <c r="Q219">
        <v>0</v>
      </c>
      <c r="R219">
        <v>0</v>
      </c>
      <c r="S219">
        <v>2.4E-2</v>
      </c>
      <c r="T219">
        <v>0.86</v>
      </c>
      <c r="U219">
        <v>0</v>
      </c>
      <c r="V219">
        <v>0</v>
      </c>
      <c r="W219">
        <v>0</v>
      </c>
      <c r="X219">
        <v>0</v>
      </c>
      <c r="Y219">
        <v>1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0</v>
      </c>
      <c r="AM219">
        <v>0</v>
      </c>
      <c r="AN219">
        <v>0</v>
      </c>
      <c r="AO219">
        <v>0</v>
      </c>
      <c r="AP219">
        <v>0</v>
      </c>
      <c r="AQ219">
        <v>0</v>
      </c>
      <c r="AR219">
        <v>0</v>
      </c>
      <c r="AS219">
        <v>0</v>
      </c>
      <c r="AT219">
        <f t="shared" si="11"/>
        <v>3.3</v>
      </c>
      <c r="AU219">
        <f t="shared" si="9"/>
        <v>1.8550666666666666</v>
      </c>
      <c r="AV219">
        <f t="shared" si="10"/>
        <v>914.64</v>
      </c>
      <c r="AW219">
        <v>42.93</v>
      </c>
      <c r="AX219">
        <v>768</v>
      </c>
      <c r="AY219">
        <v>805</v>
      </c>
      <c r="AZ219">
        <v>15.12</v>
      </c>
      <c r="BC219" t="s">
        <v>432</v>
      </c>
    </row>
    <row r="220" spans="3:55" x14ac:dyDescent="0.45">
      <c r="C220">
        <v>65.745100000000008</v>
      </c>
      <c r="D220">
        <v>0</v>
      </c>
      <c r="E220">
        <v>0</v>
      </c>
      <c r="F220">
        <v>4.04</v>
      </c>
      <c r="G220">
        <v>0</v>
      </c>
      <c r="H220">
        <v>0</v>
      </c>
      <c r="I220">
        <v>0</v>
      </c>
      <c r="J220">
        <v>30.08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2.7900000000000001E-2</v>
      </c>
      <c r="T220">
        <v>0.107</v>
      </c>
      <c r="U220">
        <v>0</v>
      </c>
      <c r="V220">
        <v>1</v>
      </c>
      <c r="W220">
        <v>1000</v>
      </c>
      <c r="X220">
        <v>70</v>
      </c>
      <c r="Y220">
        <v>0</v>
      </c>
      <c r="Z220">
        <v>1</v>
      </c>
      <c r="AA220">
        <v>0</v>
      </c>
      <c r="AB220">
        <v>0</v>
      </c>
      <c r="AC220">
        <v>850</v>
      </c>
      <c r="AD220">
        <v>1</v>
      </c>
      <c r="AE220">
        <v>1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  <c r="AL220">
        <v>0</v>
      </c>
      <c r="AM220">
        <v>0</v>
      </c>
      <c r="AN220">
        <v>0</v>
      </c>
      <c r="AO220">
        <v>0</v>
      </c>
      <c r="AP220">
        <v>0</v>
      </c>
      <c r="AQ220">
        <v>0</v>
      </c>
      <c r="AR220">
        <v>0</v>
      </c>
      <c r="AS220">
        <v>0</v>
      </c>
      <c r="AT220">
        <f t="shared" si="11"/>
        <v>6.4640000000000004</v>
      </c>
      <c r="AU220">
        <f t="shared" si="9"/>
        <v>5.0268233333333328</v>
      </c>
      <c r="AV220">
        <f t="shared" si="10"/>
        <v>638.72499999999991</v>
      </c>
      <c r="AW220">
        <v>67</v>
      </c>
      <c r="AX220">
        <v>525</v>
      </c>
      <c r="AY220">
        <v>755</v>
      </c>
      <c r="AZ220">
        <v>2.5</v>
      </c>
      <c r="BC220" t="s">
        <v>433</v>
      </c>
    </row>
    <row r="221" spans="3:55" x14ac:dyDescent="0.45">
      <c r="C221">
        <v>64.550899999999999</v>
      </c>
      <c r="D221">
        <v>0</v>
      </c>
      <c r="E221">
        <v>0</v>
      </c>
      <c r="F221">
        <v>5.1100000000000003</v>
      </c>
      <c r="G221">
        <v>0</v>
      </c>
      <c r="H221">
        <v>0</v>
      </c>
      <c r="I221">
        <v>0</v>
      </c>
      <c r="J221">
        <v>30.25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8.0999999999999996E-3</v>
      </c>
      <c r="T221">
        <v>8.1000000000000003E-2</v>
      </c>
      <c r="U221">
        <v>0</v>
      </c>
      <c r="V221">
        <v>1</v>
      </c>
      <c r="W221">
        <v>1000</v>
      </c>
      <c r="X221">
        <v>70</v>
      </c>
      <c r="Y221">
        <v>0</v>
      </c>
      <c r="Z221">
        <v>1</v>
      </c>
      <c r="AA221">
        <v>0</v>
      </c>
      <c r="AB221">
        <v>0</v>
      </c>
      <c r="AC221">
        <v>850</v>
      </c>
      <c r="AD221">
        <v>1</v>
      </c>
      <c r="AE221">
        <v>1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  <c r="AL221">
        <v>0</v>
      </c>
      <c r="AM221">
        <v>0</v>
      </c>
      <c r="AN221">
        <v>0</v>
      </c>
      <c r="AO221">
        <v>0</v>
      </c>
      <c r="AP221">
        <v>0</v>
      </c>
      <c r="AQ221">
        <v>0</v>
      </c>
      <c r="AR221">
        <v>0</v>
      </c>
      <c r="AS221">
        <v>0</v>
      </c>
      <c r="AT221">
        <f t="shared" si="11"/>
        <v>8.1760000000000002</v>
      </c>
      <c r="AU221">
        <f t="shared" si="9"/>
        <v>5.0505766666666672</v>
      </c>
      <c r="AV221">
        <f t="shared" si="10"/>
        <v>621.40699999999993</v>
      </c>
      <c r="AW221">
        <v>76</v>
      </c>
      <c r="AX221">
        <v>855</v>
      </c>
      <c r="AY221">
        <v>965</v>
      </c>
      <c r="AZ221">
        <v>4.5</v>
      </c>
      <c r="BC221" t="s">
        <v>433</v>
      </c>
    </row>
    <row r="222" spans="3:55" x14ac:dyDescent="0.45">
      <c r="C222">
        <v>65.745100000000008</v>
      </c>
      <c r="D222">
        <v>0</v>
      </c>
      <c r="E222">
        <v>0</v>
      </c>
      <c r="F222">
        <v>4.04</v>
      </c>
      <c r="G222">
        <v>0</v>
      </c>
      <c r="H222">
        <v>0</v>
      </c>
      <c r="I222">
        <v>0</v>
      </c>
      <c r="J222">
        <v>30.08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2.7900000000000001E-2</v>
      </c>
      <c r="T222">
        <v>0.107</v>
      </c>
      <c r="U222">
        <v>0</v>
      </c>
      <c r="V222">
        <v>1</v>
      </c>
      <c r="W222">
        <v>1000</v>
      </c>
      <c r="X222">
        <v>70</v>
      </c>
      <c r="Y222">
        <v>0</v>
      </c>
      <c r="Z222">
        <v>1</v>
      </c>
      <c r="AA222">
        <v>0</v>
      </c>
      <c r="AB222">
        <v>0</v>
      </c>
      <c r="AC222">
        <v>850</v>
      </c>
      <c r="AD222">
        <v>1</v>
      </c>
      <c r="AE222">
        <v>1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0</v>
      </c>
      <c r="AO222">
        <v>0</v>
      </c>
      <c r="AP222">
        <v>0</v>
      </c>
      <c r="AQ222">
        <v>0</v>
      </c>
      <c r="AR222">
        <v>0</v>
      </c>
      <c r="AS222">
        <v>0</v>
      </c>
      <c r="AT222">
        <f t="shared" si="11"/>
        <v>6.4640000000000004</v>
      </c>
      <c r="AU222">
        <f t="shared" si="9"/>
        <v>5.0268233333333328</v>
      </c>
      <c r="AV222">
        <f t="shared" si="10"/>
        <v>638.72499999999991</v>
      </c>
      <c r="AW222">
        <v>69.400000000000006</v>
      </c>
      <c r="AX222">
        <v>505</v>
      </c>
      <c r="AY222">
        <v>690</v>
      </c>
      <c r="AZ222">
        <v>11</v>
      </c>
      <c r="BC222" t="s">
        <v>433</v>
      </c>
    </row>
    <row r="223" spans="3:55" x14ac:dyDescent="0.45">
      <c r="C223">
        <v>64.550899999999999</v>
      </c>
      <c r="D223">
        <v>0</v>
      </c>
      <c r="E223">
        <v>0</v>
      </c>
      <c r="F223">
        <v>5.1100000000000003</v>
      </c>
      <c r="G223">
        <v>0</v>
      </c>
      <c r="H223">
        <v>0</v>
      </c>
      <c r="I223">
        <v>0</v>
      </c>
      <c r="J223">
        <v>30.25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8.0999999999999996E-3</v>
      </c>
      <c r="T223">
        <v>8.1000000000000003E-2</v>
      </c>
      <c r="U223">
        <v>0</v>
      </c>
      <c r="V223">
        <v>1</v>
      </c>
      <c r="W223">
        <v>1000</v>
      </c>
      <c r="X223">
        <v>70</v>
      </c>
      <c r="Y223">
        <v>0</v>
      </c>
      <c r="Z223">
        <v>1</v>
      </c>
      <c r="AA223">
        <v>0</v>
      </c>
      <c r="AB223">
        <v>0</v>
      </c>
      <c r="AC223">
        <v>850</v>
      </c>
      <c r="AD223">
        <v>1</v>
      </c>
      <c r="AE223">
        <v>1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0</v>
      </c>
      <c r="AL223">
        <v>0</v>
      </c>
      <c r="AM223">
        <v>0</v>
      </c>
      <c r="AN223">
        <v>0</v>
      </c>
      <c r="AO223">
        <v>0</v>
      </c>
      <c r="AP223">
        <v>0</v>
      </c>
      <c r="AQ223">
        <v>0</v>
      </c>
      <c r="AR223">
        <v>0</v>
      </c>
      <c r="AS223">
        <v>0</v>
      </c>
      <c r="AT223">
        <f t="shared" si="11"/>
        <v>8.1760000000000002</v>
      </c>
      <c r="AU223">
        <f t="shared" si="9"/>
        <v>5.0505766666666672</v>
      </c>
      <c r="AV223">
        <f t="shared" si="10"/>
        <v>621.40699999999993</v>
      </c>
      <c r="AW223">
        <v>66.599999999999994</v>
      </c>
      <c r="AX223">
        <v>820</v>
      </c>
      <c r="AY223">
        <v>880</v>
      </c>
      <c r="AZ223">
        <v>6</v>
      </c>
      <c r="BC223" t="s">
        <v>433</v>
      </c>
    </row>
    <row r="224" spans="3:55" x14ac:dyDescent="0.45">
      <c r="C224">
        <v>63.886500000000005</v>
      </c>
      <c r="D224">
        <v>0</v>
      </c>
      <c r="E224">
        <v>0</v>
      </c>
      <c r="F224">
        <v>1.03</v>
      </c>
      <c r="G224">
        <v>0</v>
      </c>
      <c r="H224">
        <v>0</v>
      </c>
      <c r="I224">
        <v>0</v>
      </c>
      <c r="J224">
        <v>29.95</v>
      </c>
      <c r="K224">
        <v>0</v>
      </c>
      <c r="L224">
        <v>5.07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7.4999999999999997E-3</v>
      </c>
      <c r="T224">
        <v>5.6000000000000001E-2</v>
      </c>
      <c r="U224">
        <v>0</v>
      </c>
      <c r="V224">
        <v>1</v>
      </c>
      <c r="W224">
        <v>1000</v>
      </c>
      <c r="X224">
        <v>70</v>
      </c>
      <c r="Y224">
        <v>0</v>
      </c>
      <c r="Z224">
        <v>1</v>
      </c>
      <c r="AA224">
        <v>0</v>
      </c>
      <c r="AB224">
        <v>0</v>
      </c>
      <c r="AC224">
        <v>850</v>
      </c>
      <c r="AD224">
        <v>1</v>
      </c>
      <c r="AE224">
        <v>1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</v>
      </c>
      <c r="AL224">
        <v>0</v>
      </c>
      <c r="AM224">
        <v>0</v>
      </c>
      <c r="AN224">
        <v>0</v>
      </c>
      <c r="AO224">
        <v>0</v>
      </c>
      <c r="AP224">
        <v>0</v>
      </c>
      <c r="AQ224">
        <v>0</v>
      </c>
      <c r="AR224">
        <v>0</v>
      </c>
      <c r="AS224">
        <v>0</v>
      </c>
      <c r="AT224">
        <f t="shared" si="11"/>
        <v>6.718</v>
      </c>
      <c r="AU224">
        <f t="shared" si="9"/>
        <v>4.9980166666666666</v>
      </c>
      <c r="AV224">
        <f t="shared" si="10"/>
        <v>621.60500000000013</v>
      </c>
      <c r="AW224">
        <v>67.5</v>
      </c>
      <c r="AX224">
        <v>548</v>
      </c>
      <c r="AY224">
        <v>550</v>
      </c>
      <c r="AZ224">
        <v>11.5</v>
      </c>
      <c r="BC224" t="s">
        <v>433</v>
      </c>
    </row>
    <row r="225" spans="3:55" x14ac:dyDescent="0.45">
      <c r="C225">
        <v>63.886500000000005</v>
      </c>
      <c r="D225">
        <v>0</v>
      </c>
      <c r="E225">
        <v>0</v>
      </c>
      <c r="F225">
        <v>1.03</v>
      </c>
      <c r="G225">
        <v>0</v>
      </c>
      <c r="H225">
        <v>0</v>
      </c>
      <c r="I225">
        <v>0</v>
      </c>
      <c r="J225">
        <v>29.95</v>
      </c>
      <c r="K225">
        <v>0</v>
      </c>
      <c r="L225">
        <v>5.07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7.4999999999999997E-3</v>
      </c>
      <c r="T225">
        <v>5.6000000000000001E-2</v>
      </c>
      <c r="U225">
        <v>0</v>
      </c>
      <c r="V225">
        <v>1</v>
      </c>
      <c r="W225">
        <v>1000</v>
      </c>
      <c r="X225">
        <v>70</v>
      </c>
      <c r="Y225">
        <v>0</v>
      </c>
      <c r="Z225">
        <v>1</v>
      </c>
      <c r="AA225">
        <v>0</v>
      </c>
      <c r="AB225">
        <v>0</v>
      </c>
      <c r="AC225">
        <v>850</v>
      </c>
      <c r="AD225">
        <v>1</v>
      </c>
      <c r="AE225">
        <v>1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0</v>
      </c>
      <c r="AL225">
        <v>0</v>
      </c>
      <c r="AM225">
        <v>0</v>
      </c>
      <c r="AN225">
        <v>0</v>
      </c>
      <c r="AO225">
        <v>0</v>
      </c>
      <c r="AP225">
        <v>0</v>
      </c>
      <c r="AQ225">
        <v>0</v>
      </c>
      <c r="AR225">
        <v>0</v>
      </c>
      <c r="AS225">
        <v>0</v>
      </c>
      <c r="AT225">
        <f t="shared" si="11"/>
        <v>6.718</v>
      </c>
      <c r="AU225">
        <f t="shared" si="9"/>
        <v>4.9980166666666666</v>
      </c>
      <c r="AV225">
        <f t="shared" si="10"/>
        <v>621.60500000000013</v>
      </c>
      <c r="AW225">
        <v>69.099999999999994</v>
      </c>
      <c r="AX225">
        <v>510</v>
      </c>
      <c r="AY225">
        <v>512</v>
      </c>
      <c r="AZ225">
        <v>41.5</v>
      </c>
      <c r="BC225" t="s">
        <v>433</v>
      </c>
    </row>
    <row r="226" spans="3:55" x14ac:dyDescent="0.45">
      <c r="C226">
        <v>64.113200000000006</v>
      </c>
      <c r="D226">
        <v>0</v>
      </c>
      <c r="E226">
        <v>0</v>
      </c>
      <c r="F226">
        <v>2.04</v>
      </c>
      <c r="G226">
        <v>0</v>
      </c>
      <c r="H226">
        <v>0</v>
      </c>
      <c r="I226">
        <v>0</v>
      </c>
      <c r="J226">
        <v>29.7</v>
      </c>
      <c r="K226">
        <v>0</v>
      </c>
      <c r="L226">
        <v>4.08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3.8E-3</v>
      </c>
      <c r="T226">
        <v>6.3E-2</v>
      </c>
      <c r="U226">
        <v>0</v>
      </c>
      <c r="V226">
        <v>1</v>
      </c>
      <c r="W226">
        <v>1000</v>
      </c>
      <c r="X226">
        <v>70</v>
      </c>
      <c r="Y226">
        <v>0</v>
      </c>
      <c r="Z226">
        <v>1</v>
      </c>
      <c r="AA226">
        <v>0</v>
      </c>
      <c r="AB226">
        <v>0</v>
      </c>
      <c r="AC226">
        <v>850</v>
      </c>
      <c r="AD226">
        <v>1</v>
      </c>
      <c r="AE226">
        <v>1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</v>
      </c>
      <c r="AL226">
        <v>0</v>
      </c>
      <c r="AM226">
        <v>0</v>
      </c>
      <c r="AN226">
        <v>0</v>
      </c>
      <c r="AO226">
        <v>0</v>
      </c>
      <c r="AP226">
        <v>0</v>
      </c>
      <c r="AQ226">
        <v>0</v>
      </c>
      <c r="AR226">
        <v>0</v>
      </c>
      <c r="AS226">
        <v>0</v>
      </c>
      <c r="AT226">
        <f t="shared" si="11"/>
        <v>7.3440000000000003</v>
      </c>
      <c r="AU226">
        <f t="shared" si="9"/>
        <v>4.9566800000000004</v>
      </c>
      <c r="AV226">
        <f t="shared" si="10"/>
        <v>621.375</v>
      </c>
      <c r="AW226">
        <v>74</v>
      </c>
      <c r="AX226">
        <v>610</v>
      </c>
      <c r="AY226">
        <v>635</v>
      </c>
      <c r="AZ226">
        <v>10.5</v>
      </c>
      <c r="BC226" t="s">
        <v>433</v>
      </c>
    </row>
    <row r="227" spans="3:55" x14ac:dyDescent="0.45">
      <c r="C227">
        <v>64.113200000000006</v>
      </c>
      <c r="D227">
        <v>0</v>
      </c>
      <c r="E227">
        <v>0</v>
      </c>
      <c r="F227">
        <v>2.04</v>
      </c>
      <c r="G227">
        <v>0</v>
      </c>
      <c r="H227">
        <v>0</v>
      </c>
      <c r="I227">
        <v>0</v>
      </c>
      <c r="J227">
        <v>29.7</v>
      </c>
      <c r="K227">
        <v>0</v>
      </c>
      <c r="L227">
        <v>4.08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3.8E-3</v>
      </c>
      <c r="T227">
        <v>6.3E-2</v>
      </c>
      <c r="U227">
        <v>0</v>
      </c>
      <c r="V227">
        <v>1</v>
      </c>
      <c r="W227">
        <v>1000</v>
      </c>
      <c r="X227">
        <v>70</v>
      </c>
      <c r="Y227">
        <v>0</v>
      </c>
      <c r="Z227">
        <v>1</v>
      </c>
      <c r="AA227">
        <v>0</v>
      </c>
      <c r="AB227">
        <v>0</v>
      </c>
      <c r="AC227">
        <v>850</v>
      </c>
      <c r="AD227">
        <v>1</v>
      </c>
      <c r="AE227">
        <v>1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  <c r="AL227">
        <v>0</v>
      </c>
      <c r="AM227">
        <v>0</v>
      </c>
      <c r="AN227">
        <v>0</v>
      </c>
      <c r="AO227">
        <v>0</v>
      </c>
      <c r="AP227">
        <v>0</v>
      </c>
      <c r="AQ227">
        <v>0</v>
      </c>
      <c r="AR227">
        <v>0</v>
      </c>
      <c r="AS227">
        <v>0</v>
      </c>
      <c r="AT227">
        <f t="shared" si="11"/>
        <v>7.3440000000000003</v>
      </c>
      <c r="AU227">
        <f t="shared" si="9"/>
        <v>4.9566800000000004</v>
      </c>
      <c r="AV227">
        <f t="shared" si="10"/>
        <v>621.375</v>
      </c>
      <c r="AW227">
        <v>64.2</v>
      </c>
      <c r="AX227">
        <v>590</v>
      </c>
      <c r="AY227">
        <v>580</v>
      </c>
      <c r="AZ227">
        <v>34</v>
      </c>
      <c r="BC227" t="s">
        <v>433</v>
      </c>
    </row>
    <row r="228" spans="3:55" x14ac:dyDescent="0.45">
      <c r="C228">
        <v>63.973999999999997</v>
      </c>
      <c r="D228">
        <v>0</v>
      </c>
      <c r="E228">
        <v>0</v>
      </c>
      <c r="F228">
        <v>3.06</v>
      </c>
      <c r="G228">
        <v>0</v>
      </c>
      <c r="H228">
        <v>0</v>
      </c>
      <c r="I228">
        <v>0</v>
      </c>
      <c r="J228">
        <v>29.85</v>
      </c>
      <c r="K228">
        <v>0</v>
      </c>
      <c r="L228">
        <v>3.05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6.0000000000000001E-3</v>
      </c>
      <c r="T228">
        <v>0.06</v>
      </c>
      <c r="U228">
        <v>0</v>
      </c>
      <c r="V228">
        <v>1</v>
      </c>
      <c r="W228">
        <v>1000</v>
      </c>
      <c r="X228">
        <v>70</v>
      </c>
      <c r="Y228">
        <v>0</v>
      </c>
      <c r="Z228">
        <v>1</v>
      </c>
      <c r="AA228">
        <v>0</v>
      </c>
      <c r="AB228">
        <v>0</v>
      </c>
      <c r="AC228">
        <v>850</v>
      </c>
      <c r="AD228">
        <v>1</v>
      </c>
      <c r="AE228">
        <v>1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</v>
      </c>
      <c r="AL228">
        <v>0</v>
      </c>
      <c r="AM228">
        <v>0</v>
      </c>
      <c r="AN228">
        <v>0</v>
      </c>
      <c r="AO228">
        <v>0</v>
      </c>
      <c r="AP228">
        <v>0</v>
      </c>
      <c r="AQ228">
        <v>0</v>
      </c>
      <c r="AR228">
        <v>0</v>
      </c>
      <c r="AS228">
        <v>0</v>
      </c>
      <c r="AT228">
        <f t="shared" si="11"/>
        <v>7.9460000000000006</v>
      </c>
      <c r="AU228">
        <f t="shared" si="9"/>
        <v>4.9816000000000003</v>
      </c>
      <c r="AV228">
        <f t="shared" si="10"/>
        <v>617.41399999999999</v>
      </c>
      <c r="AW228">
        <v>87</v>
      </c>
      <c r="AX228">
        <v>760</v>
      </c>
      <c r="AY228">
        <v>752</v>
      </c>
      <c r="AZ228">
        <v>8</v>
      </c>
      <c r="BC228" t="s">
        <v>433</v>
      </c>
    </row>
    <row r="229" spans="3:55" x14ac:dyDescent="0.45">
      <c r="C229">
        <v>63.973999999999997</v>
      </c>
      <c r="D229">
        <v>0</v>
      </c>
      <c r="E229">
        <v>0</v>
      </c>
      <c r="F229">
        <v>3.06</v>
      </c>
      <c r="G229">
        <v>0</v>
      </c>
      <c r="H229">
        <v>0</v>
      </c>
      <c r="I229">
        <v>0</v>
      </c>
      <c r="J229">
        <v>29.85</v>
      </c>
      <c r="K229">
        <v>0</v>
      </c>
      <c r="L229">
        <v>3.05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6.0000000000000001E-3</v>
      </c>
      <c r="T229">
        <v>0.06</v>
      </c>
      <c r="U229">
        <v>0</v>
      </c>
      <c r="V229">
        <v>1</v>
      </c>
      <c r="W229">
        <v>1000</v>
      </c>
      <c r="X229">
        <v>70</v>
      </c>
      <c r="Y229">
        <v>0</v>
      </c>
      <c r="Z229">
        <v>1</v>
      </c>
      <c r="AA229">
        <v>0</v>
      </c>
      <c r="AB229">
        <v>0</v>
      </c>
      <c r="AC229">
        <v>850</v>
      </c>
      <c r="AD229">
        <v>1</v>
      </c>
      <c r="AE229">
        <v>1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  <c r="AL229">
        <v>0</v>
      </c>
      <c r="AM229">
        <v>0</v>
      </c>
      <c r="AN229">
        <v>0</v>
      </c>
      <c r="AO229">
        <v>0</v>
      </c>
      <c r="AP229">
        <v>0</v>
      </c>
      <c r="AQ229">
        <v>0</v>
      </c>
      <c r="AR229">
        <v>0</v>
      </c>
      <c r="AS229">
        <v>0</v>
      </c>
      <c r="AT229">
        <f t="shared" si="11"/>
        <v>7.9460000000000006</v>
      </c>
      <c r="AU229">
        <f t="shared" si="9"/>
        <v>4.9816000000000003</v>
      </c>
      <c r="AV229">
        <f t="shared" si="10"/>
        <v>617.41399999999999</v>
      </c>
      <c r="AW229">
        <v>68.5</v>
      </c>
      <c r="AX229">
        <v>646</v>
      </c>
      <c r="AY229">
        <v>645</v>
      </c>
      <c r="AZ229">
        <v>27.6</v>
      </c>
      <c r="BC229" t="s">
        <v>433</v>
      </c>
    </row>
    <row r="230" spans="3:55" x14ac:dyDescent="0.45">
      <c r="C230">
        <v>75.75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13</v>
      </c>
      <c r="K230">
        <v>0</v>
      </c>
      <c r="L230">
        <v>10</v>
      </c>
      <c r="M230">
        <v>0</v>
      </c>
      <c r="N230">
        <v>0</v>
      </c>
      <c r="O230">
        <v>0</v>
      </c>
      <c r="P230">
        <v>0</v>
      </c>
      <c r="Q230">
        <v>1.25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  <c r="AL230">
        <v>0</v>
      </c>
      <c r="AM230">
        <v>0</v>
      </c>
      <c r="AN230">
        <v>0</v>
      </c>
      <c r="AO230">
        <v>0</v>
      </c>
      <c r="AP230">
        <v>0</v>
      </c>
      <c r="AQ230">
        <v>0</v>
      </c>
      <c r="AR230">
        <v>0</v>
      </c>
      <c r="AS230">
        <v>0</v>
      </c>
      <c r="AT230">
        <f t="shared" si="11"/>
        <v>10</v>
      </c>
      <c r="AU230">
        <f t="shared" si="9"/>
        <v>2.1666666666666665</v>
      </c>
      <c r="AV230">
        <f t="shared" si="10"/>
        <v>726.42499999999995</v>
      </c>
      <c r="AW230">
        <v>32.622999999999998</v>
      </c>
      <c r="BC230" t="s">
        <v>378</v>
      </c>
    </row>
    <row r="231" spans="3:55" x14ac:dyDescent="0.45">
      <c r="C231">
        <v>76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18</v>
      </c>
      <c r="K231">
        <v>6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1</v>
      </c>
      <c r="Z231">
        <v>0</v>
      </c>
      <c r="AA231">
        <v>0</v>
      </c>
      <c r="AB231">
        <v>0</v>
      </c>
      <c r="AC231">
        <v>875</v>
      </c>
      <c r="AD231">
        <v>0.33333333333333331</v>
      </c>
      <c r="AE231">
        <v>1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>
        <v>0</v>
      </c>
      <c r="AM231">
        <v>0</v>
      </c>
      <c r="AN231">
        <v>0</v>
      </c>
      <c r="AO231">
        <v>0</v>
      </c>
      <c r="AP231">
        <v>0</v>
      </c>
      <c r="AQ231">
        <v>0</v>
      </c>
      <c r="AR231">
        <v>0</v>
      </c>
      <c r="AS231">
        <v>0</v>
      </c>
      <c r="AT231">
        <f t="shared" si="11"/>
        <v>1.6800000000000002</v>
      </c>
      <c r="AU231">
        <f t="shared" si="9"/>
        <v>3</v>
      </c>
      <c r="AV231">
        <f t="shared" si="10"/>
        <v>757.8</v>
      </c>
      <c r="AW231">
        <v>85.2</v>
      </c>
      <c r="AX231">
        <v>659</v>
      </c>
      <c r="AY231">
        <v>807</v>
      </c>
      <c r="AZ231">
        <v>8</v>
      </c>
      <c r="BC231" t="s">
        <v>434</v>
      </c>
    </row>
    <row r="232" spans="3:55" x14ac:dyDescent="0.45">
      <c r="C232">
        <v>76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18</v>
      </c>
      <c r="K232">
        <v>6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1</v>
      </c>
      <c r="Z232">
        <v>0</v>
      </c>
      <c r="AA232">
        <v>0</v>
      </c>
      <c r="AB232">
        <v>0</v>
      </c>
      <c r="AC232">
        <v>875</v>
      </c>
      <c r="AD232">
        <v>0.5</v>
      </c>
      <c r="AE232">
        <v>1</v>
      </c>
      <c r="AF232">
        <v>0</v>
      </c>
      <c r="AG232">
        <v>0</v>
      </c>
      <c r="AH232">
        <v>500</v>
      </c>
      <c r="AI232">
        <v>6</v>
      </c>
      <c r="AJ232">
        <v>0</v>
      </c>
      <c r="AK232">
        <v>0</v>
      </c>
      <c r="AL232">
        <v>0</v>
      </c>
      <c r="AM232">
        <v>0</v>
      </c>
      <c r="AN232">
        <v>0</v>
      </c>
      <c r="AO232">
        <v>0</v>
      </c>
      <c r="AP232">
        <v>0</v>
      </c>
      <c r="AQ232">
        <v>0</v>
      </c>
      <c r="AR232">
        <v>0</v>
      </c>
      <c r="AS232">
        <v>0</v>
      </c>
      <c r="AT232">
        <f t="shared" si="11"/>
        <v>1.6800000000000002</v>
      </c>
      <c r="AU232">
        <f t="shared" si="9"/>
        <v>3</v>
      </c>
      <c r="AV232">
        <f t="shared" si="10"/>
        <v>757.8</v>
      </c>
      <c r="AW232">
        <v>86.8</v>
      </c>
      <c r="AX232">
        <v>733</v>
      </c>
      <c r="AY232">
        <v>876</v>
      </c>
      <c r="AZ232">
        <v>8</v>
      </c>
      <c r="BC232" t="s">
        <v>434</v>
      </c>
    </row>
    <row r="233" spans="3:55" x14ac:dyDescent="0.45">
      <c r="C233">
        <v>62.5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16.100000000000001</v>
      </c>
      <c r="K233">
        <v>15.3</v>
      </c>
      <c r="L233">
        <v>0</v>
      </c>
      <c r="M233">
        <v>6.1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1</v>
      </c>
      <c r="W233">
        <v>1000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1200</v>
      </c>
      <c r="AD233">
        <v>24</v>
      </c>
      <c r="AE233">
        <v>1</v>
      </c>
      <c r="AF233">
        <v>0</v>
      </c>
      <c r="AG233">
        <v>0</v>
      </c>
      <c r="AH233">
        <v>900</v>
      </c>
      <c r="AI233">
        <v>0.16666666666666666</v>
      </c>
      <c r="AJ233">
        <v>1</v>
      </c>
      <c r="AK233">
        <v>0</v>
      </c>
      <c r="AL233">
        <v>0</v>
      </c>
      <c r="AM233">
        <v>0</v>
      </c>
      <c r="AN233">
        <v>0</v>
      </c>
      <c r="AO233">
        <v>0</v>
      </c>
      <c r="AP233">
        <v>0</v>
      </c>
      <c r="AQ233">
        <v>0</v>
      </c>
      <c r="AR233">
        <v>0</v>
      </c>
      <c r="AS233">
        <v>0</v>
      </c>
      <c r="AT233">
        <f t="shared" si="11"/>
        <v>4.2840000000000007</v>
      </c>
      <c r="AU233">
        <f t="shared" si="9"/>
        <v>4.7166666666666668</v>
      </c>
      <c r="AV233">
        <f t="shared" si="10"/>
        <v>796.53</v>
      </c>
      <c r="AW233">
        <v>72.2</v>
      </c>
      <c r="BC233" t="s">
        <v>401</v>
      </c>
    </row>
    <row r="234" spans="3:55" x14ac:dyDescent="0.45">
      <c r="C234">
        <v>62.5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16.100000000000001</v>
      </c>
      <c r="K234">
        <v>15.3</v>
      </c>
      <c r="L234">
        <v>0</v>
      </c>
      <c r="M234">
        <v>6.1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1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>
        <v>0</v>
      </c>
      <c r="AM234">
        <v>0</v>
      </c>
      <c r="AN234">
        <v>0</v>
      </c>
      <c r="AO234">
        <v>0</v>
      </c>
      <c r="AP234">
        <v>0</v>
      </c>
      <c r="AQ234">
        <v>0</v>
      </c>
      <c r="AR234">
        <v>0</v>
      </c>
      <c r="AS234">
        <v>0</v>
      </c>
      <c r="AT234">
        <f t="shared" si="11"/>
        <v>4.2840000000000007</v>
      </c>
      <c r="AU234">
        <f t="shared" si="9"/>
        <v>4.7166666666666668</v>
      </c>
      <c r="AV234">
        <f t="shared" si="10"/>
        <v>796.53</v>
      </c>
      <c r="AW234">
        <v>72</v>
      </c>
      <c r="BC234" t="s">
        <v>401</v>
      </c>
    </row>
    <row r="235" spans="3:55" x14ac:dyDescent="0.45">
      <c r="C235">
        <v>61.900000000000006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18.7</v>
      </c>
      <c r="K235">
        <v>9.6</v>
      </c>
      <c r="L235">
        <v>0</v>
      </c>
      <c r="M235">
        <v>9.8000000000000007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1</v>
      </c>
      <c r="W235">
        <v>1000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1200</v>
      </c>
      <c r="AD235">
        <v>24</v>
      </c>
      <c r="AE235">
        <v>1</v>
      </c>
      <c r="AF235">
        <v>0</v>
      </c>
      <c r="AG235">
        <v>0</v>
      </c>
      <c r="AH235">
        <v>900</v>
      </c>
      <c r="AI235">
        <v>0.16666666666666666</v>
      </c>
      <c r="AJ235">
        <v>1</v>
      </c>
      <c r="AK235">
        <v>0</v>
      </c>
      <c r="AL235">
        <v>0</v>
      </c>
      <c r="AM235">
        <v>0</v>
      </c>
      <c r="AN235">
        <v>0</v>
      </c>
      <c r="AO235">
        <v>0</v>
      </c>
      <c r="AP235">
        <v>0</v>
      </c>
      <c r="AQ235">
        <v>0</v>
      </c>
      <c r="AR235">
        <v>0</v>
      </c>
      <c r="AS235">
        <v>0</v>
      </c>
      <c r="AT235">
        <f t="shared" si="11"/>
        <v>2.6880000000000002</v>
      </c>
      <c r="AU235">
        <f t="shared" si="9"/>
        <v>6.3833333333333337</v>
      </c>
      <c r="AV235">
        <f t="shared" si="10"/>
        <v>794.13</v>
      </c>
      <c r="AW235">
        <v>77.400000000000006</v>
      </c>
      <c r="BC235" t="s">
        <v>401</v>
      </c>
    </row>
    <row r="236" spans="3:55" x14ac:dyDescent="0.45">
      <c r="C236">
        <v>61.900000000000006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18.7</v>
      </c>
      <c r="K236">
        <v>9.6</v>
      </c>
      <c r="L236">
        <v>0</v>
      </c>
      <c r="M236">
        <v>9.8000000000000007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1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  <c r="AL236">
        <v>0</v>
      </c>
      <c r="AM236">
        <v>0</v>
      </c>
      <c r="AN236">
        <v>0</v>
      </c>
      <c r="AO236">
        <v>0</v>
      </c>
      <c r="AP236">
        <v>0</v>
      </c>
      <c r="AQ236">
        <v>0</v>
      </c>
      <c r="AR236">
        <v>0</v>
      </c>
      <c r="AS236">
        <v>0</v>
      </c>
      <c r="AT236">
        <f t="shared" si="11"/>
        <v>2.6880000000000002</v>
      </c>
      <c r="AU236">
        <f t="shared" si="9"/>
        <v>6.3833333333333337</v>
      </c>
      <c r="AV236">
        <f t="shared" si="10"/>
        <v>794.13</v>
      </c>
      <c r="AW236">
        <v>77.2</v>
      </c>
      <c r="BC236" t="s">
        <v>405</v>
      </c>
    </row>
    <row r="237" spans="3:55" x14ac:dyDescent="0.45">
      <c r="C237">
        <v>67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12.1</v>
      </c>
      <c r="K237">
        <v>6.3</v>
      </c>
      <c r="L237">
        <v>2.9</v>
      </c>
      <c r="M237">
        <v>11.7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1</v>
      </c>
      <c r="Z237">
        <v>0</v>
      </c>
      <c r="AA237">
        <v>0</v>
      </c>
      <c r="AB237">
        <v>0</v>
      </c>
      <c r="AC237">
        <v>1200</v>
      </c>
      <c r="AD237">
        <v>24</v>
      </c>
      <c r="AE237">
        <v>1</v>
      </c>
      <c r="AF237">
        <v>0</v>
      </c>
      <c r="AG237">
        <v>0</v>
      </c>
      <c r="AH237">
        <v>900</v>
      </c>
      <c r="AI237">
        <v>0.16666666666666666</v>
      </c>
      <c r="AJ237">
        <v>1</v>
      </c>
      <c r="AK237">
        <v>0</v>
      </c>
      <c r="AL237">
        <v>0</v>
      </c>
      <c r="AM237">
        <v>0</v>
      </c>
      <c r="AN237">
        <v>0</v>
      </c>
      <c r="AO237">
        <v>0</v>
      </c>
      <c r="AP237">
        <v>0</v>
      </c>
      <c r="AQ237">
        <v>0</v>
      </c>
      <c r="AR237">
        <v>0</v>
      </c>
      <c r="AS237">
        <v>0</v>
      </c>
      <c r="AT237">
        <f t="shared" si="11"/>
        <v>4.6639999999999997</v>
      </c>
      <c r="AU237">
        <f t="shared" si="9"/>
        <v>5.9166666666666661</v>
      </c>
      <c r="AV237">
        <f t="shared" si="10"/>
        <v>820.1</v>
      </c>
      <c r="AW237">
        <v>52.6</v>
      </c>
      <c r="BC237" t="s">
        <v>401</v>
      </c>
    </row>
    <row r="238" spans="3:55" x14ac:dyDescent="0.45">
      <c r="C238">
        <v>66.8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11.8</v>
      </c>
      <c r="K238">
        <v>5.8</v>
      </c>
      <c r="L238">
        <v>3.9</v>
      </c>
      <c r="M238">
        <v>11.7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1</v>
      </c>
      <c r="Z238">
        <v>0</v>
      </c>
      <c r="AA238">
        <v>0</v>
      </c>
      <c r="AB238">
        <v>0</v>
      </c>
      <c r="AC238">
        <v>1200</v>
      </c>
      <c r="AD238">
        <v>24</v>
      </c>
      <c r="AE238">
        <v>1</v>
      </c>
      <c r="AF238">
        <v>0</v>
      </c>
      <c r="AG238">
        <v>0</v>
      </c>
      <c r="AH238">
        <v>900</v>
      </c>
      <c r="AI238">
        <v>0.16666666666666666</v>
      </c>
      <c r="AJ238">
        <v>1</v>
      </c>
      <c r="AK238">
        <v>0</v>
      </c>
      <c r="AL238">
        <v>0</v>
      </c>
      <c r="AM238">
        <v>0</v>
      </c>
      <c r="AN238">
        <v>0</v>
      </c>
      <c r="AO238">
        <v>0</v>
      </c>
      <c r="AP238">
        <v>0</v>
      </c>
      <c r="AQ238">
        <v>0</v>
      </c>
      <c r="AR238">
        <v>0</v>
      </c>
      <c r="AS238">
        <v>0</v>
      </c>
      <c r="AT238">
        <f t="shared" si="11"/>
        <v>5.524</v>
      </c>
      <c r="AU238">
        <f t="shared" si="9"/>
        <v>5.8666666666666671</v>
      </c>
      <c r="AV238">
        <f t="shared" si="10"/>
        <v>812.67000000000007</v>
      </c>
      <c r="AW238">
        <v>66.5</v>
      </c>
      <c r="BC238" t="s">
        <v>401</v>
      </c>
    </row>
    <row r="239" spans="3:55" x14ac:dyDescent="0.45">
      <c r="C239">
        <v>68.692000000000007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15.4</v>
      </c>
      <c r="K239">
        <v>0</v>
      </c>
      <c r="L239">
        <v>0</v>
      </c>
      <c r="M239">
        <v>0</v>
      </c>
      <c r="N239">
        <v>0</v>
      </c>
      <c r="O239">
        <v>15.1</v>
      </c>
      <c r="P239">
        <v>0</v>
      </c>
      <c r="Q239">
        <v>0</v>
      </c>
      <c r="R239">
        <v>0</v>
      </c>
      <c r="S239">
        <v>2.8000000000000001E-2</v>
      </c>
      <c r="T239">
        <v>0.78</v>
      </c>
      <c r="U239">
        <v>0</v>
      </c>
      <c r="V239">
        <v>0</v>
      </c>
      <c r="W239">
        <v>0</v>
      </c>
      <c r="X239">
        <v>0</v>
      </c>
      <c r="Y239">
        <v>1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0</v>
      </c>
      <c r="AK239">
        <v>0</v>
      </c>
      <c r="AL239">
        <v>0</v>
      </c>
      <c r="AM239">
        <v>0</v>
      </c>
      <c r="AN239">
        <v>0</v>
      </c>
      <c r="AO239">
        <v>0</v>
      </c>
      <c r="AP239">
        <v>0</v>
      </c>
      <c r="AQ239">
        <v>0</v>
      </c>
      <c r="AR239">
        <v>0</v>
      </c>
      <c r="AS239">
        <v>0</v>
      </c>
      <c r="AT239">
        <f t="shared" si="11"/>
        <v>3.3220000000000001</v>
      </c>
      <c r="AU239">
        <f t="shared" si="9"/>
        <v>2.6474666666666669</v>
      </c>
      <c r="AV239">
        <f t="shared" si="10"/>
        <v>871.68000000000006</v>
      </c>
      <c r="AW239">
        <v>72.19</v>
      </c>
      <c r="AX239">
        <v>663</v>
      </c>
      <c r="AY239">
        <v>699</v>
      </c>
      <c r="AZ239">
        <v>24.82</v>
      </c>
      <c r="BC239" t="s">
        <v>432</v>
      </c>
    </row>
    <row r="240" spans="3:55" x14ac:dyDescent="0.45">
      <c r="C240">
        <v>80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10</v>
      </c>
      <c r="K240">
        <v>5</v>
      </c>
      <c r="L240">
        <v>0</v>
      </c>
      <c r="M240">
        <v>0</v>
      </c>
      <c r="N240">
        <v>0</v>
      </c>
      <c r="O240">
        <v>5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1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</v>
      </c>
      <c r="AL240">
        <v>0</v>
      </c>
      <c r="AM240">
        <v>0</v>
      </c>
      <c r="AN240">
        <v>0</v>
      </c>
      <c r="AO240">
        <v>0</v>
      </c>
      <c r="AP240">
        <v>0</v>
      </c>
      <c r="AQ240">
        <v>0</v>
      </c>
      <c r="AR240">
        <v>0</v>
      </c>
      <c r="AS240">
        <v>0</v>
      </c>
      <c r="AT240">
        <f t="shared" si="11"/>
        <v>2.5</v>
      </c>
      <c r="AU240">
        <f t="shared" si="9"/>
        <v>1.6666666666666667</v>
      </c>
      <c r="AV240">
        <f t="shared" si="10"/>
        <v>813</v>
      </c>
      <c r="AW240">
        <v>51.97</v>
      </c>
      <c r="BC240" t="s">
        <v>435</v>
      </c>
    </row>
  </sheetData>
  <phoneticPr fontId="1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09ADA-4AE9-4152-9C36-D6685F6F42AD}">
  <dimension ref="A1:BC284"/>
  <sheetViews>
    <sheetView zoomScaleNormal="100" workbookViewId="0">
      <pane ySplit="1" topLeftCell="A2" activePane="bottomLeft" state="frozen"/>
      <selection activeCell="AU1" sqref="AU1"/>
      <selection pane="bottomLeft"/>
    </sheetView>
  </sheetViews>
  <sheetFormatPr defaultRowHeight="14" x14ac:dyDescent="0.45"/>
  <cols>
    <col min="1" max="1" width="4.46875" bestFit="1" customWidth="1"/>
    <col min="2" max="2" width="9.234375" bestFit="1" customWidth="1"/>
    <col min="3" max="5" width="8.46875" bestFit="1" customWidth="1"/>
    <col min="6" max="6" width="5.46875" bestFit="1" customWidth="1"/>
    <col min="7" max="7" width="4.234375" bestFit="1" customWidth="1"/>
    <col min="8" max="8" width="8.46875" bestFit="1" customWidth="1"/>
    <col min="9" max="9" width="3.64453125" bestFit="1" customWidth="1"/>
    <col min="10" max="15" width="8.46875" bestFit="1" customWidth="1"/>
    <col min="16" max="16" width="3.3515625" bestFit="1" customWidth="1"/>
    <col min="17" max="17" width="7.46875" bestFit="1" customWidth="1"/>
    <col min="18" max="18" width="2.64453125" bestFit="1" customWidth="1"/>
    <col min="19" max="19" width="3.05859375" bestFit="1" customWidth="1"/>
    <col min="20" max="20" width="5.46875" bestFit="1" customWidth="1"/>
    <col min="21" max="21" width="4.46875" bestFit="1" customWidth="1"/>
    <col min="22" max="22" width="10.9375" bestFit="1" customWidth="1"/>
    <col min="23" max="23" width="9.64453125" bestFit="1" customWidth="1"/>
    <col min="24" max="24" width="9.5859375" bestFit="1" customWidth="1"/>
    <col min="25" max="25" width="16.3515625" bestFit="1" customWidth="1"/>
    <col min="26" max="26" width="15.9375" bestFit="1" customWidth="1"/>
    <col min="27" max="27" width="16.5859375" bestFit="1" customWidth="1"/>
    <col min="28" max="28" width="17.9375" bestFit="1" customWidth="1"/>
    <col min="29" max="29" width="10.46875" bestFit="1" customWidth="1"/>
    <col min="30" max="30" width="9.46875" bestFit="1" customWidth="1"/>
    <col min="31" max="31" width="11.9375" bestFit="1" customWidth="1"/>
    <col min="32" max="32" width="7.64453125" bestFit="1" customWidth="1"/>
    <col min="33" max="33" width="12.05859375" bestFit="1" customWidth="1"/>
    <col min="34" max="34" width="10.234375" bestFit="1" customWidth="1"/>
    <col min="35" max="35" width="9.46875" bestFit="1" customWidth="1"/>
    <col min="36" max="36" width="11.9375" bestFit="1" customWidth="1"/>
    <col min="37" max="37" width="7.64453125" bestFit="1" customWidth="1"/>
    <col min="38" max="38" width="12.05859375" bestFit="1" customWidth="1"/>
    <col min="39" max="39" width="10.234375" bestFit="1" customWidth="1"/>
    <col min="40" max="40" width="11.9375" bestFit="1" customWidth="1"/>
    <col min="41" max="41" width="10.5859375" bestFit="1" customWidth="1"/>
    <col min="42" max="42" width="17.9375" bestFit="1" customWidth="1"/>
    <col min="43" max="43" width="25.234375" bestFit="1" customWidth="1"/>
    <col min="44" max="44" width="13.46875" bestFit="1" customWidth="1"/>
    <col min="45" max="45" width="17.64453125" bestFit="1" customWidth="1"/>
    <col min="46" max="46" width="10.46875" bestFit="1" customWidth="1"/>
    <col min="47" max="47" width="12.64453125" bestFit="1" customWidth="1"/>
    <col min="48" max="48" width="16.234375" bestFit="1" customWidth="1"/>
    <col min="49" max="50" width="6.46875" bestFit="1" customWidth="1"/>
    <col min="51" max="51" width="7.46875" bestFit="1" customWidth="1"/>
    <col min="52" max="52" width="3.05859375" bestFit="1" customWidth="1"/>
    <col min="53" max="53" width="6.46875" bestFit="1" customWidth="1"/>
    <col min="54" max="54" width="7.46875" customWidth="1"/>
  </cols>
  <sheetData>
    <row r="1" spans="1:55" x14ac:dyDescent="0.45">
      <c r="A1" s="1" t="s">
        <v>0</v>
      </c>
      <c r="B1" s="1" t="s">
        <v>47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7" t="s">
        <v>640</v>
      </c>
      <c r="W1" s="3" t="s">
        <v>20</v>
      </c>
      <c r="X1" s="3" t="s">
        <v>21</v>
      </c>
      <c r="Y1" s="3" t="s">
        <v>639</v>
      </c>
      <c r="Z1" s="3" t="s">
        <v>22</v>
      </c>
      <c r="AA1" s="3" t="s">
        <v>23</v>
      </c>
      <c r="AB1" s="3" t="s">
        <v>24</v>
      </c>
      <c r="AC1" s="6" t="s">
        <v>25</v>
      </c>
      <c r="AD1" s="6" t="s">
        <v>26</v>
      </c>
      <c r="AE1" s="6" t="s">
        <v>29</v>
      </c>
      <c r="AF1" s="6" t="s">
        <v>30</v>
      </c>
      <c r="AG1" s="6" t="s">
        <v>31</v>
      </c>
      <c r="AH1" s="6" t="s">
        <v>27</v>
      </c>
      <c r="AI1" s="6" t="s">
        <v>28</v>
      </c>
      <c r="AJ1" s="6" t="s">
        <v>32</v>
      </c>
      <c r="AK1" s="6" t="s">
        <v>33</v>
      </c>
      <c r="AL1" s="6" t="s">
        <v>34</v>
      </c>
      <c r="AM1" s="4" t="s">
        <v>641</v>
      </c>
      <c r="AN1" s="4" t="s">
        <v>35</v>
      </c>
      <c r="AO1" s="4" t="s">
        <v>36</v>
      </c>
      <c r="AP1" s="4" t="s">
        <v>37</v>
      </c>
      <c r="AQ1" s="4" t="s">
        <v>38</v>
      </c>
      <c r="AR1" s="4" t="s">
        <v>39</v>
      </c>
      <c r="AS1" s="4" t="s">
        <v>635</v>
      </c>
      <c r="AT1" s="4" t="s">
        <v>357</v>
      </c>
      <c r="AU1" s="4" t="s">
        <v>634</v>
      </c>
      <c r="AV1" s="4" t="s">
        <v>638</v>
      </c>
      <c r="AW1" s="5" t="s">
        <v>41</v>
      </c>
      <c r="AX1" s="5" t="s">
        <v>42</v>
      </c>
      <c r="AY1" s="5" t="s">
        <v>44</v>
      </c>
      <c r="AZ1" s="5" t="s">
        <v>46</v>
      </c>
      <c r="BA1" s="5" t="s">
        <v>217</v>
      </c>
      <c r="BB1" t="s">
        <v>219</v>
      </c>
      <c r="BC1" t="s">
        <v>48</v>
      </c>
    </row>
    <row r="2" spans="1:55" x14ac:dyDescent="0.45">
      <c r="A2">
        <v>1</v>
      </c>
      <c r="C2">
        <v>65</v>
      </c>
      <c r="D2">
        <v>0</v>
      </c>
      <c r="E2">
        <v>0</v>
      </c>
      <c r="F2">
        <v>0</v>
      </c>
      <c r="G2">
        <v>0</v>
      </c>
      <c r="H2">
        <v>2</v>
      </c>
      <c r="I2">
        <v>0</v>
      </c>
      <c r="J2">
        <v>10</v>
      </c>
      <c r="K2">
        <v>23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f t="shared" ref="AC2:AC24" si="0">(AV2)+0</f>
        <v>782.2</v>
      </c>
      <c r="AD2">
        <v>0</v>
      </c>
      <c r="AE2">
        <v>1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1</v>
      </c>
      <c r="AN2">
        <v>0</v>
      </c>
      <c r="AO2">
        <v>1</v>
      </c>
      <c r="AP2">
        <v>0</v>
      </c>
      <c r="AQ2">
        <v>0</v>
      </c>
      <c r="AR2">
        <v>0</v>
      </c>
      <c r="AS2">
        <v>0</v>
      </c>
      <c r="AT2">
        <f>L2+0.67*E2+0.44*P2+0.28*K2+0.22*O2+2.9*H2+1.6*F2+1.7*G2-D2</f>
        <v>12.24</v>
      </c>
      <c r="AU2">
        <f t="shared" ref="AU2:AU65" si="1">D2+J2/6+M2/3+(T2+S2)/10</f>
        <v>1.6666666666666667</v>
      </c>
      <c r="AV2">
        <f t="shared" ref="AV2:AV65" si="2">882+2.1*D2-9.5*L2+4.2*M2-6.9*J2-11.8*E2-12.1*F2-15.4*H2+23.3*Q2+123*T2</f>
        <v>782.2</v>
      </c>
      <c r="AW2">
        <v>79</v>
      </c>
      <c r="AX2">
        <v>782</v>
      </c>
      <c r="BA2">
        <v>252</v>
      </c>
      <c r="BB2" t="s">
        <v>436</v>
      </c>
      <c r="BC2" t="s">
        <v>531</v>
      </c>
    </row>
    <row r="3" spans="1:55" x14ac:dyDescent="0.45">
      <c r="A3">
        <v>2</v>
      </c>
      <c r="C3">
        <v>61.5</v>
      </c>
      <c r="D3">
        <v>0</v>
      </c>
      <c r="E3">
        <v>0</v>
      </c>
      <c r="F3">
        <v>0</v>
      </c>
      <c r="G3">
        <v>0</v>
      </c>
      <c r="H3">
        <v>1.5</v>
      </c>
      <c r="I3">
        <v>0</v>
      </c>
      <c r="J3">
        <v>10</v>
      </c>
      <c r="K3">
        <v>27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f t="shared" si="0"/>
        <v>789.9</v>
      </c>
      <c r="AD3">
        <v>0</v>
      </c>
      <c r="AE3">
        <v>1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1</v>
      </c>
      <c r="AN3">
        <v>0</v>
      </c>
      <c r="AO3">
        <v>1</v>
      </c>
      <c r="AP3">
        <v>0</v>
      </c>
      <c r="AQ3">
        <v>0</v>
      </c>
      <c r="AR3">
        <v>0</v>
      </c>
      <c r="AS3">
        <v>0</v>
      </c>
      <c r="AT3">
        <f t="shared" ref="AT3:AT66" si="3">L3+0.67*E3+0.44*P3+0.28*K3+0.22*O3+2.9*H3+1.6*F3+1.7*G3-D3</f>
        <v>11.91</v>
      </c>
      <c r="AU3">
        <f t="shared" si="1"/>
        <v>1.6666666666666667</v>
      </c>
      <c r="AV3">
        <f t="shared" si="2"/>
        <v>789.9</v>
      </c>
      <c r="AW3">
        <v>78</v>
      </c>
      <c r="AX3">
        <v>735</v>
      </c>
      <c r="BA3">
        <v>229</v>
      </c>
      <c r="BB3" t="s">
        <v>436</v>
      </c>
      <c r="BC3" t="s">
        <v>531</v>
      </c>
    </row>
    <row r="4" spans="1:55" x14ac:dyDescent="0.45">
      <c r="A4">
        <v>3</v>
      </c>
      <c r="C4">
        <v>58</v>
      </c>
      <c r="D4">
        <v>0</v>
      </c>
      <c r="E4">
        <v>0</v>
      </c>
      <c r="F4">
        <v>0</v>
      </c>
      <c r="G4">
        <v>0</v>
      </c>
      <c r="H4">
        <v>1</v>
      </c>
      <c r="I4">
        <v>0</v>
      </c>
      <c r="J4">
        <v>10</v>
      </c>
      <c r="K4">
        <v>31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f t="shared" si="0"/>
        <v>797.6</v>
      </c>
      <c r="AD4">
        <v>0</v>
      </c>
      <c r="AE4">
        <v>1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1</v>
      </c>
      <c r="AN4">
        <v>0</v>
      </c>
      <c r="AO4">
        <v>1</v>
      </c>
      <c r="AP4">
        <v>0</v>
      </c>
      <c r="AQ4">
        <v>0</v>
      </c>
      <c r="AR4">
        <v>0</v>
      </c>
      <c r="AS4">
        <v>0</v>
      </c>
      <c r="AT4">
        <f t="shared" si="3"/>
        <v>11.580000000000002</v>
      </c>
      <c r="AU4">
        <f t="shared" si="1"/>
        <v>1.6666666666666667</v>
      </c>
      <c r="AV4">
        <f t="shared" si="2"/>
        <v>797.6</v>
      </c>
      <c r="AW4">
        <v>77</v>
      </c>
      <c r="AX4">
        <v>672</v>
      </c>
      <c r="BA4">
        <v>218</v>
      </c>
      <c r="BB4" t="s">
        <v>436</v>
      </c>
      <c r="BC4" t="s">
        <v>531</v>
      </c>
    </row>
    <row r="5" spans="1:55" x14ac:dyDescent="0.45">
      <c r="A5">
        <v>4</v>
      </c>
      <c r="C5">
        <v>78.5</v>
      </c>
      <c r="D5">
        <v>0</v>
      </c>
      <c r="E5">
        <v>0</v>
      </c>
      <c r="F5">
        <v>0</v>
      </c>
      <c r="G5">
        <v>0</v>
      </c>
      <c r="H5">
        <v>3.5</v>
      </c>
      <c r="I5">
        <v>0</v>
      </c>
      <c r="J5">
        <v>7</v>
      </c>
      <c r="K5">
        <v>11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f t="shared" si="0"/>
        <v>779.80000000000007</v>
      </c>
      <c r="AD5">
        <v>0</v>
      </c>
      <c r="AE5">
        <v>1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1</v>
      </c>
      <c r="AN5">
        <v>0</v>
      </c>
      <c r="AO5">
        <v>1</v>
      </c>
      <c r="AP5">
        <v>0</v>
      </c>
      <c r="AQ5">
        <v>0</v>
      </c>
      <c r="AR5">
        <v>1</v>
      </c>
      <c r="AS5">
        <v>0</v>
      </c>
      <c r="AT5">
        <f t="shared" si="3"/>
        <v>13.23</v>
      </c>
      <c r="AU5">
        <f t="shared" si="1"/>
        <v>1.1666666666666667</v>
      </c>
      <c r="AV5">
        <f t="shared" si="2"/>
        <v>779.80000000000007</v>
      </c>
      <c r="AW5">
        <v>90</v>
      </c>
      <c r="AX5">
        <v>1011</v>
      </c>
      <c r="BA5">
        <v>358</v>
      </c>
      <c r="BB5" t="s">
        <v>437</v>
      </c>
      <c r="BC5" t="s">
        <v>532</v>
      </c>
    </row>
    <row r="6" spans="1:55" x14ac:dyDescent="0.45">
      <c r="A6">
        <v>5</v>
      </c>
      <c r="C6">
        <v>72.5</v>
      </c>
      <c r="D6">
        <v>0</v>
      </c>
      <c r="E6">
        <v>0</v>
      </c>
      <c r="F6">
        <v>0</v>
      </c>
      <c r="G6">
        <v>0</v>
      </c>
      <c r="H6">
        <v>2.5</v>
      </c>
      <c r="I6">
        <v>0</v>
      </c>
      <c r="J6">
        <v>0</v>
      </c>
      <c r="K6">
        <v>19</v>
      </c>
      <c r="L6">
        <v>0</v>
      </c>
      <c r="M6">
        <v>6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f t="shared" si="0"/>
        <v>868.7</v>
      </c>
      <c r="AD6">
        <v>0</v>
      </c>
      <c r="AE6">
        <v>1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1</v>
      </c>
      <c r="AN6">
        <v>0</v>
      </c>
      <c r="AO6">
        <v>1</v>
      </c>
      <c r="AP6">
        <v>0</v>
      </c>
      <c r="AQ6">
        <v>0</v>
      </c>
      <c r="AR6">
        <v>1</v>
      </c>
      <c r="AS6">
        <v>0</v>
      </c>
      <c r="AT6">
        <f t="shared" si="3"/>
        <v>12.57</v>
      </c>
      <c r="AU6">
        <f t="shared" si="1"/>
        <v>2</v>
      </c>
      <c r="AV6">
        <f t="shared" si="2"/>
        <v>868.7</v>
      </c>
      <c r="AW6">
        <v>71</v>
      </c>
      <c r="AX6">
        <v>765</v>
      </c>
      <c r="BA6">
        <v>260</v>
      </c>
      <c r="BB6" t="s">
        <v>437</v>
      </c>
      <c r="BC6" t="s">
        <v>532</v>
      </c>
    </row>
    <row r="7" spans="1:55" x14ac:dyDescent="0.45">
      <c r="A7">
        <v>6</v>
      </c>
      <c r="C7">
        <v>68.5</v>
      </c>
      <c r="D7">
        <v>0</v>
      </c>
      <c r="E7">
        <v>0</v>
      </c>
      <c r="F7">
        <v>0</v>
      </c>
      <c r="G7">
        <v>0</v>
      </c>
      <c r="H7">
        <v>2.5</v>
      </c>
      <c r="I7">
        <v>0</v>
      </c>
      <c r="J7">
        <v>10</v>
      </c>
      <c r="K7">
        <v>19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f t="shared" si="0"/>
        <v>774.5</v>
      </c>
      <c r="AD7">
        <v>0</v>
      </c>
      <c r="AE7">
        <v>1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1</v>
      </c>
      <c r="AN7">
        <v>0</v>
      </c>
      <c r="AO7">
        <v>1</v>
      </c>
      <c r="AP7">
        <v>0</v>
      </c>
      <c r="AQ7">
        <v>0</v>
      </c>
      <c r="AR7">
        <v>1</v>
      </c>
      <c r="AS7">
        <v>0</v>
      </c>
      <c r="AT7">
        <f t="shared" si="3"/>
        <v>12.57</v>
      </c>
      <c r="AU7">
        <f t="shared" si="1"/>
        <v>1.6666666666666667</v>
      </c>
      <c r="AV7">
        <f t="shared" si="2"/>
        <v>774.5</v>
      </c>
      <c r="AW7">
        <v>69</v>
      </c>
      <c r="AX7">
        <v>1027</v>
      </c>
      <c r="BA7">
        <v>267</v>
      </c>
      <c r="BB7" t="s">
        <v>437</v>
      </c>
      <c r="BC7" t="s">
        <v>532</v>
      </c>
    </row>
    <row r="8" spans="1:55" x14ac:dyDescent="0.45">
      <c r="A8">
        <v>7</v>
      </c>
      <c r="C8">
        <v>68</v>
      </c>
      <c r="D8">
        <v>0</v>
      </c>
      <c r="E8">
        <v>0</v>
      </c>
      <c r="F8">
        <v>0</v>
      </c>
      <c r="G8">
        <v>0</v>
      </c>
      <c r="H8">
        <v>1</v>
      </c>
      <c r="I8">
        <v>0</v>
      </c>
      <c r="J8">
        <v>0</v>
      </c>
      <c r="K8">
        <v>31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f t="shared" si="0"/>
        <v>866.6</v>
      </c>
      <c r="AD8">
        <v>0</v>
      </c>
      <c r="AE8">
        <v>1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1</v>
      </c>
      <c r="AN8">
        <v>0</v>
      </c>
      <c r="AO8">
        <v>1</v>
      </c>
      <c r="AP8">
        <v>0</v>
      </c>
      <c r="AQ8">
        <v>0</v>
      </c>
      <c r="AR8">
        <v>1</v>
      </c>
      <c r="AS8">
        <v>0</v>
      </c>
      <c r="AT8">
        <f t="shared" si="3"/>
        <v>11.580000000000002</v>
      </c>
      <c r="AU8">
        <f t="shared" si="1"/>
        <v>0</v>
      </c>
      <c r="AV8">
        <f t="shared" si="2"/>
        <v>866.6</v>
      </c>
      <c r="AW8">
        <v>81</v>
      </c>
      <c r="AX8">
        <v>477</v>
      </c>
      <c r="BA8">
        <v>230</v>
      </c>
      <c r="BB8" t="s">
        <v>438</v>
      </c>
      <c r="BC8" t="s">
        <v>533</v>
      </c>
    </row>
    <row r="9" spans="1:55" x14ac:dyDescent="0.45">
      <c r="A9">
        <v>8</v>
      </c>
      <c r="C9">
        <v>71.5</v>
      </c>
      <c r="D9">
        <v>0</v>
      </c>
      <c r="E9">
        <v>0</v>
      </c>
      <c r="F9">
        <v>0</v>
      </c>
      <c r="G9">
        <v>0</v>
      </c>
      <c r="H9">
        <v>1.5</v>
      </c>
      <c r="I9">
        <v>0</v>
      </c>
      <c r="J9">
        <v>0</v>
      </c>
      <c r="K9">
        <v>27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f t="shared" si="0"/>
        <v>858.9</v>
      </c>
      <c r="AD9">
        <v>0</v>
      </c>
      <c r="AE9">
        <v>1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1</v>
      </c>
      <c r="AN9">
        <v>0</v>
      </c>
      <c r="AO9">
        <v>1</v>
      </c>
      <c r="AP9">
        <v>0</v>
      </c>
      <c r="AQ9">
        <v>0</v>
      </c>
      <c r="AR9">
        <v>1</v>
      </c>
      <c r="AS9">
        <v>0</v>
      </c>
      <c r="AT9">
        <f t="shared" si="3"/>
        <v>11.91</v>
      </c>
      <c r="AU9">
        <f t="shared" si="1"/>
        <v>0</v>
      </c>
      <c r="AV9">
        <f t="shared" si="2"/>
        <v>858.9</v>
      </c>
      <c r="AW9">
        <v>94</v>
      </c>
      <c r="AX9">
        <v>496</v>
      </c>
      <c r="BA9">
        <v>277</v>
      </c>
      <c r="BB9" t="s">
        <v>438</v>
      </c>
      <c r="BC9" t="s">
        <v>533</v>
      </c>
    </row>
    <row r="10" spans="1:55" x14ac:dyDescent="0.45">
      <c r="A10">
        <v>9</v>
      </c>
      <c r="C10">
        <v>75</v>
      </c>
      <c r="D10">
        <v>0</v>
      </c>
      <c r="E10">
        <v>0</v>
      </c>
      <c r="F10">
        <v>0</v>
      </c>
      <c r="G10">
        <v>0</v>
      </c>
      <c r="H10">
        <v>2</v>
      </c>
      <c r="I10">
        <v>0</v>
      </c>
      <c r="J10">
        <v>0</v>
      </c>
      <c r="K10">
        <v>23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f t="shared" si="0"/>
        <v>851.2</v>
      </c>
      <c r="AD10">
        <v>0</v>
      </c>
      <c r="AE10">
        <v>1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1</v>
      </c>
      <c r="AN10">
        <v>0</v>
      </c>
      <c r="AO10">
        <v>1</v>
      </c>
      <c r="AP10">
        <v>0</v>
      </c>
      <c r="AQ10">
        <v>0</v>
      </c>
      <c r="AR10">
        <v>1</v>
      </c>
      <c r="AS10">
        <v>0</v>
      </c>
      <c r="AT10">
        <f t="shared" si="3"/>
        <v>12.24</v>
      </c>
      <c r="AU10">
        <f t="shared" si="1"/>
        <v>0</v>
      </c>
      <c r="AV10">
        <f t="shared" si="2"/>
        <v>851.2</v>
      </c>
      <c r="AW10">
        <v>95</v>
      </c>
      <c r="AX10">
        <v>604</v>
      </c>
      <c r="BA10">
        <v>314</v>
      </c>
      <c r="BB10" t="s">
        <v>438</v>
      </c>
      <c r="BC10" t="s">
        <v>533</v>
      </c>
    </row>
    <row r="11" spans="1:55" x14ac:dyDescent="0.45">
      <c r="A11">
        <v>10</v>
      </c>
      <c r="C11">
        <v>78.5</v>
      </c>
      <c r="D11">
        <v>0</v>
      </c>
      <c r="E11">
        <v>0</v>
      </c>
      <c r="F11">
        <v>0</v>
      </c>
      <c r="G11">
        <v>0</v>
      </c>
      <c r="H11">
        <v>2.5</v>
      </c>
      <c r="I11">
        <v>0</v>
      </c>
      <c r="J11">
        <v>0</v>
      </c>
      <c r="K11">
        <v>19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f t="shared" si="0"/>
        <v>843.5</v>
      </c>
      <c r="AD11">
        <v>0</v>
      </c>
      <c r="AE11">
        <v>1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1</v>
      </c>
      <c r="AN11">
        <v>0</v>
      </c>
      <c r="AO11">
        <v>1</v>
      </c>
      <c r="AP11">
        <v>0</v>
      </c>
      <c r="AQ11">
        <v>0</v>
      </c>
      <c r="AR11">
        <v>1</v>
      </c>
      <c r="AS11">
        <v>0</v>
      </c>
      <c r="AT11">
        <f t="shared" si="3"/>
        <v>12.57</v>
      </c>
      <c r="AU11">
        <f t="shared" si="1"/>
        <v>0</v>
      </c>
      <c r="AV11">
        <f t="shared" si="2"/>
        <v>843.5</v>
      </c>
      <c r="AW11">
        <v>90</v>
      </c>
      <c r="AX11">
        <v>672</v>
      </c>
      <c r="BA11">
        <v>334</v>
      </c>
      <c r="BB11" t="s">
        <v>438</v>
      </c>
      <c r="BC11" t="s">
        <v>533</v>
      </c>
    </row>
    <row r="12" spans="1:55" x14ac:dyDescent="0.45">
      <c r="A12">
        <v>11</v>
      </c>
      <c r="C12">
        <v>82</v>
      </c>
      <c r="D12">
        <v>0</v>
      </c>
      <c r="E12">
        <v>0</v>
      </c>
      <c r="F12">
        <v>0</v>
      </c>
      <c r="G12">
        <v>0</v>
      </c>
      <c r="H12">
        <v>3</v>
      </c>
      <c r="I12">
        <v>0</v>
      </c>
      <c r="J12">
        <v>0</v>
      </c>
      <c r="K12">
        <v>15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f t="shared" si="0"/>
        <v>835.8</v>
      </c>
      <c r="AD12">
        <v>0</v>
      </c>
      <c r="AE12">
        <v>1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1</v>
      </c>
      <c r="AN12">
        <v>0</v>
      </c>
      <c r="AO12">
        <v>1</v>
      </c>
      <c r="AP12">
        <v>0</v>
      </c>
      <c r="AQ12">
        <v>0</v>
      </c>
      <c r="AR12">
        <v>1</v>
      </c>
      <c r="AS12">
        <v>0</v>
      </c>
      <c r="AT12">
        <f t="shared" si="3"/>
        <v>12.899999999999999</v>
      </c>
      <c r="AU12">
        <f t="shared" si="1"/>
        <v>0</v>
      </c>
      <c r="AV12">
        <f t="shared" si="2"/>
        <v>835.8</v>
      </c>
      <c r="AW12">
        <v>94</v>
      </c>
      <c r="AX12">
        <v>695</v>
      </c>
      <c r="BA12">
        <v>362</v>
      </c>
      <c r="BB12" t="s">
        <v>438</v>
      </c>
      <c r="BC12" t="s">
        <v>533</v>
      </c>
    </row>
    <row r="13" spans="1:55" x14ac:dyDescent="0.45">
      <c r="A13">
        <v>12</v>
      </c>
      <c r="C13">
        <v>85.5</v>
      </c>
      <c r="D13">
        <v>0</v>
      </c>
      <c r="E13">
        <v>0</v>
      </c>
      <c r="F13">
        <v>0</v>
      </c>
      <c r="G13">
        <v>0</v>
      </c>
      <c r="H13">
        <v>3.5</v>
      </c>
      <c r="I13">
        <v>0</v>
      </c>
      <c r="J13">
        <v>0</v>
      </c>
      <c r="K13">
        <v>11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f t="shared" si="0"/>
        <v>828.1</v>
      </c>
      <c r="AD13">
        <v>0</v>
      </c>
      <c r="AE13">
        <v>1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1</v>
      </c>
      <c r="AN13">
        <v>0</v>
      </c>
      <c r="AO13">
        <v>1</v>
      </c>
      <c r="AP13">
        <v>0</v>
      </c>
      <c r="AQ13">
        <v>0</v>
      </c>
      <c r="AR13">
        <v>1</v>
      </c>
      <c r="AS13">
        <v>0</v>
      </c>
      <c r="AT13">
        <f t="shared" si="3"/>
        <v>13.23</v>
      </c>
      <c r="AU13">
        <f t="shared" si="1"/>
        <v>0</v>
      </c>
      <c r="AV13">
        <f t="shared" si="2"/>
        <v>828.1</v>
      </c>
      <c r="AW13">
        <v>97</v>
      </c>
      <c r="AX13">
        <v>715</v>
      </c>
      <c r="BA13">
        <v>382</v>
      </c>
      <c r="BB13" t="s">
        <v>438</v>
      </c>
      <c r="BC13" t="s">
        <v>533</v>
      </c>
    </row>
    <row r="14" spans="1:55" x14ac:dyDescent="0.45">
      <c r="A14">
        <v>13</v>
      </c>
      <c r="C14">
        <v>70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30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f t="shared" si="0"/>
        <v>882</v>
      </c>
      <c r="AD14">
        <v>0</v>
      </c>
      <c r="AE14">
        <v>1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1</v>
      </c>
      <c r="AN14">
        <v>0</v>
      </c>
      <c r="AO14">
        <v>1</v>
      </c>
      <c r="AP14">
        <v>0</v>
      </c>
      <c r="AQ14">
        <v>0</v>
      </c>
      <c r="AR14">
        <v>1</v>
      </c>
      <c r="AS14">
        <v>0</v>
      </c>
      <c r="AT14">
        <f t="shared" si="3"/>
        <v>8.4</v>
      </c>
      <c r="AU14">
        <f t="shared" si="1"/>
        <v>0</v>
      </c>
      <c r="AV14">
        <f t="shared" si="2"/>
        <v>882</v>
      </c>
      <c r="AW14">
        <v>79</v>
      </c>
      <c r="AX14">
        <v>348</v>
      </c>
      <c r="AY14">
        <v>601</v>
      </c>
      <c r="BA14">
        <v>202</v>
      </c>
      <c r="BB14" t="s">
        <v>439</v>
      </c>
      <c r="BC14" t="s">
        <v>534</v>
      </c>
    </row>
    <row r="15" spans="1:55" x14ac:dyDescent="0.45">
      <c r="A15">
        <v>14</v>
      </c>
      <c r="C15">
        <v>69</v>
      </c>
      <c r="D15">
        <v>0</v>
      </c>
      <c r="E15">
        <v>0</v>
      </c>
      <c r="F15">
        <v>0</v>
      </c>
      <c r="G15">
        <v>0</v>
      </c>
      <c r="H15">
        <v>1</v>
      </c>
      <c r="I15">
        <v>0</v>
      </c>
      <c r="J15">
        <v>0</v>
      </c>
      <c r="K15">
        <v>30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f t="shared" si="0"/>
        <v>866.6</v>
      </c>
      <c r="AD15">
        <v>0</v>
      </c>
      <c r="AE15">
        <v>1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1</v>
      </c>
      <c r="AN15">
        <v>0</v>
      </c>
      <c r="AO15">
        <v>1</v>
      </c>
      <c r="AP15">
        <v>0</v>
      </c>
      <c r="AQ15">
        <v>0</v>
      </c>
      <c r="AR15">
        <v>1</v>
      </c>
      <c r="AS15">
        <v>0</v>
      </c>
      <c r="AT15">
        <f t="shared" si="3"/>
        <v>11.3</v>
      </c>
      <c r="AU15">
        <f t="shared" si="1"/>
        <v>0</v>
      </c>
      <c r="AV15">
        <f t="shared" si="2"/>
        <v>866.6</v>
      </c>
      <c r="AW15">
        <v>79</v>
      </c>
      <c r="AX15">
        <v>606</v>
      </c>
      <c r="AY15">
        <v>633</v>
      </c>
      <c r="BA15">
        <v>284</v>
      </c>
      <c r="BB15" t="s">
        <v>439</v>
      </c>
      <c r="BC15" t="s">
        <v>534</v>
      </c>
    </row>
    <row r="16" spans="1:55" x14ac:dyDescent="0.45">
      <c r="A16">
        <v>15</v>
      </c>
      <c r="C16">
        <v>67</v>
      </c>
      <c r="D16">
        <v>0</v>
      </c>
      <c r="E16">
        <v>0</v>
      </c>
      <c r="F16">
        <v>0</v>
      </c>
      <c r="G16">
        <v>0</v>
      </c>
      <c r="H16">
        <v>3</v>
      </c>
      <c r="I16">
        <v>0</v>
      </c>
      <c r="J16">
        <v>0</v>
      </c>
      <c r="K16">
        <v>30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f t="shared" si="0"/>
        <v>835.8</v>
      </c>
      <c r="AD16">
        <v>0</v>
      </c>
      <c r="AE16">
        <v>1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1</v>
      </c>
      <c r="AN16">
        <v>0</v>
      </c>
      <c r="AO16">
        <v>1</v>
      </c>
      <c r="AP16">
        <v>0</v>
      </c>
      <c r="AQ16">
        <v>0</v>
      </c>
      <c r="AR16">
        <v>1</v>
      </c>
      <c r="AS16">
        <v>0</v>
      </c>
      <c r="AT16">
        <f t="shared" si="3"/>
        <v>17.100000000000001</v>
      </c>
      <c r="AU16">
        <f t="shared" si="1"/>
        <v>0</v>
      </c>
      <c r="AV16">
        <f t="shared" si="2"/>
        <v>835.8</v>
      </c>
      <c r="AW16">
        <v>78</v>
      </c>
      <c r="AX16">
        <v>625</v>
      </c>
      <c r="AY16">
        <v>656</v>
      </c>
      <c r="BA16">
        <v>255</v>
      </c>
      <c r="BB16" t="s">
        <v>439</v>
      </c>
      <c r="BC16" t="s">
        <v>534</v>
      </c>
    </row>
    <row r="17" spans="1:55" x14ac:dyDescent="0.45">
      <c r="A17">
        <v>16</v>
      </c>
      <c r="C17">
        <v>65</v>
      </c>
      <c r="D17">
        <v>0</v>
      </c>
      <c r="E17">
        <v>0</v>
      </c>
      <c r="F17">
        <v>0</v>
      </c>
      <c r="G17">
        <v>0</v>
      </c>
      <c r="H17">
        <v>5</v>
      </c>
      <c r="I17">
        <v>0</v>
      </c>
      <c r="J17">
        <v>0</v>
      </c>
      <c r="K17">
        <v>30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f t="shared" si="0"/>
        <v>805</v>
      </c>
      <c r="AD17">
        <v>0</v>
      </c>
      <c r="AE17">
        <v>1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1</v>
      </c>
      <c r="AN17">
        <v>0</v>
      </c>
      <c r="AO17">
        <v>1</v>
      </c>
      <c r="AP17">
        <v>0</v>
      </c>
      <c r="AQ17">
        <v>0</v>
      </c>
      <c r="AR17">
        <v>1</v>
      </c>
      <c r="AS17">
        <v>0</v>
      </c>
      <c r="AT17">
        <f t="shared" si="3"/>
        <v>22.9</v>
      </c>
      <c r="AU17">
        <f t="shared" si="1"/>
        <v>0</v>
      </c>
      <c r="AV17">
        <f t="shared" si="2"/>
        <v>805</v>
      </c>
      <c r="AW17">
        <v>79</v>
      </c>
      <c r="AX17">
        <v>629</v>
      </c>
      <c r="AY17">
        <v>689</v>
      </c>
      <c r="BA17">
        <v>246</v>
      </c>
      <c r="BB17" t="s">
        <v>439</v>
      </c>
      <c r="BC17" t="s">
        <v>534</v>
      </c>
    </row>
    <row r="18" spans="1:55" x14ac:dyDescent="0.45">
      <c r="A18">
        <v>17</v>
      </c>
      <c r="C18">
        <v>83</v>
      </c>
      <c r="D18">
        <v>0</v>
      </c>
      <c r="E18">
        <v>0</v>
      </c>
      <c r="F18">
        <v>0</v>
      </c>
      <c r="G18">
        <v>0</v>
      </c>
      <c r="H18">
        <v>5</v>
      </c>
      <c r="I18">
        <v>0</v>
      </c>
      <c r="J18">
        <v>0</v>
      </c>
      <c r="K18">
        <v>12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f t="shared" si="0"/>
        <v>805</v>
      </c>
      <c r="AD18">
        <v>0</v>
      </c>
      <c r="AE18">
        <v>1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1</v>
      </c>
      <c r="AN18">
        <v>0</v>
      </c>
      <c r="AO18">
        <v>1</v>
      </c>
      <c r="AP18">
        <v>0</v>
      </c>
      <c r="AQ18">
        <v>0</v>
      </c>
      <c r="AR18">
        <v>0</v>
      </c>
      <c r="AS18">
        <v>0</v>
      </c>
      <c r="AT18">
        <f t="shared" si="3"/>
        <v>17.86</v>
      </c>
      <c r="AU18">
        <f t="shared" si="1"/>
        <v>0</v>
      </c>
      <c r="AV18">
        <f t="shared" si="2"/>
        <v>805</v>
      </c>
      <c r="AW18">
        <v>90</v>
      </c>
      <c r="AX18">
        <v>740</v>
      </c>
      <c r="BA18">
        <v>293</v>
      </c>
      <c r="BB18" t="s">
        <v>440</v>
      </c>
      <c r="BC18" t="s">
        <v>535</v>
      </c>
    </row>
    <row r="19" spans="1:55" x14ac:dyDescent="0.45">
      <c r="A19">
        <v>18</v>
      </c>
      <c r="C19">
        <v>89</v>
      </c>
      <c r="D19">
        <v>0</v>
      </c>
      <c r="E19">
        <v>0</v>
      </c>
      <c r="F19">
        <v>0</v>
      </c>
      <c r="G19">
        <v>0</v>
      </c>
      <c r="H19">
        <v>4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7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f t="shared" si="0"/>
        <v>820.4</v>
      </c>
      <c r="AD19">
        <v>0</v>
      </c>
      <c r="AE19">
        <v>1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1</v>
      </c>
      <c r="AN19">
        <v>0</v>
      </c>
      <c r="AO19">
        <v>1</v>
      </c>
      <c r="AP19">
        <v>0</v>
      </c>
      <c r="AQ19">
        <v>1</v>
      </c>
      <c r="AR19">
        <v>0</v>
      </c>
      <c r="AS19">
        <v>0</v>
      </c>
      <c r="AT19">
        <f t="shared" si="3"/>
        <v>13.14</v>
      </c>
      <c r="AU19">
        <f t="shared" si="1"/>
        <v>0</v>
      </c>
      <c r="AV19">
        <f t="shared" si="2"/>
        <v>820.4</v>
      </c>
      <c r="AW19">
        <v>110</v>
      </c>
      <c r="AX19">
        <v>1250</v>
      </c>
      <c r="BA19">
        <v>430</v>
      </c>
      <c r="BB19" t="s">
        <v>440</v>
      </c>
      <c r="BC19" t="s">
        <v>535</v>
      </c>
    </row>
    <row r="20" spans="1:55" x14ac:dyDescent="0.45">
      <c r="A20">
        <v>19</v>
      </c>
      <c r="C20">
        <v>86</v>
      </c>
      <c r="D20">
        <v>0</v>
      </c>
      <c r="E20">
        <v>0</v>
      </c>
      <c r="F20">
        <v>0</v>
      </c>
      <c r="G20">
        <v>0</v>
      </c>
      <c r="H20">
        <v>4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10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f t="shared" si="0"/>
        <v>820.4</v>
      </c>
      <c r="AD20">
        <v>0</v>
      </c>
      <c r="AE20">
        <v>1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1</v>
      </c>
      <c r="AN20">
        <v>0</v>
      </c>
      <c r="AO20">
        <v>1</v>
      </c>
      <c r="AP20">
        <v>0</v>
      </c>
      <c r="AQ20">
        <v>0</v>
      </c>
      <c r="AR20">
        <v>1</v>
      </c>
      <c r="AS20">
        <v>0</v>
      </c>
      <c r="AT20">
        <f t="shared" si="3"/>
        <v>13.8</v>
      </c>
      <c r="AU20">
        <f t="shared" si="1"/>
        <v>0</v>
      </c>
      <c r="AV20">
        <f t="shared" si="2"/>
        <v>820.4</v>
      </c>
      <c r="AW20">
        <v>121</v>
      </c>
      <c r="AX20">
        <v>1360</v>
      </c>
      <c r="BA20">
        <v>410</v>
      </c>
      <c r="BB20" t="s">
        <v>440</v>
      </c>
      <c r="BC20" t="s">
        <v>535</v>
      </c>
    </row>
    <row r="21" spans="1:55" x14ac:dyDescent="0.45">
      <c r="A21">
        <v>20</v>
      </c>
      <c r="C21">
        <v>81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13</v>
      </c>
      <c r="M21">
        <v>6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f t="shared" si="0"/>
        <v>783.7</v>
      </c>
      <c r="AD21">
        <v>0</v>
      </c>
      <c r="AE21">
        <v>1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1</v>
      </c>
      <c r="AN21">
        <v>0</v>
      </c>
      <c r="AO21">
        <v>1</v>
      </c>
      <c r="AP21">
        <v>0</v>
      </c>
      <c r="AQ21">
        <v>0</v>
      </c>
      <c r="AR21">
        <v>0</v>
      </c>
      <c r="AS21">
        <v>0</v>
      </c>
      <c r="AT21">
        <f t="shared" si="3"/>
        <v>13</v>
      </c>
      <c r="AU21">
        <f t="shared" si="1"/>
        <v>2</v>
      </c>
      <c r="AV21">
        <f t="shared" si="2"/>
        <v>783.7</v>
      </c>
      <c r="AW21">
        <v>66</v>
      </c>
      <c r="AX21">
        <v>650</v>
      </c>
      <c r="BA21">
        <v>314</v>
      </c>
      <c r="BB21" t="s">
        <v>441</v>
      </c>
      <c r="BC21" t="s">
        <v>536</v>
      </c>
    </row>
    <row r="22" spans="1:55" x14ac:dyDescent="0.45">
      <c r="A22">
        <v>21</v>
      </c>
      <c r="C22">
        <v>91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9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f t="shared" si="0"/>
        <v>796.5</v>
      </c>
      <c r="AD22">
        <v>0</v>
      </c>
      <c r="AE22">
        <v>1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1</v>
      </c>
      <c r="AN22">
        <v>0</v>
      </c>
      <c r="AO22">
        <v>1</v>
      </c>
      <c r="AP22">
        <v>0</v>
      </c>
      <c r="AQ22">
        <v>0</v>
      </c>
      <c r="AR22">
        <v>1</v>
      </c>
      <c r="AS22">
        <v>0</v>
      </c>
      <c r="AT22">
        <f t="shared" si="3"/>
        <v>9</v>
      </c>
      <c r="AU22">
        <f t="shared" si="1"/>
        <v>0</v>
      </c>
      <c r="AV22">
        <f t="shared" si="2"/>
        <v>796.5</v>
      </c>
      <c r="AW22">
        <v>91</v>
      </c>
      <c r="AX22">
        <v>537</v>
      </c>
      <c r="AY22">
        <v>852</v>
      </c>
      <c r="BA22">
        <v>350</v>
      </c>
      <c r="BB22" t="s">
        <v>442</v>
      </c>
      <c r="BC22" t="s">
        <v>537</v>
      </c>
    </row>
    <row r="23" spans="1:55" x14ac:dyDescent="0.45">
      <c r="A23">
        <v>22</v>
      </c>
      <c r="C23">
        <v>89.5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9</v>
      </c>
      <c r="M23">
        <v>1.5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f t="shared" si="0"/>
        <v>802.8</v>
      </c>
      <c r="AD23">
        <v>0</v>
      </c>
      <c r="AE23">
        <v>1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1</v>
      </c>
      <c r="AN23">
        <v>0</v>
      </c>
      <c r="AO23">
        <v>1</v>
      </c>
      <c r="AP23">
        <v>0</v>
      </c>
      <c r="AQ23">
        <v>0</v>
      </c>
      <c r="AR23">
        <v>1</v>
      </c>
      <c r="AS23">
        <v>0</v>
      </c>
      <c r="AT23">
        <f t="shared" si="3"/>
        <v>9</v>
      </c>
      <c r="AU23">
        <f t="shared" si="1"/>
        <v>0.5</v>
      </c>
      <c r="AV23">
        <f t="shared" si="2"/>
        <v>802.8</v>
      </c>
      <c r="AW23">
        <v>89</v>
      </c>
      <c r="AX23">
        <v>511</v>
      </c>
      <c r="AY23">
        <v>847</v>
      </c>
      <c r="BA23">
        <v>312</v>
      </c>
      <c r="BB23" t="s">
        <v>442</v>
      </c>
      <c r="BC23" t="s">
        <v>537</v>
      </c>
    </row>
    <row r="24" spans="1:55" x14ac:dyDescent="0.45">
      <c r="A24">
        <v>23</v>
      </c>
      <c r="C24">
        <v>85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9</v>
      </c>
      <c r="M24">
        <v>6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f t="shared" si="0"/>
        <v>821.7</v>
      </c>
      <c r="AD24">
        <v>0</v>
      </c>
      <c r="AE24">
        <v>1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1</v>
      </c>
      <c r="AN24">
        <v>0</v>
      </c>
      <c r="AO24">
        <v>1</v>
      </c>
      <c r="AP24">
        <v>0</v>
      </c>
      <c r="AQ24">
        <v>0</v>
      </c>
      <c r="AR24">
        <v>1</v>
      </c>
      <c r="AS24">
        <v>0</v>
      </c>
      <c r="AT24">
        <f t="shared" si="3"/>
        <v>9</v>
      </c>
      <c r="AU24">
        <f t="shared" si="1"/>
        <v>2</v>
      </c>
      <c r="AV24">
        <f t="shared" si="2"/>
        <v>821.7</v>
      </c>
      <c r="AW24">
        <v>78</v>
      </c>
      <c r="AX24">
        <v>441</v>
      </c>
      <c r="AY24">
        <v>803</v>
      </c>
      <c r="BA24">
        <v>271</v>
      </c>
      <c r="BB24" t="s">
        <v>442</v>
      </c>
      <c r="BC24" t="s">
        <v>537</v>
      </c>
    </row>
    <row r="25" spans="1:55" x14ac:dyDescent="0.45">
      <c r="A25">
        <v>24</v>
      </c>
      <c r="C25">
        <v>51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25</v>
      </c>
      <c r="K25">
        <v>24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1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1</v>
      </c>
      <c r="AN25">
        <v>0</v>
      </c>
      <c r="AO25">
        <v>1</v>
      </c>
      <c r="AP25">
        <v>0</v>
      </c>
      <c r="AQ25">
        <v>0</v>
      </c>
      <c r="AR25">
        <v>0</v>
      </c>
      <c r="AS25">
        <v>0</v>
      </c>
      <c r="AT25">
        <f t="shared" si="3"/>
        <v>6.7200000000000006</v>
      </c>
      <c r="AU25">
        <f t="shared" si="1"/>
        <v>4.166666666666667</v>
      </c>
      <c r="AV25">
        <f t="shared" si="2"/>
        <v>709.5</v>
      </c>
      <c r="AW25">
        <v>62</v>
      </c>
      <c r="AX25">
        <v>810</v>
      </c>
      <c r="BA25">
        <v>241.3</v>
      </c>
      <c r="BB25" t="s">
        <v>443</v>
      </c>
      <c r="BC25" t="s">
        <v>538</v>
      </c>
    </row>
    <row r="26" spans="1:55" x14ac:dyDescent="0.45">
      <c r="A26">
        <v>25</v>
      </c>
      <c r="C26">
        <v>38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32</v>
      </c>
      <c r="K26">
        <v>30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1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1</v>
      </c>
      <c r="AN26">
        <v>0</v>
      </c>
      <c r="AO26">
        <v>1</v>
      </c>
      <c r="AP26">
        <v>0</v>
      </c>
      <c r="AQ26">
        <v>0</v>
      </c>
      <c r="AR26">
        <v>0</v>
      </c>
      <c r="AS26">
        <v>0</v>
      </c>
      <c r="AT26">
        <f t="shared" si="3"/>
        <v>8.4</v>
      </c>
      <c r="AU26">
        <f t="shared" si="1"/>
        <v>5.333333333333333</v>
      </c>
      <c r="AV26">
        <f t="shared" si="2"/>
        <v>661.2</v>
      </c>
      <c r="AW26">
        <v>65</v>
      </c>
      <c r="AX26">
        <v>782</v>
      </c>
      <c r="BA26">
        <v>244.4</v>
      </c>
      <c r="BB26" t="s">
        <v>443</v>
      </c>
      <c r="BC26" t="s">
        <v>538</v>
      </c>
    </row>
    <row r="27" spans="1:55" x14ac:dyDescent="0.45">
      <c r="A27">
        <v>26</v>
      </c>
      <c r="C27">
        <v>37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35</v>
      </c>
      <c r="K27">
        <v>28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1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1</v>
      </c>
      <c r="AN27">
        <v>0</v>
      </c>
      <c r="AO27">
        <v>1</v>
      </c>
      <c r="AP27">
        <v>0</v>
      </c>
      <c r="AQ27">
        <v>0</v>
      </c>
      <c r="AR27">
        <v>0</v>
      </c>
      <c r="AS27">
        <v>0</v>
      </c>
      <c r="AT27">
        <f t="shared" si="3"/>
        <v>7.8400000000000007</v>
      </c>
      <c r="AU27">
        <f t="shared" si="1"/>
        <v>5.833333333333333</v>
      </c>
      <c r="AV27">
        <f t="shared" si="2"/>
        <v>640.5</v>
      </c>
      <c r="AW27">
        <v>64</v>
      </c>
      <c r="AX27">
        <v>729</v>
      </c>
      <c r="BA27">
        <v>244</v>
      </c>
      <c r="BB27" t="s">
        <v>443</v>
      </c>
      <c r="BC27" t="s">
        <v>538</v>
      </c>
    </row>
    <row r="28" spans="1:55" x14ac:dyDescent="0.45">
      <c r="A28">
        <v>27</v>
      </c>
      <c r="C28">
        <v>34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41</v>
      </c>
      <c r="K28">
        <v>25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1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1</v>
      </c>
      <c r="AN28">
        <v>0</v>
      </c>
      <c r="AO28">
        <v>1</v>
      </c>
      <c r="AP28">
        <v>0</v>
      </c>
      <c r="AQ28">
        <v>0</v>
      </c>
      <c r="AR28">
        <v>0</v>
      </c>
      <c r="AS28">
        <v>0</v>
      </c>
      <c r="AT28">
        <f t="shared" si="3"/>
        <v>7.0000000000000009</v>
      </c>
      <c r="AU28">
        <f t="shared" si="1"/>
        <v>6.833333333333333</v>
      </c>
      <c r="AV28">
        <f t="shared" si="2"/>
        <v>599.09999999999991</v>
      </c>
      <c r="AW28">
        <v>63</v>
      </c>
      <c r="AX28">
        <v>682</v>
      </c>
      <c r="BA28">
        <v>235.6</v>
      </c>
      <c r="BB28" t="s">
        <v>443</v>
      </c>
      <c r="BC28" t="s">
        <v>538</v>
      </c>
    </row>
    <row r="29" spans="1:55" x14ac:dyDescent="0.45">
      <c r="A29">
        <v>28</v>
      </c>
      <c r="C29">
        <v>74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13</v>
      </c>
      <c r="K29">
        <v>13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f t="shared" ref="AC29:AC40" si="4">(AV29)+0</f>
        <v>792.3</v>
      </c>
      <c r="AD29">
        <v>0</v>
      </c>
      <c r="AE29">
        <v>1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1</v>
      </c>
      <c r="AN29">
        <v>0</v>
      </c>
      <c r="AO29">
        <v>1</v>
      </c>
      <c r="AP29">
        <v>0</v>
      </c>
      <c r="AQ29">
        <v>1</v>
      </c>
      <c r="AR29">
        <v>0</v>
      </c>
      <c r="AS29">
        <v>0</v>
      </c>
      <c r="AT29">
        <f t="shared" si="3"/>
        <v>3.6400000000000006</v>
      </c>
      <c r="AU29">
        <f t="shared" si="1"/>
        <v>2.1666666666666665</v>
      </c>
      <c r="AV29">
        <f t="shared" si="2"/>
        <v>792.3</v>
      </c>
      <c r="AW29">
        <v>66</v>
      </c>
      <c r="AX29">
        <v>501</v>
      </c>
      <c r="BA29">
        <v>220</v>
      </c>
      <c r="BB29" t="s">
        <v>342</v>
      </c>
      <c r="BC29" t="s">
        <v>539</v>
      </c>
    </row>
    <row r="30" spans="1:55" x14ac:dyDescent="0.45">
      <c r="A30">
        <v>29</v>
      </c>
      <c r="C30">
        <v>58.5</v>
      </c>
      <c r="D30">
        <v>0</v>
      </c>
      <c r="E30">
        <v>0</v>
      </c>
      <c r="F30">
        <v>0</v>
      </c>
      <c r="G30">
        <v>0</v>
      </c>
      <c r="H30">
        <v>0.5</v>
      </c>
      <c r="I30">
        <v>0</v>
      </c>
      <c r="J30">
        <v>13</v>
      </c>
      <c r="K30">
        <v>28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f t="shared" si="4"/>
        <v>784.59999999999991</v>
      </c>
      <c r="AD30">
        <v>0</v>
      </c>
      <c r="AE30">
        <v>1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1</v>
      </c>
      <c r="AN30">
        <v>0</v>
      </c>
      <c r="AO30">
        <v>1</v>
      </c>
      <c r="AP30">
        <v>0</v>
      </c>
      <c r="AQ30">
        <v>1</v>
      </c>
      <c r="AR30">
        <v>0</v>
      </c>
      <c r="AS30">
        <v>0</v>
      </c>
      <c r="AT30">
        <f t="shared" si="3"/>
        <v>9.2900000000000009</v>
      </c>
      <c r="AU30">
        <f t="shared" si="1"/>
        <v>2.1666666666666665</v>
      </c>
      <c r="AV30">
        <f t="shared" si="2"/>
        <v>784.59999999999991</v>
      </c>
      <c r="AW30">
        <v>58</v>
      </c>
      <c r="AX30">
        <v>780</v>
      </c>
      <c r="BB30" t="s">
        <v>444</v>
      </c>
      <c r="BC30" t="s">
        <v>540</v>
      </c>
    </row>
    <row r="31" spans="1:55" x14ac:dyDescent="0.45">
      <c r="A31">
        <v>30</v>
      </c>
      <c r="C31">
        <v>70</v>
      </c>
      <c r="D31">
        <v>0</v>
      </c>
      <c r="E31">
        <v>0</v>
      </c>
      <c r="F31">
        <v>0</v>
      </c>
      <c r="G31">
        <v>0</v>
      </c>
      <c r="H31">
        <v>1</v>
      </c>
      <c r="I31">
        <v>0</v>
      </c>
      <c r="J31">
        <v>10</v>
      </c>
      <c r="K31">
        <v>19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f t="shared" si="4"/>
        <v>797.6</v>
      </c>
      <c r="AD31">
        <v>0</v>
      </c>
      <c r="AE31">
        <v>1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1</v>
      </c>
      <c r="AN31">
        <v>0</v>
      </c>
      <c r="AO31">
        <v>1</v>
      </c>
      <c r="AP31">
        <v>0</v>
      </c>
      <c r="AQ31">
        <v>0</v>
      </c>
      <c r="AR31">
        <v>1</v>
      </c>
      <c r="AS31">
        <v>0</v>
      </c>
      <c r="AT31">
        <f t="shared" si="3"/>
        <v>8.2200000000000006</v>
      </c>
      <c r="AU31">
        <f t="shared" si="1"/>
        <v>1.6666666666666667</v>
      </c>
      <c r="AV31">
        <f t="shared" si="2"/>
        <v>797.6</v>
      </c>
      <c r="AW31">
        <v>59</v>
      </c>
      <c r="AX31">
        <v>553</v>
      </c>
      <c r="AY31">
        <v>723</v>
      </c>
      <c r="BB31" t="s">
        <v>445</v>
      </c>
      <c r="BC31" t="s">
        <v>541</v>
      </c>
    </row>
    <row r="32" spans="1:55" x14ac:dyDescent="0.45">
      <c r="A32">
        <v>31</v>
      </c>
      <c r="C32">
        <v>60.5</v>
      </c>
      <c r="D32">
        <v>0</v>
      </c>
      <c r="E32">
        <v>0</v>
      </c>
      <c r="F32">
        <v>0</v>
      </c>
      <c r="G32">
        <v>0</v>
      </c>
      <c r="H32">
        <v>1.5</v>
      </c>
      <c r="I32">
        <v>0</v>
      </c>
      <c r="J32">
        <v>6</v>
      </c>
      <c r="K32">
        <v>32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f t="shared" si="4"/>
        <v>817.5</v>
      </c>
      <c r="AD32">
        <v>0</v>
      </c>
      <c r="AE32">
        <v>1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1</v>
      </c>
      <c r="AN32">
        <v>0</v>
      </c>
      <c r="AO32">
        <v>1</v>
      </c>
      <c r="AP32">
        <v>0</v>
      </c>
      <c r="AQ32">
        <v>0</v>
      </c>
      <c r="AR32">
        <v>0</v>
      </c>
      <c r="AS32">
        <v>0</v>
      </c>
      <c r="AT32">
        <f t="shared" si="3"/>
        <v>13.31</v>
      </c>
      <c r="AU32">
        <f t="shared" si="1"/>
        <v>1</v>
      </c>
      <c r="AV32">
        <f t="shared" si="2"/>
        <v>817.5</v>
      </c>
      <c r="AW32">
        <v>62</v>
      </c>
      <c r="AX32">
        <v>1038</v>
      </c>
      <c r="AY32">
        <v>1083</v>
      </c>
      <c r="BA32">
        <v>218</v>
      </c>
      <c r="BB32" t="s">
        <v>446</v>
      </c>
      <c r="BC32" t="s">
        <v>542</v>
      </c>
    </row>
    <row r="33" spans="1:55" x14ac:dyDescent="0.45">
      <c r="A33">
        <v>32</v>
      </c>
      <c r="C33">
        <v>66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32</v>
      </c>
      <c r="L33">
        <v>0</v>
      </c>
      <c r="M33">
        <v>2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f t="shared" si="4"/>
        <v>890.4</v>
      </c>
      <c r="AD33">
        <v>0</v>
      </c>
      <c r="AE33">
        <v>1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1</v>
      </c>
      <c r="AN33">
        <v>0</v>
      </c>
      <c r="AO33">
        <v>1</v>
      </c>
      <c r="AP33">
        <v>0</v>
      </c>
      <c r="AQ33">
        <v>0</v>
      </c>
      <c r="AR33">
        <v>0</v>
      </c>
      <c r="AS33">
        <v>0</v>
      </c>
      <c r="AT33">
        <f t="shared" si="3"/>
        <v>8.9600000000000009</v>
      </c>
      <c r="AU33">
        <f t="shared" si="1"/>
        <v>0.66666666666666663</v>
      </c>
      <c r="AV33">
        <f t="shared" si="2"/>
        <v>890.4</v>
      </c>
      <c r="AW33">
        <v>60</v>
      </c>
      <c r="AX33">
        <v>665</v>
      </c>
      <c r="BA33">
        <v>260</v>
      </c>
      <c r="BB33" t="s">
        <v>259</v>
      </c>
      <c r="BC33" t="s">
        <v>543</v>
      </c>
    </row>
    <row r="34" spans="1:55" x14ac:dyDescent="0.45">
      <c r="A34">
        <v>33</v>
      </c>
      <c r="C34">
        <v>32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22</v>
      </c>
      <c r="K34">
        <v>8</v>
      </c>
      <c r="L34">
        <v>0</v>
      </c>
      <c r="M34">
        <v>0</v>
      </c>
      <c r="N34">
        <v>0</v>
      </c>
      <c r="O34">
        <v>38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f t="shared" si="4"/>
        <v>730.2</v>
      </c>
      <c r="AD34">
        <v>0</v>
      </c>
      <c r="AE34">
        <v>1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1</v>
      </c>
      <c r="AN34">
        <v>0</v>
      </c>
      <c r="AO34">
        <v>1</v>
      </c>
      <c r="AP34">
        <v>0</v>
      </c>
      <c r="AQ34">
        <v>0</v>
      </c>
      <c r="AR34">
        <v>1</v>
      </c>
      <c r="AS34">
        <v>0</v>
      </c>
      <c r="AT34">
        <f t="shared" si="3"/>
        <v>10.6</v>
      </c>
      <c r="AU34">
        <f t="shared" si="1"/>
        <v>3.6666666666666665</v>
      </c>
      <c r="AV34">
        <f t="shared" si="2"/>
        <v>730.2</v>
      </c>
      <c r="AW34">
        <v>73</v>
      </c>
      <c r="AX34">
        <v>1107</v>
      </c>
      <c r="BA34">
        <v>365</v>
      </c>
      <c r="BB34" t="s">
        <v>447</v>
      </c>
      <c r="BC34" t="s">
        <v>544</v>
      </c>
    </row>
    <row r="35" spans="1:55" x14ac:dyDescent="0.45">
      <c r="A35">
        <v>34</v>
      </c>
      <c r="C35">
        <v>31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25</v>
      </c>
      <c r="K35">
        <v>5</v>
      </c>
      <c r="L35">
        <v>0</v>
      </c>
      <c r="M35">
        <v>0</v>
      </c>
      <c r="N35">
        <v>0</v>
      </c>
      <c r="O35">
        <v>39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f t="shared" si="4"/>
        <v>709.5</v>
      </c>
      <c r="AD35">
        <v>0</v>
      </c>
      <c r="AE35">
        <v>1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1</v>
      </c>
      <c r="AN35">
        <v>0</v>
      </c>
      <c r="AO35">
        <v>1</v>
      </c>
      <c r="AP35">
        <v>0</v>
      </c>
      <c r="AQ35">
        <v>0</v>
      </c>
      <c r="AR35">
        <v>1</v>
      </c>
      <c r="AS35">
        <v>0</v>
      </c>
      <c r="AT35">
        <f t="shared" si="3"/>
        <v>9.98</v>
      </c>
      <c r="AU35">
        <f t="shared" si="1"/>
        <v>4.166666666666667</v>
      </c>
      <c r="AV35">
        <f t="shared" si="2"/>
        <v>709.5</v>
      </c>
      <c r="AW35">
        <v>75</v>
      </c>
      <c r="AX35">
        <v>932</v>
      </c>
      <c r="BA35">
        <v>422</v>
      </c>
      <c r="BB35" t="s">
        <v>447</v>
      </c>
      <c r="BC35" t="s">
        <v>544</v>
      </c>
    </row>
    <row r="36" spans="1:55" x14ac:dyDescent="0.45">
      <c r="A36">
        <v>35</v>
      </c>
      <c r="C36">
        <v>30.5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28</v>
      </c>
      <c r="K36">
        <v>2.5</v>
      </c>
      <c r="L36">
        <v>0</v>
      </c>
      <c r="M36">
        <v>0</v>
      </c>
      <c r="N36">
        <v>0</v>
      </c>
      <c r="O36">
        <v>39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f t="shared" si="4"/>
        <v>688.8</v>
      </c>
      <c r="AD36">
        <v>0</v>
      </c>
      <c r="AE36">
        <v>1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1</v>
      </c>
      <c r="AN36">
        <v>0</v>
      </c>
      <c r="AO36">
        <v>1</v>
      </c>
      <c r="AP36">
        <v>0</v>
      </c>
      <c r="AQ36">
        <v>0</v>
      </c>
      <c r="AR36">
        <v>1</v>
      </c>
      <c r="AS36">
        <v>0</v>
      </c>
      <c r="AT36">
        <f t="shared" si="3"/>
        <v>9.2799999999999994</v>
      </c>
      <c r="AU36">
        <f t="shared" si="1"/>
        <v>4.666666666666667</v>
      </c>
      <c r="AV36">
        <f t="shared" si="2"/>
        <v>688.8</v>
      </c>
      <c r="AW36">
        <v>77</v>
      </c>
      <c r="AX36">
        <v>953</v>
      </c>
      <c r="BA36">
        <v>433</v>
      </c>
      <c r="BB36" t="s">
        <v>447</v>
      </c>
      <c r="BC36" t="s">
        <v>544</v>
      </c>
    </row>
    <row r="37" spans="1:55" x14ac:dyDescent="0.45">
      <c r="A37">
        <v>36</v>
      </c>
      <c r="C37">
        <v>90</v>
      </c>
      <c r="D37">
        <v>0</v>
      </c>
      <c r="E37">
        <v>0</v>
      </c>
      <c r="F37">
        <v>0</v>
      </c>
      <c r="G37">
        <v>0</v>
      </c>
      <c r="H37">
        <v>5</v>
      </c>
      <c r="I37">
        <v>0</v>
      </c>
      <c r="J37">
        <v>0</v>
      </c>
      <c r="K37">
        <v>0</v>
      </c>
      <c r="L37">
        <v>5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f t="shared" si="4"/>
        <v>757.5</v>
      </c>
      <c r="AD37">
        <v>0</v>
      </c>
      <c r="AE37">
        <v>1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1</v>
      </c>
      <c r="AN37">
        <v>0</v>
      </c>
      <c r="AO37">
        <v>1</v>
      </c>
      <c r="AP37">
        <v>0</v>
      </c>
      <c r="AQ37">
        <v>1</v>
      </c>
      <c r="AR37">
        <v>0</v>
      </c>
      <c r="AS37">
        <v>0</v>
      </c>
      <c r="AT37">
        <f t="shared" si="3"/>
        <v>19.5</v>
      </c>
      <c r="AU37">
        <f t="shared" si="1"/>
        <v>0</v>
      </c>
      <c r="AV37">
        <f t="shared" si="2"/>
        <v>757.5</v>
      </c>
      <c r="AW37">
        <v>83</v>
      </c>
      <c r="AX37">
        <v>936</v>
      </c>
      <c r="BA37">
        <v>452</v>
      </c>
      <c r="BB37" t="s">
        <v>448</v>
      </c>
      <c r="BC37" t="s">
        <v>545</v>
      </c>
    </row>
    <row r="38" spans="1:55" x14ac:dyDescent="0.45">
      <c r="A38">
        <v>37</v>
      </c>
      <c r="C38">
        <v>54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12</v>
      </c>
      <c r="K38">
        <v>26</v>
      </c>
      <c r="L38">
        <v>8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f t="shared" si="4"/>
        <v>723.2</v>
      </c>
      <c r="AD38">
        <v>0</v>
      </c>
      <c r="AE38">
        <v>1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1</v>
      </c>
      <c r="AN38">
        <v>0</v>
      </c>
      <c r="AO38">
        <v>1</v>
      </c>
      <c r="AP38">
        <v>0</v>
      </c>
      <c r="AQ38">
        <v>0</v>
      </c>
      <c r="AR38">
        <v>0</v>
      </c>
      <c r="AS38">
        <v>0</v>
      </c>
      <c r="AT38">
        <f t="shared" si="3"/>
        <v>15.280000000000001</v>
      </c>
      <c r="AU38">
        <f t="shared" si="1"/>
        <v>2</v>
      </c>
      <c r="AV38">
        <f t="shared" si="2"/>
        <v>723.2</v>
      </c>
      <c r="AW38">
        <v>66.599999999999994</v>
      </c>
      <c r="AX38">
        <v>754.7</v>
      </c>
      <c r="AY38">
        <v>759</v>
      </c>
      <c r="BB38" t="s">
        <v>449</v>
      </c>
      <c r="BC38" t="s">
        <v>546</v>
      </c>
    </row>
    <row r="39" spans="1:55" x14ac:dyDescent="0.45">
      <c r="A39">
        <v>38</v>
      </c>
      <c r="C39">
        <v>65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30</v>
      </c>
      <c r="L39">
        <v>1</v>
      </c>
      <c r="M39">
        <v>4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f t="shared" si="4"/>
        <v>889.3</v>
      </c>
      <c r="AD39">
        <v>0</v>
      </c>
      <c r="AE39">
        <v>1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1</v>
      </c>
      <c r="AN39">
        <v>0</v>
      </c>
      <c r="AO39">
        <v>1</v>
      </c>
      <c r="AP39">
        <v>0</v>
      </c>
      <c r="AQ39">
        <v>1</v>
      </c>
      <c r="AR39">
        <v>0</v>
      </c>
      <c r="AS39">
        <v>0</v>
      </c>
      <c r="AT39">
        <f t="shared" si="3"/>
        <v>9.4</v>
      </c>
      <c r="AU39">
        <f t="shared" si="1"/>
        <v>1.3333333333333333</v>
      </c>
      <c r="AV39">
        <f t="shared" si="2"/>
        <v>889.3</v>
      </c>
      <c r="AW39">
        <v>46</v>
      </c>
      <c r="AX39">
        <v>130</v>
      </c>
      <c r="AY39">
        <v>380</v>
      </c>
      <c r="BB39" t="s">
        <v>450</v>
      </c>
      <c r="BC39" t="s">
        <v>547</v>
      </c>
    </row>
    <row r="40" spans="1:55" x14ac:dyDescent="0.45">
      <c r="A40">
        <v>39</v>
      </c>
      <c r="C40">
        <v>53.4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4.5999999999999996</v>
      </c>
      <c r="K40">
        <v>29</v>
      </c>
      <c r="L40">
        <v>0</v>
      </c>
      <c r="M40">
        <v>0</v>
      </c>
      <c r="N40">
        <v>0</v>
      </c>
      <c r="O40">
        <v>13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f t="shared" si="4"/>
        <v>850.26</v>
      </c>
      <c r="AD40">
        <v>0</v>
      </c>
      <c r="AE40">
        <v>1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1</v>
      </c>
      <c r="AN40">
        <v>0</v>
      </c>
      <c r="AO40">
        <v>1</v>
      </c>
      <c r="AP40">
        <v>0</v>
      </c>
      <c r="AQ40">
        <v>0</v>
      </c>
      <c r="AR40">
        <v>0</v>
      </c>
      <c r="AS40">
        <v>0</v>
      </c>
      <c r="AT40">
        <f t="shared" si="3"/>
        <v>10.98</v>
      </c>
      <c r="AU40">
        <f t="shared" si="1"/>
        <v>0.76666666666666661</v>
      </c>
      <c r="AV40">
        <f t="shared" si="2"/>
        <v>850.26</v>
      </c>
      <c r="AW40">
        <v>65</v>
      </c>
      <c r="AX40">
        <v>600</v>
      </c>
      <c r="AY40">
        <v>650</v>
      </c>
      <c r="BA40">
        <v>175</v>
      </c>
      <c r="BB40" t="s">
        <v>451</v>
      </c>
      <c r="BC40" t="s">
        <v>548</v>
      </c>
    </row>
    <row r="41" spans="1:55" x14ac:dyDescent="0.45">
      <c r="A41">
        <v>40</v>
      </c>
      <c r="C41">
        <v>62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9</v>
      </c>
      <c r="K41">
        <v>18</v>
      </c>
      <c r="L41">
        <v>5</v>
      </c>
      <c r="M41">
        <v>6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1</v>
      </c>
      <c r="AN41">
        <v>0</v>
      </c>
      <c r="AO41">
        <v>1</v>
      </c>
      <c r="AP41">
        <v>0</v>
      </c>
      <c r="AQ41">
        <v>1</v>
      </c>
      <c r="AR41">
        <v>0</v>
      </c>
      <c r="AS41">
        <v>0</v>
      </c>
      <c r="AT41">
        <f t="shared" si="3"/>
        <v>10.040000000000001</v>
      </c>
      <c r="AU41">
        <f t="shared" si="1"/>
        <v>3.5</v>
      </c>
      <c r="AV41">
        <f t="shared" si="2"/>
        <v>797.6</v>
      </c>
      <c r="AW41">
        <v>72</v>
      </c>
      <c r="AX41">
        <v>499</v>
      </c>
      <c r="AY41">
        <v>519</v>
      </c>
      <c r="BB41" t="s">
        <v>304</v>
      </c>
      <c r="BC41" t="s">
        <v>549</v>
      </c>
    </row>
    <row r="42" spans="1:55" x14ac:dyDescent="0.45">
      <c r="A42">
        <v>41</v>
      </c>
      <c r="C42">
        <v>66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9</v>
      </c>
      <c r="K42">
        <v>14</v>
      </c>
      <c r="L42">
        <v>5</v>
      </c>
      <c r="M42">
        <v>6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1</v>
      </c>
      <c r="AN42">
        <v>0</v>
      </c>
      <c r="AO42">
        <v>1</v>
      </c>
      <c r="AP42">
        <v>0</v>
      </c>
      <c r="AQ42">
        <v>1</v>
      </c>
      <c r="AR42">
        <v>0</v>
      </c>
      <c r="AS42">
        <v>0</v>
      </c>
      <c r="AT42">
        <f t="shared" si="3"/>
        <v>8.92</v>
      </c>
      <c r="AU42">
        <f t="shared" si="1"/>
        <v>3.5</v>
      </c>
      <c r="AV42">
        <f t="shared" si="2"/>
        <v>797.6</v>
      </c>
      <c r="AW42">
        <v>56</v>
      </c>
      <c r="AX42">
        <v>566</v>
      </c>
      <c r="AY42">
        <v>701</v>
      </c>
      <c r="BB42" t="s">
        <v>304</v>
      </c>
      <c r="BC42" t="s">
        <v>549</v>
      </c>
    </row>
    <row r="43" spans="1:55" x14ac:dyDescent="0.45">
      <c r="A43">
        <v>42</v>
      </c>
      <c r="C43">
        <v>69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5</v>
      </c>
      <c r="K43">
        <v>15</v>
      </c>
      <c r="L43">
        <v>5</v>
      </c>
      <c r="M43">
        <v>6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1</v>
      </c>
      <c r="AN43">
        <v>0</v>
      </c>
      <c r="AO43">
        <v>1</v>
      </c>
      <c r="AP43">
        <v>0</v>
      </c>
      <c r="AQ43">
        <v>1</v>
      </c>
      <c r="AR43">
        <v>0</v>
      </c>
      <c r="AS43">
        <v>0</v>
      </c>
      <c r="AT43">
        <f t="shared" si="3"/>
        <v>9.1999999999999993</v>
      </c>
      <c r="AU43">
        <f t="shared" si="1"/>
        <v>2.8333333333333335</v>
      </c>
      <c r="AV43">
        <f t="shared" si="2"/>
        <v>825.2</v>
      </c>
      <c r="AW43">
        <v>55</v>
      </c>
      <c r="AX43">
        <v>533</v>
      </c>
      <c r="AY43">
        <v>692</v>
      </c>
      <c r="BB43" t="s">
        <v>304</v>
      </c>
      <c r="BC43" t="s">
        <v>549</v>
      </c>
    </row>
    <row r="44" spans="1:55" x14ac:dyDescent="0.45">
      <c r="A44">
        <v>43</v>
      </c>
      <c r="C44">
        <v>57.7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7</v>
      </c>
      <c r="K44">
        <v>32</v>
      </c>
      <c r="L44">
        <v>0</v>
      </c>
      <c r="M44">
        <v>3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0.3</v>
      </c>
      <c r="U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f t="shared" ref="AC44:AC61" si="5">(AV44)+0</f>
        <v>883.2</v>
      </c>
      <c r="AD44">
        <v>0</v>
      </c>
      <c r="AE44">
        <v>1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1</v>
      </c>
      <c r="AN44">
        <v>0</v>
      </c>
      <c r="AO44">
        <v>1</v>
      </c>
      <c r="AP44">
        <v>0</v>
      </c>
      <c r="AQ44">
        <v>0</v>
      </c>
      <c r="AR44">
        <v>0</v>
      </c>
      <c r="AS44">
        <v>0</v>
      </c>
      <c r="AT44">
        <f t="shared" si="3"/>
        <v>8.9600000000000009</v>
      </c>
      <c r="AU44">
        <f t="shared" si="1"/>
        <v>2.1966666666666668</v>
      </c>
      <c r="AV44">
        <f t="shared" si="2"/>
        <v>883.2</v>
      </c>
      <c r="AW44">
        <v>66.900000000000006</v>
      </c>
      <c r="AX44">
        <v>806</v>
      </c>
      <c r="AY44">
        <v>829</v>
      </c>
      <c r="BA44">
        <v>282</v>
      </c>
      <c r="BB44" t="s">
        <v>452</v>
      </c>
      <c r="BC44" t="s">
        <v>550</v>
      </c>
    </row>
    <row r="45" spans="1:55" x14ac:dyDescent="0.45">
      <c r="A45">
        <v>44</v>
      </c>
      <c r="C45">
        <v>69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25</v>
      </c>
      <c r="L45">
        <v>2</v>
      </c>
      <c r="M45">
        <v>4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f t="shared" si="5"/>
        <v>879.8</v>
      </c>
      <c r="AD45">
        <v>0</v>
      </c>
      <c r="AE45">
        <v>1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1</v>
      </c>
      <c r="AN45">
        <v>0</v>
      </c>
      <c r="AO45">
        <v>1</v>
      </c>
      <c r="AP45">
        <v>0</v>
      </c>
      <c r="AQ45">
        <v>1</v>
      </c>
      <c r="AR45">
        <v>0</v>
      </c>
      <c r="AS45">
        <v>0</v>
      </c>
      <c r="AT45">
        <f t="shared" si="3"/>
        <v>9</v>
      </c>
      <c r="AU45">
        <f t="shared" si="1"/>
        <v>1.3333333333333333</v>
      </c>
      <c r="AV45">
        <f t="shared" si="2"/>
        <v>879.8</v>
      </c>
      <c r="AW45">
        <v>53.1</v>
      </c>
      <c r="AX45">
        <v>361</v>
      </c>
      <c r="AY45">
        <v>511</v>
      </c>
      <c r="BB45" t="s">
        <v>351</v>
      </c>
      <c r="BC45" t="s">
        <v>551</v>
      </c>
    </row>
    <row r="46" spans="1:55" x14ac:dyDescent="0.45">
      <c r="A46">
        <v>45</v>
      </c>
      <c r="C46">
        <v>80</v>
      </c>
      <c r="D46">
        <v>0</v>
      </c>
      <c r="E46">
        <v>0</v>
      </c>
      <c r="F46">
        <v>0</v>
      </c>
      <c r="G46">
        <v>0</v>
      </c>
      <c r="H46">
        <v>2</v>
      </c>
      <c r="I46">
        <v>0</v>
      </c>
      <c r="J46">
        <v>6</v>
      </c>
      <c r="K46">
        <v>0</v>
      </c>
      <c r="L46">
        <v>12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f t="shared" si="5"/>
        <v>695.80000000000007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1</v>
      </c>
      <c r="AN46">
        <v>0</v>
      </c>
      <c r="AO46">
        <v>1</v>
      </c>
      <c r="AP46">
        <v>0</v>
      </c>
      <c r="AQ46">
        <v>0</v>
      </c>
      <c r="AR46">
        <v>0</v>
      </c>
      <c r="AS46">
        <v>0</v>
      </c>
      <c r="AT46">
        <f t="shared" si="3"/>
        <v>17.8</v>
      </c>
      <c r="AU46">
        <f t="shared" si="1"/>
        <v>1</v>
      </c>
      <c r="AV46">
        <f t="shared" si="2"/>
        <v>695.80000000000007</v>
      </c>
      <c r="AW46">
        <v>79.5</v>
      </c>
      <c r="AX46">
        <v>897</v>
      </c>
      <c r="AY46">
        <v>931.5</v>
      </c>
      <c r="BB46" t="s">
        <v>453</v>
      </c>
      <c r="BC46" t="s">
        <v>552</v>
      </c>
    </row>
    <row r="47" spans="1:55" x14ac:dyDescent="0.45">
      <c r="A47">
        <v>46</v>
      </c>
      <c r="C47">
        <v>90</v>
      </c>
      <c r="D47">
        <v>6</v>
      </c>
      <c r="E47">
        <v>4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f t="shared" si="5"/>
        <v>847.4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1</v>
      </c>
      <c r="AN47">
        <v>1</v>
      </c>
      <c r="AO47">
        <v>1</v>
      </c>
      <c r="AP47">
        <v>0</v>
      </c>
      <c r="AQ47">
        <v>0</v>
      </c>
      <c r="AR47">
        <v>0</v>
      </c>
      <c r="AS47">
        <v>0</v>
      </c>
      <c r="AT47">
        <f t="shared" si="3"/>
        <v>-3.32</v>
      </c>
      <c r="AU47">
        <f t="shared" si="1"/>
        <v>6</v>
      </c>
      <c r="AV47">
        <f t="shared" si="2"/>
        <v>847.4</v>
      </c>
      <c r="AW47">
        <v>110</v>
      </c>
      <c r="AX47">
        <v>760</v>
      </c>
      <c r="AY47">
        <v>825</v>
      </c>
      <c r="BB47" t="s">
        <v>454</v>
      </c>
      <c r="BC47" t="s">
        <v>553</v>
      </c>
    </row>
    <row r="48" spans="1:55" x14ac:dyDescent="0.45">
      <c r="A48">
        <v>47</v>
      </c>
      <c r="C48">
        <v>87</v>
      </c>
      <c r="D48">
        <v>6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7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f t="shared" si="5"/>
        <v>894.6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1</v>
      </c>
      <c r="AN48">
        <v>1</v>
      </c>
      <c r="AO48">
        <v>1</v>
      </c>
      <c r="AP48">
        <v>0</v>
      </c>
      <c r="AQ48">
        <v>0</v>
      </c>
      <c r="AR48">
        <v>0</v>
      </c>
      <c r="AS48">
        <v>0</v>
      </c>
      <c r="AT48">
        <f t="shared" si="3"/>
        <v>-4.04</v>
      </c>
      <c r="AU48">
        <f t="shared" si="1"/>
        <v>6</v>
      </c>
      <c r="AV48">
        <f t="shared" si="2"/>
        <v>894.6</v>
      </c>
      <c r="AW48">
        <v>110</v>
      </c>
      <c r="AX48">
        <v>800</v>
      </c>
      <c r="AY48">
        <v>900</v>
      </c>
      <c r="BB48" t="s">
        <v>455</v>
      </c>
      <c r="BC48" t="s">
        <v>554</v>
      </c>
    </row>
    <row r="49" spans="1:55" x14ac:dyDescent="0.45">
      <c r="A49">
        <v>48</v>
      </c>
      <c r="C49">
        <v>90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10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f t="shared" si="5"/>
        <v>882</v>
      </c>
      <c r="AD49">
        <v>0</v>
      </c>
      <c r="AE49">
        <v>1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1</v>
      </c>
      <c r="AN49">
        <v>0</v>
      </c>
      <c r="AO49">
        <v>0</v>
      </c>
      <c r="AP49">
        <v>1</v>
      </c>
      <c r="AQ49">
        <v>0</v>
      </c>
      <c r="AR49">
        <v>0</v>
      </c>
      <c r="AS49">
        <v>0</v>
      </c>
      <c r="AT49">
        <f t="shared" si="3"/>
        <v>2.2000000000000002</v>
      </c>
      <c r="AU49">
        <f t="shared" si="1"/>
        <v>0</v>
      </c>
      <c r="AV49">
        <f t="shared" si="2"/>
        <v>882</v>
      </c>
      <c r="AW49">
        <v>100</v>
      </c>
      <c r="AX49">
        <v>396</v>
      </c>
      <c r="AY49">
        <v>504</v>
      </c>
      <c r="BB49" t="s">
        <v>456</v>
      </c>
      <c r="BC49" t="s">
        <v>555</v>
      </c>
    </row>
    <row r="50" spans="1:55" x14ac:dyDescent="0.45">
      <c r="A50">
        <v>49</v>
      </c>
      <c r="C50">
        <v>70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30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f t="shared" si="5"/>
        <v>882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1</v>
      </c>
      <c r="AN50">
        <v>0</v>
      </c>
      <c r="AO50">
        <v>0</v>
      </c>
      <c r="AP50">
        <v>0</v>
      </c>
      <c r="AQ50">
        <v>1</v>
      </c>
      <c r="AR50">
        <v>0</v>
      </c>
      <c r="AS50">
        <v>0</v>
      </c>
      <c r="AT50">
        <f t="shared" si="3"/>
        <v>6.6</v>
      </c>
      <c r="AU50">
        <f t="shared" si="1"/>
        <v>0</v>
      </c>
      <c r="AV50">
        <f t="shared" si="2"/>
        <v>882</v>
      </c>
      <c r="AW50">
        <v>69</v>
      </c>
      <c r="AX50">
        <v>441</v>
      </c>
      <c r="AY50">
        <v>587</v>
      </c>
      <c r="BB50" t="s">
        <v>456</v>
      </c>
      <c r="BC50" t="s">
        <v>555</v>
      </c>
    </row>
    <row r="51" spans="1:55" x14ac:dyDescent="0.45">
      <c r="A51">
        <v>50</v>
      </c>
      <c r="C51">
        <v>50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50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f t="shared" si="5"/>
        <v>882</v>
      </c>
      <c r="AD51">
        <v>0</v>
      </c>
      <c r="AE51">
        <v>1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1</v>
      </c>
      <c r="AN51">
        <v>0</v>
      </c>
      <c r="AO51">
        <v>1</v>
      </c>
      <c r="AP51">
        <v>0</v>
      </c>
      <c r="AQ51">
        <v>1</v>
      </c>
      <c r="AR51">
        <v>0</v>
      </c>
      <c r="AS51">
        <v>0</v>
      </c>
      <c r="AT51">
        <f t="shared" si="3"/>
        <v>11</v>
      </c>
      <c r="AU51">
        <f t="shared" si="1"/>
        <v>0</v>
      </c>
      <c r="AV51">
        <f t="shared" si="2"/>
        <v>882</v>
      </c>
      <c r="AW51">
        <v>88</v>
      </c>
      <c r="AX51">
        <v>379</v>
      </c>
      <c r="AY51">
        <v>530</v>
      </c>
      <c r="BB51" t="s">
        <v>456</v>
      </c>
      <c r="BC51" t="s">
        <v>555</v>
      </c>
    </row>
    <row r="52" spans="1:55" x14ac:dyDescent="0.45">
      <c r="A52">
        <v>51</v>
      </c>
      <c r="C52">
        <v>30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70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f t="shared" si="5"/>
        <v>882</v>
      </c>
      <c r="AD52">
        <v>0</v>
      </c>
      <c r="AE52">
        <v>1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1</v>
      </c>
      <c r="AN52">
        <v>0</v>
      </c>
      <c r="AO52">
        <v>1</v>
      </c>
      <c r="AP52">
        <v>0</v>
      </c>
      <c r="AQ52">
        <v>0</v>
      </c>
      <c r="AR52">
        <v>0</v>
      </c>
      <c r="AS52">
        <v>0</v>
      </c>
      <c r="AT52">
        <f t="shared" si="3"/>
        <v>15.4</v>
      </c>
      <c r="AU52">
        <f t="shared" si="1"/>
        <v>0</v>
      </c>
      <c r="AV52">
        <f t="shared" si="2"/>
        <v>882</v>
      </c>
      <c r="AW52">
        <v>67</v>
      </c>
      <c r="AX52">
        <v>373</v>
      </c>
      <c r="AY52">
        <v>600</v>
      </c>
      <c r="BB52" t="s">
        <v>456</v>
      </c>
      <c r="BC52" t="s">
        <v>555</v>
      </c>
    </row>
    <row r="53" spans="1:55" x14ac:dyDescent="0.45">
      <c r="A53">
        <v>52</v>
      </c>
      <c r="C53">
        <v>61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35</v>
      </c>
      <c r="L53">
        <v>0</v>
      </c>
      <c r="M53">
        <v>4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f t="shared" si="5"/>
        <v>898.8</v>
      </c>
      <c r="AD53">
        <v>0</v>
      </c>
      <c r="AE53">
        <v>1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1</v>
      </c>
      <c r="AN53">
        <v>0</v>
      </c>
      <c r="AO53">
        <v>1</v>
      </c>
      <c r="AP53">
        <v>0</v>
      </c>
      <c r="AQ53">
        <v>1</v>
      </c>
      <c r="AR53">
        <v>0</v>
      </c>
      <c r="AS53">
        <v>0</v>
      </c>
      <c r="AT53">
        <f t="shared" si="3"/>
        <v>9.8000000000000007</v>
      </c>
      <c r="AU53">
        <f t="shared" si="1"/>
        <v>1.3333333333333333</v>
      </c>
      <c r="AV53">
        <f t="shared" si="2"/>
        <v>898.8</v>
      </c>
      <c r="AW53">
        <v>55</v>
      </c>
      <c r="AX53">
        <v>376</v>
      </c>
      <c r="AY53">
        <v>480</v>
      </c>
      <c r="BB53" t="s">
        <v>253</v>
      </c>
      <c r="BC53" t="s">
        <v>556</v>
      </c>
    </row>
    <row r="54" spans="1:55" x14ac:dyDescent="0.45">
      <c r="A54">
        <v>53</v>
      </c>
      <c r="C54">
        <v>57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35</v>
      </c>
      <c r="L54">
        <v>0</v>
      </c>
      <c r="M54">
        <v>8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f t="shared" si="5"/>
        <v>915.6</v>
      </c>
      <c r="AD54">
        <v>0</v>
      </c>
      <c r="AE54">
        <v>1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1</v>
      </c>
      <c r="AN54">
        <v>0</v>
      </c>
      <c r="AO54">
        <v>1</v>
      </c>
      <c r="AP54">
        <v>0</v>
      </c>
      <c r="AQ54">
        <v>0</v>
      </c>
      <c r="AR54">
        <v>0</v>
      </c>
      <c r="AS54">
        <v>0</v>
      </c>
      <c r="AT54">
        <f t="shared" si="3"/>
        <v>9.8000000000000007</v>
      </c>
      <c r="AU54">
        <f t="shared" si="1"/>
        <v>2.6666666666666665</v>
      </c>
      <c r="AV54">
        <f t="shared" si="2"/>
        <v>915.6</v>
      </c>
      <c r="AW54">
        <v>61</v>
      </c>
      <c r="AX54">
        <v>444</v>
      </c>
      <c r="AY54">
        <v>480</v>
      </c>
      <c r="BB54" t="s">
        <v>253</v>
      </c>
      <c r="BC54" t="s">
        <v>556</v>
      </c>
    </row>
    <row r="55" spans="1:55" x14ac:dyDescent="0.45">
      <c r="A55">
        <v>54</v>
      </c>
      <c r="C55">
        <v>53.4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4.5999999999999996</v>
      </c>
      <c r="K55">
        <v>29</v>
      </c>
      <c r="L55">
        <v>0</v>
      </c>
      <c r="M55">
        <v>0</v>
      </c>
      <c r="N55">
        <v>0</v>
      </c>
      <c r="O55">
        <v>13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f t="shared" si="5"/>
        <v>850.26</v>
      </c>
      <c r="AD55">
        <v>0</v>
      </c>
      <c r="AE55">
        <v>1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1</v>
      </c>
      <c r="AN55">
        <v>0</v>
      </c>
      <c r="AO55">
        <v>1</v>
      </c>
      <c r="AP55">
        <v>0</v>
      </c>
      <c r="AQ55">
        <v>0</v>
      </c>
      <c r="AR55">
        <v>0</v>
      </c>
      <c r="AS55">
        <v>0</v>
      </c>
      <c r="AT55">
        <f t="shared" si="3"/>
        <v>10.98</v>
      </c>
      <c r="AU55">
        <f t="shared" si="1"/>
        <v>0.76666666666666661</v>
      </c>
      <c r="AV55">
        <f t="shared" si="2"/>
        <v>850.26</v>
      </c>
      <c r="AW55">
        <v>55</v>
      </c>
      <c r="AX55">
        <v>257</v>
      </c>
      <c r="AY55">
        <v>535</v>
      </c>
      <c r="BB55" t="s">
        <v>242</v>
      </c>
      <c r="BC55" t="s">
        <v>557</v>
      </c>
    </row>
    <row r="56" spans="1:55" x14ac:dyDescent="0.45">
      <c r="A56">
        <v>55</v>
      </c>
      <c r="C56">
        <v>67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16</v>
      </c>
      <c r="L56">
        <v>4</v>
      </c>
      <c r="M56">
        <v>0</v>
      </c>
      <c r="N56">
        <v>0</v>
      </c>
      <c r="O56">
        <v>13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f t="shared" si="5"/>
        <v>844</v>
      </c>
      <c r="AD56">
        <v>0</v>
      </c>
      <c r="AE56">
        <v>1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1</v>
      </c>
      <c r="AN56">
        <v>0</v>
      </c>
      <c r="AO56">
        <v>1</v>
      </c>
      <c r="AP56">
        <v>0</v>
      </c>
      <c r="AQ56">
        <v>0</v>
      </c>
      <c r="AR56">
        <v>0</v>
      </c>
      <c r="AS56">
        <v>0</v>
      </c>
      <c r="AT56">
        <f t="shared" si="3"/>
        <v>11.34</v>
      </c>
      <c r="AU56">
        <f t="shared" si="1"/>
        <v>0</v>
      </c>
      <c r="AV56">
        <f t="shared" si="2"/>
        <v>844</v>
      </c>
      <c r="AW56">
        <v>50</v>
      </c>
      <c r="AX56">
        <v>557</v>
      </c>
      <c r="AY56">
        <v>641</v>
      </c>
      <c r="BB56" t="s">
        <v>242</v>
      </c>
      <c r="BC56" t="s">
        <v>557</v>
      </c>
    </row>
    <row r="57" spans="1:55" x14ac:dyDescent="0.45">
      <c r="A57">
        <v>56</v>
      </c>
      <c r="C57">
        <v>58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29</v>
      </c>
      <c r="L57">
        <v>0</v>
      </c>
      <c r="M57">
        <v>0</v>
      </c>
      <c r="N57">
        <v>0</v>
      </c>
      <c r="O57">
        <v>13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f t="shared" si="5"/>
        <v>882</v>
      </c>
      <c r="AD57">
        <v>0</v>
      </c>
      <c r="AE57">
        <v>1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1</v>
      </c>
      <c r="AN57">
        <v>0</v>
      </c>
      <c r="AO57">
        <v>1</v>
      </c>
      <c r="AP57">
        <v>0</v>
      </c>
      <c r="AQ57">
        <v>0</v>
      </c>
      <c r="AR57">
        <v>0</v>
      </c>
      <c r="AS57">
        <v>0</v>
      </c>
      <c r="AT57">
        <f t="shared" si="3"/>
        <v>10.98</v>
      </c>
      <c r="AU57">
        <f t="shared" si="1"/>
        <v>0</v>
      </c>
      <c r="AV57">
        <f t="shared" si="2"/>
        <v>882</v>
      </c>
      <c r="AW57">
        <v>66</v>
      </c>
      <c r="AX57">
        <v>213</v>
      </c>
      <c r="AY57">
        <v>572</v>
      </c>
      <c r="BB57" t="s">
        <v>242</v>
      </c>
      <c r="BC57" t="s">
        <v>557</v>
      </c>
    </row>
    <row r="58" spans="1:55" x14ac:dyDescent="0.45">
      <c r="A58">
        <v>57</v>
      </c>
      <c r="C58">
        <v>54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29</v>
      </c>
      <c r="L58">
        <v>4</v>
      </c>
      <c r="M58">
        <v>0</v>
      </c>
      <c r="N58">
        <v>0</v>
      </c>
      <c r="O58">
        <v>13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f t="shared" si="5"/>
        <v>844</v>
      </c>
      <c r="AD58">
        <v>0</v>
      </c>
      <c r="AE58">
        <v>1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1</v>
      </c>
      <c r="AN58">
        <v>0</v>
      </c>
      <c r="AO58">
        <v>1</v>
      </c>
      <c r="AP58">
        <v>0</v>
      </c>
      <c r="AQ58">
        <v>0</v>
      </c>
      <c r="AR58">
        <v>0</v>
      </c>
      <c r="AS58">
        <v>0</v>
      </c>
      <c r="AT58">
        <f t="shared" si="3"/>
        <v>14.98</v>
      </c>
      <c r="AU58">
        <f t="shared" si="1"/>
        <v>0</v>
      </c>
      <c r="AV58">
        <f t="shared" si="2"/>
        <v>844</v>
      </c>
      <c r="AW58">
        <v>53</v>
      </c>
      <c r="AX58">
        <v>599</v>
      </c>
      <c r="AY58">
        <v>608</v>
      </c>
      <c r="BB58" t="s">
        <v>242</v>
      </c>
      <c r="BC58" t="s">
        <v>557</v>
      </c>
    </row>
    <row r="59" spans="1:55" x14ac:dyDescent="0.45">
      <c r="A59">
        <v>58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29</v>
      </c>
      <c r="L59">
        <v>0</v>
      </c>
      <c r="M59">
        <v>2</v>
      </c>
      <c r="N59">
        <v>0</v>
      </c>
      <c r="O59">
        <v>13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f t="shared" si="5"/>
        <v>890.4</v>
      </c>
      <c r="AD59">
        <v>0</v>
      </c>
      <c r="AE59">
        <v>1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1</v>
      </c>
      <c r="AN59">
        <v>0</v>
      </c>
      <c r="AO59">
        <v>1</v>
      </c>
      <c r="AP59">
        <v>0</v>
      </c>
      <c r="AQ59">
        <v>0</v>
      </c>
      <c r="AR59">
        <v>0</v>
      </c>
      <c r="AS59">
        <v>0</v>
      </c>
      <c r="AT59">
        <f t="shared" si="3"/>
        <v>10.98</v>
      </c>
      <c r="AU59">
        <f t="shared" si="1"/>
        <v>0.66666666666666663</v>
      </c>
      <c r="AV59">
        <f t="shared" si="2"/>
        <v>890.4</v>
      </c>
      <c r="AW59">
        <v>48</v>
      </c>
      <c r="AX59">
        <v>432</v>
      </c>
      <c r="AY59">
        <v>497</v>
      </c>
      <c r="BB59" t="s">
        <v>242</v>
      </c>
      <c r="BC59" t="s">
        <v>557</v>
      </c>
    </row>
    <row r="60" spans="1:55" x14ac:dyDescent="0.45">
      <c r="A60">
        <v>59</v>
      </c>
      <c r="C60">
        <v>53.4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29</v>
      </c>
      <c r="L60">
        <v>0</v>
      </c>
      <c r="M60">
        <v>4.5999999999999996</v>
      </c>
      <c r="N60">
        <v>0</v>
      </c>
      <c r="O60">
        <v>13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f t="shared" si="5"/>
        <v>901.32</v>
      </c>
      <c r="AD60">
        <v>0</v>
      </c>
      <c r="AE60">
        <v>1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1</v>
      </c>
      <c r="AN60">
        <v>0</v>
      </c>
      <c r="AO60">
        <v>1</v>
      </c>
      <c r="AP60">
        <v>0</v>
      </c>
      <c r="AQ60">
        <v>0</v>
      </c>
      <c r="AR60">
        <v>0</v>
      </c>
      <c r="AS60">
        <v>0</v>
      </c>
      <c r="AT60">
        <f t="shared" si="3"/>
        <v>10.98</v>
      </c>
      <c r="AU60">
        <f t="shared" si="1"/>
        <v>1.5333333333333332</v>
      </c>
      <c r="AV60">
        <f t="shared" si="2"/>
        <v>901.32</v>
      </c>
      <c r="AW60">
        <v>55</v>
      </c>
      <c r="AX60">
        <v>367</v>
      </c>
      <c r="AY60">
        <v>528</v>
      </c>
      <c r="BB60" t="s">
        <v>242</v>
      </c>
      <c r="BC60" t="s">
        <v>557</v>
      </c>
    </row>
    <row r="61" spans="1:55" x14ac:dyDescent="0.45">
      <c r="A61">
        <v>60</v>
      </c>
      <c r="C61">
        <v>52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29</v>
      </c>
      <c r="L61">
        <v>0</v>
      </c>
      <c r="M61">
        <v>6</v>
      </c>
      <c r="N61">
        <v>0</v>
      </c>
      <c r="O61">
        <v>13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f t="shared" si="5"/>
        <v>907.2</v>
      </c>
      <c r="AD61">
        <v>0</v>
      </c>
      <c r="AE61">
        <v>1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1</v>
      </c>
      <c r="AN61">
        <v>0</v>
      </c>
      <c r="AO61">
        <v>1</v>
      </c>
      <c r="AP61">
        <v>0</v>
      </c>
      <c r="AQ61">
        <v>0</v>
      </c>
      <c r="AR61">
        <v>0</v>
      </c>
      <c r="AS61">
        <v>0</v>
      </c>
      <c r="AT61">
        <f t="shared" si="3"/>
        <v>10.98</v>
      </c>
      <c r="AU61">
        <f t="shared" si="1"/>
        <v>2</v>
      </c>
      <c r="AV61">
        <f t="shared" si="2"/>
        <v>907.2</v>
      </c>
      <c r="AW61">
        <v>69</v>
      </c>
      <c r="AX61">
        <v>501</v>
      </c>
      <c r="AY61">
        <v>523</v>
      </c>
      <c r="BB61" t="s">
        <v>242</v>
      </c>
      <c r="BC61" t="s">
        <v>557</v>
      </c>
    </row>
    <row r="62" spans="1:55" x14ac:dyDescent="0.45">
      <c r="A62">
        <v>61</v>
      </c>
      <c r="C62">
        <v>83</v>
      </c>
      <c r="D62">
        <v>0</v>
      </c>
      <c r="E62">
        <v>0</v>
      </c>
      <c r="F62">
        <v>0</v>
      </c>
      <c r="G62">
        <v>0</v>
      </c>
      <c r="H62">
        <v>6</v>
      </c>
      <c r="I62">
        <v>0</v>
      </c>
      <c r="J62">
        <v>0</v>
      </c>
      <c r="K62">
        <v>11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1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1</v>
      </c>
      <c r="AN62">
        <v>0</v>
      </c>
      <c r="AO62">
        <v>1</v>
      </c>
      <c r="AP62">
        <v>0</v>
      </c>
      <c r="AQ62">
        <v>1</v>
      </c>
      <c r="AR62">
        <v>0</v>
      </c>
      <c r="AS62">
        <v>0</v>
      </c>
      <c r="AT62">
        <f t="shared" si="3"/>
        <v>20.479999999999997</v>
      </c>
      <c r="AU62">
        <f t="shared" si="1"/>
        <v>0</v>
      </c>
      <c r="AV62">
        <f t="shared" si="2"/>
        <v>789.6</v>
      </c>
      <c r="AW62">
        <v>89</v>
      </c>
      <c r="AX62">
        <v>1137</v>
      </c>
      <c r="BA62">
        <v>357</v>
      </c>
      <c r="BB62" t="s">
        <v>457</v>
      </c>
      <c r="BC62" t="s">
        <v>558</v>
      </c>
    </row>
    <row r="63" spans="1:55" x14ac:dyDescent="0.45">
      <c r="A63">
        <v>62</v>
      </c>
      <c r="C63">
        <v>80</v>
      </c>
      <c r="D63">
        <v>0</v>
      </c>
      <c r="E63">
        <v>0</v>
      </c>
      <c r="F63">
        <v>0</v>
      </c>
      <c r="G63">
        <v>0</v>
      </c>
      <c r="H63">
        <v>9</v>
      </c>
      <c r="I63">
        <v>0</v>
      </c>
      <c r="J63">
        <v>0</v>
      </c>
      <c r="K63">
        <v>11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1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1</v>
      </c>
      <c r="AN63">
        <v>0</v>
      </c>
      <c r="AO63">
        <v>1</v>
      </c>
      <c r="AP63">
        <v>0</v>
      </c>
      <c r="AQ63">
        <v>0</v>
      </c>
      <c r="AR63">
        <v>0</v>
      </c>
      <c r="AS63">
        <v>0</v>
      </c>
      <c r="AT63">
        <f t="shared" si="3"/>
        <v>29.18</v>
      </c>
      <c r="AU63">
        <f t="shared" si="1"/>
        <v>0</v>
      </c>
      <c r="AV63">
        <f t="shared" si="2"/>
        <v>743.4</v>
      </c>
      <c r="AW63">
        <v>82</v>
      </c>
      <c r="AX63">
        <v>1078</v>
      </c>
      <c r="BA63">
        <v>334</v>
      </c>
      <c r="BB63" t="s">
        <v>457</v>
      </c>
      <c r="BC63" t="s">
        <v>558</v>
      </c>
    </row>
    <row r="64" spans="1:55" x14ac:dyDescent="0.45">
      <c r="A64">
        <v>63</v>
      </c>
      <c r="C64">
        <v>82</v>
      </c>
      <c r="D64">
        <v>5</v>
      </c>
      <c r="E64">
        <v>5</v>
      </c>
      <c r="F64">
        <v>3</v>
      </c>
      <c r="G64">
        <v>0</v>
      </c>
      <c r="H64">
        <v>0</v>
      </c>
      <c r="I64">
        <v>0</v>
      </c>
      <c r="J64">
        <v>0</v>
      </c>
      <c r="K64">
        <v>0</v>
      </c>
      <c r="L64">
        <v>5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f>(AV64)+0</f>
        <v>749.7</v>
      </c>
      <c r="AD64">
        <v>0</v>
      </c>
      <c r="AE64">
        <v>1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1</v>
      </c>
      <c r="AN64">
        <v>0</v>
      </c>
      <c r="AO64">
        <v>1</v>
      </c>
      <c r="AP64">
        <v>0</v>
      </c>
      <c r="AQ64">
        <v>0</v>
      </c>
      <c r="AR64">
        <v>1</v>
      </c>
      <c r="AS64">
        <v>0</v>
      </c>
      <c r="AT64">
        <f t="shared" si="3"/>
        <v>8.15</v>
      </c>
      <c r="AU64">
        <f t="shared" si="1"/>
        <v>5</v>
      </c>
      <c r="AV64">
        <f t="shared" si="2"/>
        <v>749.7</v>
      </c>
      <c r="AW64">
        <v>115</v>
      </c>
      <c r="AX64">
        <v>636</v>
      </c>
      <c r="BA64">
        <v>314</v>
      </c>
      <c r="BB64" t="s">
        <v>458</v>
      </c>
      <c r="BC64" t="s">
        <v>559</v>
      </c>
    </row>
    <row r="65" spans="1:55" x14ac:dyDescent="0.45">
      <c r="A65">
        <v>64</v>
      </c>
      <c r="C65">
        <v>90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10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f>(AV65)+0</f>
        <v>787</v>
      </c>
      <c r="AD65">
        <v>0</v>
      </c>
      <c r="AE65">
        <v>1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1</v>
      </c>
      <c r="AN65">
        <v>0</v>
      </c>
      <c r="AO65">
        <v>1</v>
      </c>
      <c r="AP65">
        <v>0</v>
      </c>
      <c r="AQ65">
        <v>0</v>
      </c>
      <c r="AR65">
        <v>1</v>
      </c>
      <c r="AS65">
        <v>0</v>
      </c>
      <c r="AT65">
        <f t="shared" si="3"/>
        <v>10</v>
      </c>
      <c r="AU65">
        <f t="shared" si="1"/>
        <v>0</v>
      </c>
      <c r="AV65">
        <f t="shared" si="2"/>
        <v>787</v>
      </c>
      <c r="AW65">
        <v>93</v>
      </c>
      <c r="AX65">
        <v>731</v>
      </c>
      <c r="BB65" t="s">
        <v>459</v>
      </c>
      <c r="BC65" t="s">
        <v>560</v>
      </c>
    </row>
    <row r="66" spans="1:55" x14ac:dyDescent="0.45">
      <c r="A66">
        <v>65</v>
      </c>
      <c r="C66">
        <v>80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20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f>(AV66)+0</f>
        <v>692</v>
      </c>
      <c r="AD66">
        <v>0</v>
      </c>
      <c r="AE66">
        <v>1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1</v>
      </c>
      <c r="AN66">
        <v>0</v>
      </c>
      <c r="AO66">
        <v>1</v>
      </c>
      <c r="AP66">
        <v>0</v>
      </c>
      <c r="AQ66">
        <v>0</v>
      </c>
      <c r="AR66">
        <v>0</v>
      </c>
      <c r="AS66">
        <v>0</v>
      </c>
      <c r="AT66">
        <f t="shared" si="3"/>
        <v>20</v>
      </c>
      <c r="AU66">
        <f t="shared" ref="AU66:AU129" si="6">D66+J66/6+M66/3+(T66+S66)/10</f>
        <v>0</v>
      </c>
      <c r="AV66">
        <f t="shared" ref="AV66:AV129" si="7">882+2.1*D66-9.5*L66+4.2*M66-6.9*J66-11.8*E66-12.1*F66-15.4*H66+23.3*Q66+123*T66</f>
        <v>692</v>
      </c>
      <c r="AW66">
        <v>75</v>
      </c>
      <c r="AX66">
        <v>823</v>
      </c>
      <c r="BB66" t="s">
        <v>459</v>
      </c>
      <c r="BC66" t="s">
        <v>560</v>
      </c>
    </row>
    <row r="67" spans="1:55" x14ac:dyDescent="0.45">
      <c r="A67">
        <v>66</v>
      </c>
      <c r="C67">
        <v>90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10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1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1</v>
      </c>
      <c r="AN67">
        <v>1</v>
      </c>
      <c r="AO67">
        <v>1</v>
      </c>
      <c r="AP67">
        <v>0</v>
      </c>
      <c r="AQ67">
        <v>0</v>
      </c>
      <c r="AR67">
        <v>0</v>
      </c>
      <c r="AS67">
        <v>0</v>
      </c>
      <c r="AT67">
        <f t="shared" ref="AT67:AT130" si="8">L67+0.67*E67+0.44*P67+0.28*K67+0.22*O67+2.9*H67+1.6*F67+1.7*G67-D67</f>
        <v>10</v>
      </c>
      <c r="AU67">
        <f t="shared" si="6"/>
        <v>0</v>
      </c>
      <c r="AV67">
        <f t="shared" si="7"/>
        <v>787</v>
      </c>
      <c r="AW67">
        <v>77.599999999999994</v>
      </c>
      <c r="AX67">
        <v>862</v>
      </c>
      <c r="AY67">
        <v>916</v>
      </c>
      <c r="BB67" t="s">
        <v>460</v>
      </c>
      <c r="BC67" t="s">
        <v>561</v>
      </c>
    </row>
    <row r="68" spans="1:55" x14ac:dyDescent="0.45">
      <c r="A68">
        <v>67</v>
      </c>
      <c r="C68">
        <v>89</v>
      </c>
      <c r="D68">
        <v>0</v>
      </c>
      <c r="E68">
        <v>0</v>
      </c>
      <c r="F68">
        <v>0</v>
      </c>
      <c r="G68">
        <v>0</v>
      </c>
      <c r="H68">
        <v>0</v>
      </c>
      <c r="I68">
        <v>1</v>
      </c>
      <c r="J68">
        <v>0</v>
      </c>
      <c r="K68">
        <v>0</v>
      </c>
      <c r="L68">
        <v>10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1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1</v>
      </c>
      <c r="AN68">
        <v>1</v>
      </c>
      <c r="AO68">
        <v>1</v>
      </c>
      <c r="AP68">
        <v>0</v>
      </c>
      <c r="AQ68">
        <v>0</v>
      </c>
      <c r="AR68">
        <v>0</v>
      </c>
      <c r="AS68">
        <v>1</v>
      </c>
      <c r="AT68">
        <f t="shared" si="8"/>
        <v>10</v>
      </c>
      <c r="AU68">
        <f t="shared" si="6"/>
        <v>0</v>
      </c>
      <c r="AV68">
        <f t="shared" si="7"/>
        <v>787</v>
      </c>
      <c r="AW68">
        <v>73.5</v>
      </c>
      <c r="AX68">
        <v>972</v>
      </c>
      <c r="AY68">
        <v>1002.3</v>
      </c>
      <c r="BB68" t="s">
        <v>460</v>
      </c>
      <c r="BC68" t="s">
        <v>561</v>
      </c>
    </row>
    <row r="69" spans="1:55" x14ac:dyDescent="0.45">
      <c r="A69">
        <v>68</v>
      </c>
      <c r="C69">
        <v>87</v>
      </c>
      <c r="D69">
        <v>0</v>
      </c>
      <c r="E69">
        <v>0</v>
      </c>
      <c r="F69">
        <v>0</v>
      </c>
      <c r="G69">
        <v>0</v>
      </c>
      <c r="H69">
        <v>0</v>
      </c>
      <c r="I69">
        <v>3</v>
      </c>
      <c r="J69">
        <v>0</v>
      </c>
      <c r="K69">
        <v>0</v>
      </c>
      <c r="L69">
        <v>10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1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1</v>
      </c>
      <c r="AN69">
        <v>1</v>
      </c>
      <c r="AO69">
        <v>1</v>
      </c>
      <c r="AP69">
        <v>0</v>
      </c>
      <c r="AQ69">
        <v>0</v>
      </c>
      <c r="AR69">
        <v>0</v>
      </c>
      <c r="AS69">
        <v>1</v>
      </c>
      <c r="AT69">
        <f t="shared" si="8"/>
        <v>10</v>
      </c>
      <c r="AU69">
        <f t="shared" si="6"/>
        <v>0</v>
      </c>
      <c r="AV69">
        <f t="shared" si="7"/>
        <v>787</v>
      </c>
      <c r="AW69">
        <v>71.099999999999994</v>
      </c>
      <c r="AX69">
        <v>1062</v>
      </c>
      <c r="AY69">
        <v>1098.0999999999999</v>
      </c>
      <c r="BB69" t="s">
        <v>460</v>
      </c>
      <c r="BC69" t="s">
        <v>561</v>
      </c>
    </row>
    <row r="70" spans="1:55" x14ac:dyDescent="0.45">
      <c r="A70">
        <v>69</v>
      </c>
      <c r="C70">
        <v>85</v>
      </c>
      <c r="D70">
        <v>0</v>
      </c>
      <c r="E70">
        <v>0</v>
      </c>
      <c r="F70">
        <v>0</v>
      </c>
      <c r="G70">
        <v>0</v>
      </c>
      <c r="H70">
        <v>0</v>
      </c>
      <c r="I70">
        <v>5</v>
      </c>
      <c r="J70">
        <v>0</v>
      </c>
      <c r="K70">
        <v>0</v>
      </c>
      <c r="L70">
        <v>10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1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1</v>
      </c>
      <c r="AN70">
        <v>1</v>
      </c>
      <c r="AO70">
        <v>1</v>
      </c>
      <c r="AP70">
        <v>0</v>
      </c>
      <c r="AQ70">
        <v>0</v>
      </c>
      <c r="AR70">
        <v>0</v>
      </c>
      <c r="AS70">
        <v>1</v>
      </c>
      <c r="AT70">
        <f t="shared" si="8"/>
        <v>10</v>
      </c>
      <c r="AU70">
        <f t="shared" si="6"/>
        <v>0</v>
      </c>
      <c r="AV70">
        <f t="shared" si="7"/>
        <v>787</v>
      </c>
      <c r="AW70">
        <v>74.900000000000006</v>
      </c>
      <c r="AX70">
        <v>1152</v>
      </c>
      <c r="AY70">
        <v>1162.2</v>
      </c>
      <c r="BB70" t="s">
        <v>460</v>
      </c>
      <c r="BC70" t="s">
        <v>561</v>
      </c>
    </row>
    <row r="71" spans="1:55" x14ac:dyDescent="0.45">
      <c r="A71">
        <v>70</v>
      </c>
      <c r="C71">
        <v>97</v>
      </c>
      <c r="D71">
        <v>0</v>
      </c>
      <c r="E71">
        <v>0</v>
      </c>
      <c r="F71">
        <v>0</v>
      </c>
      <c r="G71">
        <v>0</v>
      </c>
      <c r="H71">
        <v>0</v>
      </c>
      <c r="I71">
        <v>3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f t="shared" ref="AC71:AC87" si="9">(AV71)+0</f>
        <v>882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1</v>
      </c>
      <c r="AN71">
        <v>0</v>
      </c>
      <c r="AO71">
        <v>0</v>
      </c>
      <c r="AP71">
        <v>1</v>
      </c>
      <c r="AQ71">
        <v>0</v>
      </c>
      <c r="AR71">
        <v>0</v>
      </c>
      <c r="AS71">
        <v>1</v>
      </c>
      <c r="AT71">
        <f t="shared" si="8"/>
        <v>0</v>
      </c>
      <c r="AU71">
        <f t="shared" si="6"/>
        <v>0</v>
      </c>
      <c r="AV71">
        <f t="shared" si="7"/>
        <v>882</v>
      </c>
      <c r="AX71">
        <v>535</v>
      </c>
      <c r="AY71">
        <v>633</v>
      </c>
      <c r="BA71">
        <v>243</v>
      </c>
      <c r="BB71" t="s">
        <v>461</v>
      </c>
      <c r="BC71" t="s">
        <v>562</v>
      </c>
    </row>
    <row r="72" spans="1:55" x14ac:dyDescent="0.45">
      <c r="A72">
        <v>71</v>
      </c>
      <c r="C72">
        <v>95</v>
      </c>
      <c r="D72">
        <v>0</v>
      </c>
      <c r="E72">
        <v>0</v>
      </c>
      <c r="F72">
        <v>0</v>
      </c>
      <c r="G72">
        <v>0</v>
      </c>
      <c r="H72">
        <v>0</v>
      </c>
      <c r="I72">
        <v>5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f t="shared" si="9"/>
        <v>882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1</v>
      </c>
      <c r="AN72">
        <v>0</v>
      </c>
      <c r="AO72">
        <v>0</v>
      </c>
      <c r="AP72">
        <v>1</v>
      </c>
      <c r="AQ72">
        <v>0</v>
      </c>
      <c r="AR72">
        <v>0</v>
      </c>
      <c r="AS72">
        <v>1</v>
      </c>
      <c r="AT72">
        <f t="shared" si="8"/>
        <v>0</v>
      </c>
      <c r="AU72">
        <f t="shared" si="6"/>
        <v>0</v>
      </c>
      <c r="AV72">
        <f t="shared" si="7"/>
        <v>882</v>
      </c>
      <c r="AX72">
        <v>588</v>
      </c>
      <c r="AY72">
        <v>745</v>
      </c>
      <c r="BA72">
        <v>272</v>
      </c>
      <c r="BB72" t="s">
        <v>461</v>
      </c>
      <c r="BC72" t="s">
        <v>562</v>
      </c>
    </row>
    <row r="73" spans="1:55" x14ac:dyDescent="0.45">
      <c r="A73">
        <v>72</v>
      </c>
      <c r="C73">
        <v>93</v>
      </c>
      <c r="D73">
        <v>0</v>
      </c>
      <c r="E73">
        <v>0</v>
      </c>
      <c r="F73">
        <v>0</v>
      </c>
      <c r="G73">
        <v>0</v>
      </c>
      <c r="H73">
        <v>0</v>
      </c>
      <c r="I73">
        <v>7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f t="shared" si="9"/>
        <v>882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1</v>
      </c>
      <c r="AN73">
        <v>0</v>
      </c>
      <c r="AO73">
        <v>0</v>
      </c>
      <c r="AP73">
        <v>1</v>
      </c>
      <c r="AQ73">
        <v>0</v>
      </c>
      <c r="AR73">
        <v>0</v>
      </c>
      <c r="AS73">
        <v>1</v>
      </c>
      <c r="AT73">
        <f t="shared" si="8"/>
        <v>0</v>
      </c>
      <c r="AU73">
        <f t="shared" si="6"/>
        <v>0</v>
      </c>
      <c r="AV73">
        <f t="shared" si="7"/>
        <v>882</v>
      </c>
      <c r="AX73">
        <v>711</v>
      </c>
      <c r="AY73">
        <v>877</v>
      </c>
      <c r="BA73">
        <v>298</v>
      </c>
      <c r="BB73" t="s">
        <v>461</v>
      </c>
      <c r="BC73" t="s">
        <v>562</v>
      </c>
    </row>
    <row r="74" spans="1:55" x14ac:dyDescent="0.45">
      <c r="A74">
        <v>73</v>
      </c>
      <c r="C74">
        <v>62</v>
      </c>
      <c r="D74">
        <v>5</v>
      </c>
      <c r="E74">
        <v>3</v>
      </c>
      <c r="F74">
        <v>0</v>
      </c>
      <c r="G74">
        <v>0</v>
      </c>
      <c r="H74">
        <v>0</v>
      </c>
      <c r="I74">
        <v>0</v>
      </c>
      <c r="J74">
        <v>30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f t="shared" si="9"/>
        <v>650.1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1</v>
      </c>
      <c r="AN74">
        <v>0</v>
      </c>
      <c r="AO74">
        <v>1</v>
      </c>
      <c r="AP74">
        <v>1</v>
      </c>
      <c r="AQ74">
        <v>0</v>
      </c>
      <c r="AR74">
        <v>0</v>
      </c>
      <c r="AS74">
        <v>0</v>
      </c>
      <c r="AT74">
        <f t="shared" si="8"/>
        <v>-2.9899999999999998</v>
      </c>
      <c r="AU74">
        <f t="shared" si="6"/>
        <v>10</v>
      </c>
      <c r="AV74">
        <f t="shared" si="7"/>
        <v>650.1</v>
      </c>
      <c r="AW74">
        <v>97</v>
      </c>
      <c r="AX74">
        <v>1181</v>
      </c>
      <c r="AY74">
        <v>1302</v>
      </c>
      <c r="BA74">
        <v>400</v>
      </c>
      <c r="BB74" t="s">
        <v>462</v>
      </c>
      <c r="BC74" t="s">
        <v>563</v>
      </c>
    </row>
    <row r="75" spans="1:55" x14ac:dyDescent="0.45">
      <c r="A75">
        <v>74</v>
      </c>
      <c r="C75">
        <v>61.5</v>
      </c>
      <c r="D75">
        <v>5</v>
      </c>
      <c r="E75">
        <v>3</v>
      </c>
      <c r="F75">
        <v>0</v>
      </c>
      <c r="G75">
        <v>0</v>
      </c>
      <c r="H75">
        <v>0.5</v>
      </c>
      <c r="I75">
        <v>0</v>
      </c>
      <c r="J75">
        <v>30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f t="shared" si="9"/>
        <v>642.4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1</v>
      </c>
      <c r="AN75">
        <v>0</v>
      </c>
      <c r="AO75">
        <v>1</v>
      </c>
      <c r="AP75">
        <v>1</v>
      </c>
      <c r="AQ75">
        <v>0</v>
      </c>
      <c r="AR75">
        <v>0</v>
      </c>
      <c r="AS75">
        <v>0</v>
      </c>
      <c r="AT75">
        <f t="shared" si="8"/>
        <v>-1.54</v>
      </c>
      <c r="AU75">
        <f t="shared" si="6"/>
        <v>10</v>
      </c>
      <c r="AV75">
        <f t="shared" si="7"/>
        <v>642.4</v>
      </c>
      <c r="AW75">
        <v>92</v>
      </c>
      <c r="AX75">
        <v>1299</v>
      </c>
      <c r="AY75">
        <v>1420</v>
      </c>
      <c r="BA75">
        <v>439</v>
      </c>
      <c r="BB75" t="s">
        <v>462</v>
      </c>
      <c r="BC75" t="s">
        <v>563</v>
      </c>
    </row>
    <row r="76" spans="1:55" x14ac:dyDescent="0.45">
      <c r="A76">
        <v>75</v>
      </c>
      <c r="C76">
        <v>61</v>
      </c>
      <c r="D76">
        <v>5</v>
      </c>
      <c r="E76">
        <v>3</v>
      </c>
      <c r="F76">
        <v>0</v>
      </c>
      <c r="G76">
        <v>0</v>
      </c>
      <c r="H76">
        <v>1</v>
      </c>
      <c r="I76">
        <v>0</v>
      </c>
      <c r="J76">
        <v>30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f t="shared" si="9"/>
        <v>634.70000000000005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1</v>
      </c>
      <c r="AN76">
        <v>0</v>
      </c>
      <c r="AO76">
        <v>1</v>
      </c>
      <c r="AP76">
        <v>1</v>
      </c>
      <c r="AQ76">
        <v>0</v>
      </c>
      <c r="AR76">
        <v>0</v>
      </c>
      <c r="AS76">
        <v>0</v>
      </c>
      <c r="AT76">
        <f t="shared" si="8"/>
        <v>-8.9999999999999858E-2</v>
      </c>
      <c r="AU76">
        <f t="shared" si="6"/>
        <v>10</v>
      </c>
      <c r="AV76">
        <f t="shared" si="7"/>
        <v>634.70000000000005</v>
      </c>
      <c r="AW76">
        <v>100</v>
      </c>
      <c r="AX76">
        <v>1421</v>
      </c>
      <c r="AY76">
        <v>1533</v>
      </c>
      <c r="BA76">
        <v>475</v>
      </c>
      <c r="BB76" t="s">
        <v>462</v>
      </c>
      <c r="BC76" t="s">
        <v>563</v>
      </c>
    </row>
    <row r="77" spans="1:55" x14ac:dyDescent="0.45">
      <c r="A77">
        <v>76</v>
      </c>
      <c r="C77">
        <v>60.5</v>
      </c>
      <c r="D77">
        <v>5</v>
      </c>
      <c r="E77">
        <v>3</v>
      </c>
      <c r="F77">
        <v>0</v>
      </c>
      <c r="G77">
        <v>0</v>
      </c>
      <c r="H77">
        <v>1.5</v>
      </c>
      <c r="I77">
        <v>0</v>
      </c>
      <c r="J77">
        <v>30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f t="shared" si="9"/>
        <v>627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1</v>
      </c>
      <c r="AN77">
        <v>0</v>
      </c>
      <c r="AO77">
        <v>1</v>
      </c>
      <c r="AP77">
        <v>1</v>
      </c>
      <c r="AQ77">
        <v>0</v>
      </c>
      <c r="AR77">
        <v>0</v>
      </c>
      <c r="AS77">
        <v>0</v>
      </c>
      <c r="AT77">
        <f t="shared" si="8"/>
        <v>1.3599999999999994</v>
      </c>
      <c r="AU77">
        <f t="shared" si="6"/>
        <v>10</v>
      </c>
      <c r="AV77">
        <f t="shared" si="7"/>
        <v>627</v>
      </c>
      <c r="AW77">
        <v>96</v>
      </c>
      <c r="AX77">
        <v>1553</v>
      </c>
      <c r="AY77">
        <v>1667</v>
      </c>
      <c r="BA77">
        <v>488</v>
      </c>
      <c r="BB77" t="s">
        <v>462</v>
      </c>
      <c r="BC77" t="s">
        <v>563</v>
      </c>
    </row>
    <row r="78" spans="1:55" x14ac:dyDescent="0.45">
      <c r="A78">
        <v>77</v>
      </c>
      <c r="C78">
        <v>60</v>
      </c>
      <c r="D78">
        <v>5</v>
      </c>
      <c r="E78">
        <v>3</v>
      </c>
      <c r="F78">
        <v>0</v>
      </c>
      <c r="G78">
        <v>0</v>
      </c>
      <c r="H78">
        <v>2</v>
      </c>
      <c r="I78">
        <v>0</v>
      </c>
      <c r="J78">
        <v>30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f t="shared" si="9"/>
        <v>619.30000000000007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1</v>
      </c>
      <c r="AN78">
        <v>0</v>
      </c>
      <c r="AO78">
        <v>1</v>
      </c>
      <c r="AP78">
        <v>1</v>
      </c>
      <c r="AQ78">
        <v>0</v>
      </c>
      <c r="AR78">
        <v>0</v>
      </c>
      <c r="AS78">
        <v>0</v>
      </c>
      <c r="AT78">
        <f t="shared" si="8"/>
        <v>2.8100000000000005</v>
      </c>
      <c r="AU78">
        <f t="shared" si="6"/>
        <v>10</v>
      </c>
      <c r="AV78">
        <f t="shared" si="7"/>
        <v>619.30000000000007</v>
      </c>
      <c r="AW78">
        <v>103</v>
      </c>
      <c r="AX78">
        <v>1399</v>
      </c>
      <c r="AY78">
        <v>1538</v>
      </c>
      <c r="BA78">
        <v>484</v>
      </c>
      <c r="BB78" t="s">
        <v>462</v>
      </c>
      <c r="BC78" t="s">
        <v>563</v>
      </c>
    </row>
    <row r="79" spans="1:55" x14ac:dyDescent="0.45">
      <c r="A79">
        <v>78</v>
      </c>
      <c r="C79">
        <v>59.5</v>
      </c>
      <c r="D79">
        <v>5</v>
      </c>
      <c r="E79">
        <v>3</v>
      </c>
      <c r="F79">
        <v>0</v>
      </c>
      <c r="G79">
        <v>0</v>
      </c>
      <c r="H79">
        <v>2.5</v>
      </c>
      <c r="I79">
        <v>0</v>
      </c>
      <c r="J79">
        <v>30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f t="shared" si="9"/>
        <v>611.6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1</v>
      </c>
      <c r="AN79">
        <v>0</v>
      </c>
      <c r="AO79">
        <v>1</v>
      </c>
      <c r="AP79">
        <v>1</v>
      </c>
      <c r="AQ79">
        <v>0</v>
      </c>
      <c r="AR79">
        <v>0</v>
      </c>
      <c r="AS79">
        <v>0</v>
      </c>
      <c r="AT79">
        <f t="shared" si="8"/>
        <v>4.26</v>
      </c>
      <c r="AU79">
        <f t="shared" si="6"/>
        <v>10</v>
      </c>
      <c r="AV79">
        <f t="shared" si="7"/>
        <v>611.6</v>
      </c>
      <c r="AW79">
        <v>79</v>
      </c>
      <c r="AX79">
        <v>1068</v>
      </c>
      <c r="AY79">
        <v>1115</v>
      </c>
      <c r="BA79">
        <v>403</v>
      </c>
      <c r="BB79" t="s">
        <v>462</v>
      </c>
      <c r="BC79" t="s">
        <v>563</v>
      </c>
    </row>
    <row r="80" spans="1:55" x14ac:dyDescent="0.45">
      <c r="A80">
        <v>79</v>
      </c>
      <c r="C80">
        <v>67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3</v>
      </c>
      <c r="K80">
        <v>25</v>
      </c>
      <c r="L80">
        <v>3</v>
      </c>
      <c r="M80">
        <v>2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f t="shared" si="9"/>
        <v>841.19999999999993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1</v>
      </c>
      <c r="AN80">
        <v>0</v>
      </c>
      <c r="AO80">
        <v>1</v>
      </c>
      <c r="AP80">
        <v>0</v>
      </c>
      <c r="AQ80">
        <v>0</v>
      </c>
      <c r="AR80">
        <v>0</v>
      </c>
      <c r="AS80">
        <v>0</v>
      </c>
      <c r="AT80">
        <f t="shared" si="8"/>
        <v>10</v>
      </c>
      <c r="AU80">
        <f t="shared" si="6"/>
        <v>1.1666666666666665</v>
      </c>
      <c r="AV80">
        <f t="shared" si="7"/>
        <v>841.19999999999993</v>
      </c>
      <c r="AW80">
        <v>83</v>
      </c>
      <c r="AX80">
        <v>499.1</v>
      </c>
      <c r="AY80">
        <v>708.5</v>
      </c>
      <c r="BB80" t="s">
        <v>463</v>
      </c>
      <c r="BC80" t="s">
        <v>564</v>
      </c>
    </row>
    <row r="81" spans="1:55" x14ac:dyDescent="0.45">
      <c r="A81">
        <v>80</v>
      </c>
      <c r="C81">
        <v>95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5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f t="shared" si="9"/>
        <v>882</v>
      </c>
      <c r="AD81">
        <v>0</v>
      </c>
      <c r="AE81">
        <v>1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1</v>
      </c>
      <c r="AN81">
        <v>0</v>
      </c>
      <c r="AO81">
        <v>0</v>
      </c>
      <c r="AP81">
        <v>1</v>
      </c>
      <c r="AQ81">
        <v>0</v>
      </c>
      <c r="AR81">
        <v>0</v>
      </c>
      <c r="AS81">
        <v>0</v>
      </c>
      <c r="AT81">
        <f t="shared" si="8"/>
        <v>0</v>
      </c>
      <c r="AU81">
        <f t="shared" si="6"/>
        <v>0</v>
      </c>
      <c r="AV81">
        <f t="shared" si="7"/>
        <v>882</v>
      </c>
      <c r="AW81">
        <v>115</v>
      </c>
      <c r="AX81">
        <v>369</v>
      </c>
      <c r="AY81">
        <v>455</v>
      </c>
      <c r="BB81" t="s">
        <v>464</v>
      </c>
      <c r="BC81" t="s">
        <v>565</v>
      </c>
    </row>
    <row r="82" spans="1:55" x14ac:dyDescent="0.45">
      <c r="A82">
        <v>81</v>
      </c>
      <c r="C82">
        <v>90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10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f t="shared" si="9"/>
        <v>882</v>
      </c>
      <c r="AD82">
        <v>0</v>
      </c>
      <c r="AE82">
        <v>1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1</v>
      </c>
      <c r="AN82">
        <v>0</v>
      </c>
      <c r="AO82">
        <v>0</v>
      </c>
      <c r="AP82">
        <v>1</v>
      </c>
      <c r="AQ82">
        <v>0</v>
      </c>
      <c r="AR82">
        <v>0</v>
      </c>
      <c r="AS82">
        <v>0</v>
      </c>
      <c r="AT82">
        <f t="shared" si="8"/>
        <v>0</v>
      </c>
      <c r="AU82">
        <f t="shared" si="6"/>
        <v>0</v>
      </c>
      <c r="AV82">
        <f t="shared" si="7"/>
        <v>882</v>
      </c>
      <c r="AW82">
        <v>114</v>
      </c>
      <c r="AX82">
        <v>406</v>
      </c>
      <c r="AY82">
        <v>482</v>
      </c>
      <c r="BB82" t="s">
        <v>464</v>
      </c>
      <c r="BC82" t="s">
        <v>565</v>
      </c>
    </row>
    <row r="83" spans="1:55" x14ac:dyDescent="0.45">
      <c r="A83">
        <v>82</v>
      </c>
      <c r="C83">
        <v>85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15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f t="shared" si="9"/>
        <v>882</v>
      </c>
      <c r="AD83">
        <v>0</v>
      </c>
      <c r="AE83">
        <v>1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1</v>
      </c>
      <c r="AN83">
        <v>0</v>
      </c>
      <c r="AO83">
        <v>0</v>
      </c>
      <c r="AP83">
        <v>1</v>
      </c>
      <c r="AQ83">
        <v>0</v>
      </c>
      <c r="AR83">
        <v>0</v>
      </c>
      <c r="AS83">
        <v>0</v>
      </c>
      <c r="AT83">
        <f t="shared" si="8"/>
        <v>0</v>
      </c>
      <c r="AU83">
        <f t="shared" si="6"/>
        <v>0</v>
      </c>
      <c r="AV83">
        <f t="shared" si="7"/>
        <v>882</v>
      </c>
      <c r="AW83">
        <v>113</v>
      </c>
      <c r="AX83">
        <v>439</v>
      </c>
      <c r="AY83">
        <v>546</v>
      </c>
      <c r="BB83" t="s">
        <v>464</v>
      </c>
      <c r="BC83" t="s">
        <v>565</v>
      </c>
    </row>
    <row r="84" spans="1:55" x14ac:dyDescent="0.45">
      <c r="A84">
        <v>83</v>
      </c>
      <c r="C84">
        <v>80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20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f t="shared" si="9"/>
        <v>882</v>
      </c>
      <c r="AD84">
        <v>0</v>
      </c>
      <c r="AE84">
        <v>1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1</v>
      </c>
      <c r="AN84">
        <v>0</v>
      </c>
      <c r="AO84">
        <v>0</v>
      </c>
      <c r="AP84">
        <v>1</v>
      </c>
      <c r="AQ84">
        <v>0</v>
      </c>
      <c r="AR84">
        <v>0</v>
      </c>
      <c r="AS84">
        <v>0</v>
      </c>
      <c r="AT84">
        <f t="shared" si="8"/>
        <v>0</v>
      </c>
      <c r="AU84">
        <f t="shared" si="6"/>
        <v>0</v>
      </c>
      <c r="AV84">
        <f t="shared" si="7"/>
        <v>882</v>
      </c>
      <c r="AW84">
        <v>112</v>
      </c>
      <c r="AX84">
        <v>530</v>
      </c>
      <c r="AY84">
        <v>634</v>
      </c>
      <c r="BB84" t="s">
        <v>464</v>
      </c>
      <c r="BC84" t="s">
        <v>565</v>
      </c>
    </row>
    <row r="85" spans="1:55" x14ac:dyDescent="0.45">
      <c r="A85">
        <v>84</v>
      </c>
      <c r="C85">
        <v>70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30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f t="shared" si="9"/>
        <v>882</v>
      </c>
      <c r="AD85">
        <v>0</v>
      </c>
      <c r="AE85">
        <v>1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1</v>
      </c>
      <c r="AN85">
        <v>0</v>
      </c>
      <c r="AO85">
        <v>0</v>
      </c>
      <c r="AP85">
        <v>1</v>
      </c>
      <c r="AQ85">
        <v>0</v>
      </c>
      <c r="AR85">
        <v>0</v>
      </c>
      <c r="AS85">
        <v>0</v>
      </c>
      <c r="AT85">
        <f t="shared" si="8"/>
        <v>0</v>
      </c>
      <c r="AU85">
        <f t="shared" si="6"/>
        <v>0</v>
      </c>
      <c r="AV85">
        <f t="shared" si="7"/>
        <v>882</v>
      </c>
      <c r="AW85">
        <v>110</v>
      </c>
      <c r="AX85">
        <v>551</v>
      </c>
      <c r="AY85">
        <v>681</v>
      </c>
      <c r="BB85" t="s">
        <v>464</v>
      </c>
      <c r="BC85" t="s">
        <v>565</v>
      </c>
    </row>
    <row r="86" spans="1:55" x14ac:dyDescent="0.45">
      <c r="A86">
        <v>85</v>
      </c>
      <c r="C86">
        <v>60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40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f t="shared" si="9"/>
        <v>882</v>
      </c>
      <c r="AD86">
        <v>0</v>
      </c>
      <c r="AE86">
        <v>1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1</v>
      </c>
      <c r="AN86">
        <v>0</v>
      </c>
      <c r="AO86">
        <v>0</v>
      </c>
      <c r="AP86">
        <v>1</v>
      </c>
      <c r="AQ86">
        <v>0</v>
      </c>
      <c r="AR86">
        <v>0</v>
      </c>
      <c r="AS86">
        <v>0</v>
      </c>
      <c r="AT86">
        <f t="shared" si="8"/>
        <v>0</v>
      </c>
      <c r="AU86">
        <f t="shared" si="6"/>
        <v>0</v>
      </c>
      <c r="AV86">
        <f t="shared" si="7"/>
        <v>882</v>
      </c>
      <c r="AW86">
        <v>109</v>
      </c>
      <c r="AX86">
        <v>964</v>
      </c>
      <c r="AY86">
        <v>1106</v>
      </c>
      <c r="BB86" t="s">
        <v>464</v>
      </c>
      <c r="BC86" t="s">
        <v>565</v>
      </c>
    </row>
    <row r="87" spans="1:55" x14ac:dyDescent="0.45">
      <c r="A87">
        <v>86</v>
      </c>
      <c r="C87">
        <v>50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25</v>
      </c>
      <c r="K87">
        <v>25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f t="shared" si="9"/>
        <v>709.5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1</v>
      </c>
      <c r="AN87">
        <v>0</v>
      </c>
      <c r="AO87">
        <v>1</v>
      </c>
      <c r="AP87">
        <v>0</v>
      </c>
      <c r="AQ87">
        <v>0</v>
      </c>
      <c r="AR87">
        <v>0</v>
      </c>
      <c r="AS87">
        <v>0</v>
      </c>
      <c r="AT87">
        <f t="shared" si="8"/>
        <v>7.0000000000000009</v>
      </c>
      <c r="AU87">
        <f t="shared" si="6"/>
        <v>4.166666666666667</v>
      </c>
      <c r="AV87">
        <f t="shared" si="7"/>
        <v>709.5</v>
      </c>
      <c r="AW87">
        <v>70</v>
      </c>
      <c r="AX87">
        <v>480</v>
      </c>
      <c r="AY87">
        <v>552</v>
      </c>
      <c r="BA87">
        <v>220</v>
      </c>
      <c r="BB87" t="s">
        <v>465</v>
      </c>
      <c r="BC87" t="s">
        <v>566</v>
      </c>
    </row>
    <row r="88" spans="1:55" x14ac:dyDescent="0.45">
      <c r="A88">
        <v>87</v>
      </c>
      <c r="C88">
        <v>92</v>
      </c>
      <c r="D88">
        <v>0</v>
      </c>
      <c r="E88">
        <v>0</v>
      </c>
      <c r="F88">
        <v>0</v>
      </c>
      <c r="G88">
        <v>0</v>
      </c>
      <c r="H88">
        <v>8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1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1</v>
      </c>
      <c r="AN88">
        <v>0</v>
      </c>
      <c r="AO88">
        <v>1</v>
      </c>
      <c r="AP88">
        <v>0</v>
      </c>
      <c r="AQ88">
        <v>1</v>
      </c>
      <c r="AR88">
        <v>0</v>
      </c>
      <c r="AS88">
        <v>0</v>
      </c>
      <c r="AT88">
        <f t="shared" si="8"/>
        <v>23.2</v>
      </c>
      <c r="AU88">
        <f t="shared" si="6"/>
        <v>0</v>
      </c>
      <c r="AV88">
        <f t="shared" si="7"/>
        <v>758.8</v>
      </c>
      <c r="AW88">
        <v>129</v>
      </c>
      <c r="AX88">
        <v>1560</v>
      </c>
      <c r="BA88">
        <v>468</v>
      </c>
      <c r="BB88" t="s">
        <v>466</v>
      </c>
      <c r="BC88" t="s">
        <v>567</v>
      </c>
    </row>
    <row r="89" spans="1:55" x14ac:dyDescent="0.45">
      <c r="A89">
        <v>88</v>
      </c>
      <c r="C89">
        <v>87</v>
      </c>
      <c r="D89">
        <v>0</v>
      </c>
      <c r="E89">
        <v>0</v>
      </c>
      <c r="F89">
        <v>0</v>
      </c>
      <c r="G89">
        <v>0</v>
      </c>
      <c r="H89">
        <v>8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5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1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1</v>
      </c>
      <c r="AN89">
        <v>0</v>
      </c>
      <c r="AO89">
        <v>1</v>
      </c>
      <c r="AP89">
        <v>0</v>
      </c>
      <c r="AQ89">
        <v>1</v>
      </c>
      <c r="AR89">
        <v>0</v>
      </c>
      <c r="AS89">
        <v>0</v>
      </c>
      <c r="AT89">
        <f t="shared" si="8"/>
        <v>24.3</v>
      </c>
      <c r="AU89">
        <f t="shared" si="6"/>
        <v>0</v>
      </c>
      <c r="AV89">
        <f t="shared" si="7"/>
        <v>758.8</v>
      </c>
      <c r="AW89">
        <v>120</v>
      </c>
      <c r="AX89">
        <v>1103</v>
      </c>
      <c r="BA89">
        <v>389</v>
      </c>
      <c r="BB89" t="s">
        <v>466</v>
      </c>
      <c r="BC89" t="s">
        <v>567</v>
      </c>
    </row>
    <row r="90" spans="1:55" x14ac:dyDescent="0.45">
      <c r="A90">
        <v>89</v>
      </c>
      <c r="C90">
        <v>84</v>
      </c>
      <c r="D90">
        <v>0</v>
      </c>
      <c r="E90">
        <v>0</v>
      </c>
      <c r="F90">
        <v>0</v>
      </c>
      <c r="G90">
        <v>0</v>
      </c>
      <c r="H90">
        <v>8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8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1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1</v>
      </c>
      <c r="AN90">
        <v>0</v>
      </c>
      <c r="AO90">
        <v>1</v>
      </c>
      <c r="AP90">
        <v>0</v>
      </c>
      <c r="AQ90">
        <v>1</v>
      </c>
      <c r="AR90">
        <v>0</v>
      </c>
      <c r="AS90">
        <v>0</v>
      </c>
      <c r="AT90">
        <f t="shared" si="8"/>
        <v>24.96</v>
      </c>
      <c r="AU90">
        <f t="shared" si="6"/>
        <v>0</v>
      </c>
      <c r="AV90">
        <f t="shared" si="7"/>
        <v>758.8</v>
      </c>
      <c r="AW90">
        <v>106</v>
      </c>
      <c r="AX90">
        <v>1050</v>
      </c>
      <c r="BA90">
        <v>379</v>
      </c>
      <c r="BB90" t="s">
        <v>466</v>
      </c>
      <c r="BC90" t="s">
        <v>567</v>
      </c>
    </row>
    <row r="91" spans="1:55" x14ac:dyDescent="0.45">
      <c r="A91">
        <v>90</v>
      </c>
      <c r="C91">
        <v>89</v>
      </c>
      <c r="D91">
        <v>0</v>
      </c>
      <c r="E91">
        <v>0</v>
      </c>
      <c r="F91">
        <v>0</v>
      </c>
      <c r="G91">
        <v>0</v>
      </c>
      <c r="H91">
        <v>9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2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1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1</v>
      </c>
      <c r="AN91">
        <v>0</v>
      </c>
      <c r="AO91">
        <v>1</v>
      </c>
      <c r="AP91">
        <v>0</v>
      </c>
      <c r="AQ91">
        <v>1</v>
      </c>
      <c r="AR91">
        <v>0</v>
      </c>
      <c r="AS91">
        <v>0</v>
      </c>
      <c r="AT91">
        <f t="shared" si="8"/>
        <v>26.54</v>
      </c>
      <c r="AU91">
        <f t="shared" si="6"/>
        <v>0</v>
      </c>
      <c r="AV91">
        <f t="shared" si="7"/>
        <v>743.4</v>
      </c>
      <c r="AW91">
        <v>110</v>
      </c>
      <c r="AX91">
        <v>1143</v>
      </c>
      <c r="BA91">
        <v>390</v>
      </c>
      <c r="BB91" t="s">
        <v>466</v>
      </c>
      <c r="BC91" t="s">
        <v>567</v>
      </c>
    </row>
    <row r="92" spans="1:55" x14ac:dyDescent="0.45">
      <c r="A92">
        <v>91</v>
      </c>
      <c r="C92">
        <v>86</v>
      </c>
      <c r="D92">
        <v>0</v>
      </c>
      <c r="E92">
        <v>0</v>
      </c>
      <c r="F92">
        <v>0</v>
      </c>
      <c r="G92">
        <v>0</v>
      </c>
      <c r="H92">
        <v>9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5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1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1</v>
      </c>
      <c r="AN92">
        <v>0</v>
      </c>
      <c r="AO92">
        <v>1</v>
      </c>
      <c r="AP92">
        <v>0</v>
      </c>
      <c r="AQ92">
        <v>1</v>
      </c>
      <c r="AR92">
        <v>0</v>
      </c>
      <c r="AS92">
        <v>0</v>
      </c>
      <c r="AT92">
        <f t="shared" si="8"/>
        <v>27.2</v>
      </c>
      <c r="AU92">
        <f t="shared" si="6"/>
        <v>0</v>
      </c>
      <c r="AV92">
        <f t="shared" si="7"/>
        <v>743.4</v>
      </c>
      <c r="AW92">
        <v>103</v>
      </c>
      <c r="AX92">
        <v>1079</v>
      </c>
      <c r="BA92">
        <v>370</v>
      </c>
      <c r="BB92" t="s">
        <v>466</v>
      </c>
      <c r="BC92" t="s">
        <v>567</v>
      </c>
    </row>
    <row r="93" spans="1:55" x14ac:dyDescent="0.45">
      <c r="A93">
        <v>92</v>
      </c>
      <c r="C93">
        <v>82</v>
      </c>
      <c r="D93">
        <v>0</v>
      </c>
      <c r="E93">
        <v>0</v>
      </c>
      <c r="F93">
        <v>0</v>
      </c>
      <c r="G93">
        <v>0</v>
      </c>
      <c r="H93">
        <v>9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9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1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1</v>
      </c>
      <c r="AN93">
        <v>0</v>
      </c>
      <c r="AO93">
        <v>1</v>
      </c>
      <c r="AP93">
        <v>0</v>
      </c>
      <c r="AQ93">
        <v>1</v>
      </c>
      <c r="AR93">
        <v>0</v>
      </c>
      <c r="AS93">
        <v>0</v>
      </c>
      <c r="AT93">
        <f t="shared" si="8"/>
        <v>28.08</v>
      </c>
      <c r="AU93">
        <f t="shared" si="6"/>
        <v>0</v>
      </c>
      <c r="AV93">
        <f t="shared" si="7"/>
        <v>743.4</v>
      </c>
      <c r="AW93">
        <v>99</v>
      </c>
      <c r="AX93">
        <v>1016</v>
      </c>
      <c r="BA93">
        <v>351</v>
      </c>
      <c r="BB93" t="s">
        <v>466</v>
      </c>
      <c r="BC93" t="s">
        <v>567</v>
      </c>
    </row>
    <row r="94" spans="1:55" x14ac:dyDescent="0.45">
      <c r="A94">
        <v>93</v>
      </c>
      <c r="C94">
        <v>80</v>
      </c>
      <c r="D94">
        <v>0</v>
      </c>
      <c r="E94">
        <v>0</v>
      </c>
      <c r="F94">
        <v>0</v>
      </c>
      <c r="G94">
        <v>0</v>
      </c>
      <c r="H94">
        <v>10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10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1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1</v>
      </c>
      <c r="AN94">
        <v>0</v>
      </c>
      <c r="AO94">
        <v>1</v>
      </c>
      <c r="AP94">
        <v>0</v>
      </c>
      <c r="AQ94">
        <v>1</v>
      </c>
      <c r="AR94">
        <v>0</v>
      </c>
      <c r="AS94">
        <v>0</v>
      </c>
      <c r="AT94">
        <f t="shared" si="8"/>
        <v>31.2</v>
      </c>
      <c r="AU94">
        <f t="shared" si="6"/>
        <v>0</v>
      </c>
      <c r="AV94">
        <f t="shared" si="7"/>
        <v>728</v>
      </c>
      <c r="AW94">
        <v>92</v>
      </c>
      <c r="AX94">
        <v>1008</v>
      </c>
      <c r="BA94">
        <v>343</v>
      </c>
      <c r="BB94" t="s">
        <v>466</v>
      </c>
      <c r="BC94" t="s">
        <v>567</v>
      </c>
    </row>
    <row r="95" spans="1:55" x14ac:dyDescent="0.45">
      <c r="A95">
        <v>94</v>
      </c>
      <c r="C95">
        <v>83</v>
      </c>
      <c r="D95">
        <v>4</v>
      </c>
      <c r="E95">
        <v>3</v>
      </c>
      <c r="F95">
        <v>3</v>
      </c>
      <c r="G95">
        <v>0</v>
      </c>
      <c r="H95">
        <v>0</v>
      </c>
      <c r="I95">
        <v>0</v>
      </c>
      <c r="J95">
        <v>0</v>
      </c>
      <c r="K95">
        <v>0</v>
      </c>
      <c r="L95">
        <v>7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f t="shared" ref="AC95:AC124" si="10">(AV95)+0</f>
        <v>752.2</v>
      </c>
      <c r="AD95">
        <v>0</v>
      </c>
      <c r="AE95">
        <v>1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1</v>
      </c>
      <c r="AN95">
        <v>0</v>
      </c>
      <c r="AO95">
        <v>1</v>
      </c>
      <c r="AP95">
        <v>0</v>
      </c>
      <c r="AQ95">
        <v>0</v>
      </c>
      <c r="AR95">
        <v>0</v>
      </c>
      <c r="AS95">
        <v>0</v>
      </c>
      <c r="AT95">
        <f t="shared" si="8"/>
        <v>9.81</v>
      </c>
      <c r="AU95">
        <f t="shared" si="6"/>
        <v>4</v>
      </c>
      <c r="AV95">
        <f t="shared" si="7"/>
        <v>752.2</v>
      </c>
      <c r="AX95">
        <v>829</v>
      </c>
      <c r="AY95">
        <v>884</v>
      </c>
      <c r="BB95" t="s">
        <v>467</v>
      </c>
      <c r="BC95" t="s">
        <v>568</v>
      </c>
    </row>
    <row r="96" spans="1:55" x14ac:dyDescent="0.45">
      <c r="A96">
        <v>95</v>
      </c>
      <c r="C96">
        <v>82</v>
      </c>
      <c r="D96">
        <v>5</v>
      </c>
      <c r="E96">
        <v>5</v>
      </c>
      <c r="F96">
        <v>3</v>
      </c>
      <c r="G96">
        <v>0</v>
      </c>
      <c r="H96">
        <v>0</v>
      </c>
      <c r="I96">
        <v>0</v>
      </c>
      <c r="J96">
        <v>0</v>
      </c>
      <c r="K96">
        <v>0</v>
      </c>
      <c r="L96">
        <v>5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f t="shared" si="10"/>
        <v>749.7</v>
      </c>
      <c r="AD96">
        <v>0</v>
      </c>
      <c r="AE96">
        <v>1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1</v>
      </c>
      <c r="AN96">
        <v>0</v>
      </c>
      <c r="AO96">
        <v>1</v>
      </c>
      <c r="AP96">
        <v>0</v>
      </c>
      <c r="AQ96">
        <v>0</v>
      </c>
      <c r="AR96">
        <v>0</v>
      </c>
      <c r="AS96">
        <v>0</v>
      </c>
      <c r="AT96">
        <f t="shared" si="8"/>
        <v>8.15</v>
      </c>
      <c r="AU96">
        <f t="shared" si="6"/>
        <v>5</v>
      </c>
      <c r="AV96">
        <f t="shared" si="7"/>
        <v>749.7</v>
      </c>
      <c r="AX96">
        <v>804</v>
      </c>
      <c r="AY96">
        <v>836</v>
      </c>
      <c r="BB96" t="s">
        <v>467</v>
      </c>
      <c r="BC96" t="s">
        <v>568</v>
      </c>
    </row>
    <row r="97" spans="1:55" x14ac:dyDescent="0.45">
      <c r="A97">
        <v>96</v>
      </c>
      <c r="C97">
        <v>82</v>
      </c>
      <c r="D97">
        <v>3</v>
      </c>
      <c r="E97">
        <v>7</v>
      </c>
      <c r="F97">
        <v>3</v>
      </c>
      <c r="G97">
        <v>0</v>
      </c>
      <c r="H97">
        <v>0</v>
      </c>
      <c r="I97">
        <v>0</v>
      </c>
      <c r="J97">
        <v>0</v>
      </c>
      <c r="K97">
        <v>0</v>
      </c>
      <c r="L97">
        <v>5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f t="shared" si="10"/>
        <v>721.9</v>
      </c>
      <c r="AD97">
        <v>0</v>
      </c>
      <c r="AE97">
        <v>1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1</v>
      </c>
      <c r="AN97">
        <v>0</v>
      </c>
      <c r="AO97">
        <v>1</v>
      </c>
      <c r="AP97">
        <v>0</v>
      </c>
      <c r="AQ97">
        <v>0</v>
      </c>
      <c r="AR97">
        <v>1</v>
      </c>
      <c r="AS97">
        <v>0</v>
      </c>
      <c r="AT97">
        <f t="shared" si="8"/>
        <v>11.490000000000002</v>
      </c>
      <c r="AU97">
        <f t="shared" si="6"/>
        <v>3</v>
      </c>
      <c r="AV97">
        <f t="shared" si="7"/>
        <v>721.9</v>
      </c>
      <c r="AX97">
        <v>750</v>
      </c>
      <c r="AY97">
        <v>1100</v>
      </c>
      <c r="BB97" t="s">
        <v>468</v>
      </c>
      <c r="BC97" t="s">
        <v>569</v>
      </c>
    </row>
    <row r="98" spans="1:55" x14ac:dyDescent="0.45">
      <c r="A98">
        <v>97</v>
      </c>
      <c r="C98">
        <v>47.5</v>
      </c>
      <c r="D98">
        <v>5</v>
      </c>
      <c r="E98">
        <v>0</v>
      </c>
      <c r="F98">
        <v>0</v>
      </c>
      <c r="G98">
        <v>0</v>
      </c>
      <c r="H98">
        <v>0</v>
      </c>
      <c r="I98">
        <v>0</v>
      </c>
      <c r="J98">
        <v>47.5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f t="shared" si="10"/>
        <v>564.75</v>
      </c>
      <c r="AD98">
        <v>0</v>
      </c>
      <c r="AE98">
        <v>1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1</v>
      </c>
      <c r="AN98">
        <v>0</v>
      </c>
      <c r="AO98">
        <v>0</v>
      </c>
      <c r="AP98">
        <v>1</v>
      </c>
      <c r="AQ98">
        <v>0</v>
      </c>
      <c r="AR98">
        <v>0</v>
      </c>
      <c r="AS98">
        <v>0</v>
      </c>
      <c r="AT98">
        <f t="shared" si="8"/>
        <v>-5</v>
      </c>
      <c r="AU98">
        <f t="shared" si="6"/>
        <v>12.916666666666668</v>
      </c>
      <c r="AV98">
        <f t="shared" si="7"/>
        <v>564.75</v>
      </c>
      <c r="AW98">
        <v>100</v>
      </c>
      <c r="AX98">
        <v>1710</v>
      </c>
      <c r="AY98">
        <v>1665</v>
      </c>
      <c r="BB98" t="s">
        <v>469</v>
      </c>
      <c r="BC98" t="s">
        <v>570</v>
      </c>
    </row>
    <row r="99" spans="1:55" x14ac:dyDescent="0.45">
      <c r="A99">
        <v>98</v>
      </c>
      <c r="C99">
        <v>47</v>
      </c>
      <c r="D99">
        <v>5</v>
      </c>
      <c r="E99">
        <v>1</v>
      </c>
      <c r="F99">
        <v>0</v>
      </c>
      <c r="G99">
        <v>0</v>
      </c>
      <c r="H99">
        <v>0</v>
      </c>
      <c r="I99">
        <v>0</v>
      </c>
      <c r="J99">
        <v>47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f t="shared" si="10"/>
        <v>556.40000000000009</v>
      </c>
      <c r="AD99">
        <v>0</v>
      </c>
      <c r="AE99">
        <v>1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1</v>
      </c>
      <c r="AN99">
        <v>0</v>
      </c>
      <c r="AO99">
        <v>1</v>
      </c>
      <c r="AP99">
        <v>1</v>
      </c>
      <c r="AQ99">
        <v>1</v>
      </c>
      <c r="AR99">
        <v>0</v>
      </c>
      <c r="AS99">
        <v>0</v>
      </c>
      <c r="AT99">
        <f t="shared" si="8"/>
        <v>-4.33</v>
      </c>
      <c r="AU99">
        <f t="shared" si="6"/>
        <v>12.833333333333332</v>
      </c>
      <c r="AV99">
        <f t="shared" si="7"/>
        <v>556.40000000000009</v>
      </c>
      <c r="AW99">
        <v>72</v>
      </c>
      <c r="AX99">
        <v>740</v>
      </c>
      <c r="AY99">
        <v>1255</v>
      </c>
      <c r="BB99" t="s">
        <v>469</v>
      </c>
      <c r="BC99" t="s">
        <v>570</v>
      </c>
    </row>
    <row r="100" spans="1:55" x14ac:dyDescent="0.45">
      <c r="A100">
        <v>99</v>
      </c>
      <c r="C100">
        <v>46</v>
      </c>
      <c r="D100">
        <v>5</v>
      </c>
      <c r="E100">
        <v>3</v>
      </c>
      <c r="F100">
        <v>0</v>
      </c>
      <c r="G100">
        <v>0</v>
      </c>
      <c r="H100">
        <v>0</v>
      </c>
      <c r="I100">
        <v>0</v>
      </c>
      <c r="J100">
        <v>46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f t="shared" si="10"/>
        <v>539.69999999999993</v>
      </c>
      <c r="AD100">
        <v>0</v>
      </c>
      <c r="AE100">
        <v>1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1</v>
      </c>
      <c r="AN100">
        <v>0</v>
      </c>
      <c r="AO100">
        <v>1</v>
      </c>
      <c r="AP100">
        <v>0</v>
      </c>
      <c r="AQ100">
        <v>1</v>
      </c>
      <c r="AR100">
        <v>0</v>
      </c>
      <c r="AS100">
        <v>0</v>
      </c>
      <c r="AT100">
        <f t="shared" si="8"/>
        <v>-2.9899999999999998</v>
      </c>
      <c r="AU100">
        <f t="shared" si="6"/>
        <v>12.666666666666668</v>
      </c>
      <c r="AV100">
        <f t="shared" si="7"/>
        <v>539.69999999999993</v>
      </c>
      <c r="AW100">
        <v>68</v>
      </c>
      <c r="AX100">
        <v>690</v>
      </c>
      <c r="AY100">
        <v>1355</v>
      </c>
      <c r="BB100" t="s">
        <v>469</v>
      </c>
      <c r="BC100" t="s">
        <v>570</v>
      </c>
    </row>
    <row r="101" spans="1:55" x14ac:dyDescent="0.45">
      <c r="A101">
        <v>100</v>
      </c>
      <c r="C101">
        <v>45</v>
      </c>
      <c r="D101">
        <v>5</v>
      </c>
      <c r="E101">
        <v>5</v>
      </c>
      <c r="F101">
        <v>0</v>
      </c>
      <c r="G101">
        <v>0</v>
      </c>
      <c r="H101">
        <v>0</v>
      </c>
      <c r="I101">
        <v>0</v>
      </c>
      <c r="J101">
        <v>45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f t="shared" si="10"/>
        <v>523</v>
      </c>
      <c r="AD101">
        <v>0</v>
      </c>
      <c r="AE101">
        <v>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1</v>
      </c>
      <c r="AN101">
        <v>0</v>
      </c>
      <c r="AO101">
        <v>1</v>
      </c>
      <c r="AP101">
        <v>0</v>
      </c>
      <c r="AQ101">
        <v>1</v>
      </c>
      <c r="AR101">
        <v>0</v>
      </c>
      <c r="AS101">
        <v>0</v>
      </c>
      <c r="AT101">
        <f t="shared" si="8"/>
        <v>-1.65</v>
      </c>
      <c r="AU101">
        <f t="shared" si="6"/>
        <v>12.5</v>
      </c>
      <c r="AV101">
        <f t="shared" si="7"/>
        <v>523</v>
      </c>
      <c r="AW101">
        <v>73</v>
      </c>
      <c r="AX101">
        <v>955</v>
      </c>
      <c r="AY101">
        <v>1055</v>
      </c>
      <c r="BB101" t="s">
        <v>469</v>
      </c>
      <c r="BC101" t="s">
        <v>570</v>
      </c>
    </row>
    <row r="102" spans="1:55" x14ac:dyDescent="0.45">
      <c r="A102">
        <v>101</v>
      </c>
      <c r="C102">
        <v>44</v>
      </c>
      <c r="D102">
        <v>5</v>
      </c>
      <c r="E102">
        <v>7</v>
      </c>
      <c r="F102">
        <v>0</v>
      </c>
      <c r="G102">
        <v>0</v>
      </c>
      <c r="H102">
        <v>0</v>
      </c>
      <c r="I102">
        <v>0</v>
      </c>
      <c r="J102">
        <v>44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f t="shared" si="10"/>
        <v>506.29999999999995</v>
      </c>
      <c r="AD102">
        <v>0</v>
      </c>
      <c r="AE102">
        <v>1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1</v>
      </c>
      <c r="AN102">
        <v>0</v>
      </c>
      <c r="AO102">
        <v>1</v>
      </c>
      <c r="AP102">
        <v>0</v>
      </c>
      <c r="AQ102">
        <v>0</v>
      </c>
      <c r="AR102">
        <v>0</v>
      </c>
      <c r="AS102">
        <v>0</v>
      </c>
      <c r="AT102">
        <f t="shared" si="8"/>
        <v>-0.30999999999999961</v>
      </c>
      <c r="AU102">
        <f t="shared" si="6"/>
        <v>12.333333333333332</v>
      </c>
      <c r="AV102">
        <f t="shared" si="7"/>
        <v>506.29999999999995</v>
      </c>
      <c r="AW102">
        <v>81</v>
      </c>
      <c r="AX102">
        <v>1065</v>
      </c>
      <c r="AY102">
        <v>1185</v>
      </c>
      <c r="BB102" t="s">
        <v>469</v>
      </c>
      <c r="BC102" t="s">
        <v>570</v>
      </c>
    </row>
    <row r="103" spans="1:55" x14ac:dyDescent="0.45">
      <c r="A103">
        <v>102</v>
      </c>
      <c r="C103">
        <v>61.87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38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0.13</v>
      </c>
      <c r="U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f t="shared" si="10"/>
        <v>897.99</v>
      </c>
      <c r="AD103">
        <v>0</v>
      </c>
      <c r="AE103">
        <v>1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1</v>
      </c>
      <c r="AN103">
        <v>0</v>
      </c>
      <c r="AO103">
        <v>1</v>
      </c>
      <c r="AP103">
        <v>0</v>
      </c>
      <c r="AQ103">
        <v>1</v>
      </c>
      <c r="AR103">
        <v>0</v>
      </c>
      <c r="AS103">
        <v>0</v>
      </c>
      <c r="AT103">
        <f t="shared" si="8"/>
        <v>10.64</v>
      </c>
      <c r="AU103">
        <f t="shared" si="6"/>
        <v>1.3000000000000001E-2</v>
      </c>
      <c r="AV103">
        <f t="shared" si="7"/>
        <v>897.99</v>
      </c>
      <c r="AW103">
        <v>56</v>
      </c>
      <c r="AX103">
        <v>203</v>
      </c>
      <c r="AY103">
        <v>481</v>
      </c>
      <c r="BB103" t="s">
        <v>470</v>
      </c>
      <c r="BC103" t="s">
        <v>571</v>
      </c>
    </row>
    <row r="104" spans="1:55" x14ac:dyDescent="0.45">
      <c r="A104">
        <v>103</v>
      </c>
      <c r="C104">
        <v>61.76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38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0.24</v>
      </c>
      <c r="U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f t="shared" si="10"/>
        <v>911.52</v>
      </c>
      <c r="AD104">
        <v>0</v>
      </c>
      <c r="AE104">
        <v>1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1</v>
      </c>
      <c r="AN104">
        <v>0</v>
      </c>
      <c r="AO104">
        <v>1</v>
      </c>
      <c r="AP104">
        <v>0</v>
      </c>
      <c r="AQ104">
        <v>0</v>
      </c>
      <c r="AR104">
        <v>0</v>
      </c>
      <c r="AS104">
        <v>0</v>
      </c>
      <c r="AT104">
        <f t="shared" si="8"/>
        <v>10.64</v>
      </c>
      <c r="AU104">
        <f t="shared" si="6"/>
        <v>2.4E-2</v>
      </c>
      <c r="AV104">
        <f t="shared" si="7"/>
        <v>911.52</v>
      </c>
      <c r="AW104">
        <v>58</v>
      </c>
      <c r="AX104">
        <v>301</v>
      </c>
      <c r="AY104">
        <v>578</v>
      </c>
      <c r="BB104" t="s">
        <v>470</v>
      </c>
      <c r="BC104" t="s">
        <v>571</v>
      </c>
    </row>
    <row r="105" spans="1:55" x14ac:dyDescent="0.45">
      <c r="A105">
        <v>104</v>
      </c>
      <c r="C105">
        <v>61.54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38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0.46</v>
      </c>
      <c r="U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f t="shared" si="10"/>
        <v>938.58</v>
      </c>
      <c r="AD105">
        <v>0</v>
      </c>
      <c r="AE105">
        <v>1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1</v>
      </c>
      <c r="AN105">
        <v>0</v>
      </c>
      <c r="AO105">
        <v>1</v>
      </c>
      <c r="AP105">
        <v>0</v>
      </c>
      <c r="AQ105">
        <v>0</v>
      </c>
      <c r="AR105">
        <v>0</v>
      </c>
      <c r="AS105">
        <v>0</v>
      </c>
      <c r="AT105">
        <f t="shared" si="8"/>
        <v>10.64</v>
      </c>
      <c r="AU105">
        <f t="shared" si="6"/>
        <v>4.5999999999999999E-2</v>
      </c>
      <c r="AV105">
        <f t="shared" si="7"/>
        <v>938.58</v>
      </c>
      <c r="AW105">
        <v>62</v>
      </c>
      <c r="AX105">
        <v>575</v>
      </c>
      <c r="AY105">
        <v>780</v>
      </c>
      <c r="BB105" t="s">
        <v>470</v>
      </c>
      <c r="BC105" t="s">
        <v>571</v>
      </c>
    </row>
    <row r="106" spans="1:55" x14ac:dyDescent="0.45">
      <c r="A106">
        <v>105</v>
      </c>
      <c r="C106">
        <v>83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5</v>
      </c>
      <c r="K106">
        <v>0</v>
      </c>
      <c r="L106">
        <v>12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f t="shared" si="10"/>
        <v>733.5</v>
      </c>
      <c r="AD106">
        <v>0</v>
      </c>
      <c r="AE106">
        <v>1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1</v>
      </c>
      <c r="AN106">
        <v>0</v>
      </c>
      <c r="AO106">
        <v>1</v>
      </c>
      <c r="AP106">
        <v>0</v>
      </c>
      <c r="AQ106">
        <v>1</v>
      </c>
      <c r="AR106">
        <v>0</v>
      </c>
      <c r="AS106">
        <v>0</v>
      </c>
      <c r="AT106">
        <f t="shared" si="8"/>
        <v>12</v>
      </c>
      <c r="AU106">
        <f t="shared" si="6"/>
        <v>0.83333333333333337</v>
      </c>
      <c r="AV106">
        <f t="shared" si="7"/>
        <v>733.5</v>
      </c>
      <c r="AW106">
        <v>64.5</v>
      </c>
      <c r="AX106">
        <v>509</v>
      </c>
      <c r="AY106">
        <v>628</v>
      </c>
      <c r="BA106">
        <v>442</v>
      </c>
      <c r="BB106" t="s">
        <v>471</v>
      </c>
      <c r="BC106" t="s">
        <v>572</v>
      </c>
    </row>
    <row r="107" spans="1:55" x14ac:dyDescent="0.45">
      <c r="A107">
        <v>106</v>
      </c>
      <c r="C107">
        <v>50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25</v>
      </c>
      <c r="L107">
        <v>0</v>
      </c>
      <c r="M107">
        <v>0</v>
      </c>
      <c r="N107">
        <v>0</v>
      </c>
      <c r="O107">
        <v>25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f t="shared" si="10"/>
        <v>882</v>
      </c>
      <c r="AD107">
        <v>0</v>
      </c>
      <c r="AE107">
        <v>1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1</v>
      </c>
      <c r="AN107">
        <v>0</v>
      </c>
      <c r="AO107">
        <v>1</v>
      </c>
      <c r="AP107">
        <v>0</v>
      </c>
      <c r="AQ107">
        <v>0</v>
      </c>
      <c r="AR107">
        <v>0</v>
      </c>
      <c r="AS107">
        <v>0</v>
      </c>
      <c r="AT107">
        <f t="shared" si="8"/>
        <v>12.5</v>
      </c>
      <c r="AU107">
        <f t="shared" si="6"/>
        <v>0</v>
      </c>
      <c r="AV107">
        <f t="shared" si="7"/>
        <v>882</v>
      </c>
      <c r="AW107">
        <v>55</v>
      </c>
      <c r="AX107">
        <v>200</v>
      </c>
      <c r="AY107">
        <v>530</v>
      </c>
      <c r="BA107">
        <v>145</v>
      </c>
      <c r="BB107" t="s">
        <v>472</v>
      </c>
      <c r="BC107" t="s">
        <v>573</v>
      </c>
    </row>
    <row r="108" spans="1:55" x14ac:dyDescent="0.45">
      <c r="A108">
        <v>107</v>
      </c>
      <c r="C108">
        <v>100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f t="shared" si="10"/>
        <v>882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v>1</v>
      </c>
      <c r="AN108">
        <v>1</v>
      </c>
      <c r="AO108">
        <v>0</v>
      </c>
      <c r="AP108">
        <v>0</v>
      </c>
      <c r="AQ108">
        <v>0</v>
      </c>
      <c r="AR108">
        <v>0</v>
      </c>
      <c r="AS108">
        <v>0</v>
      </c>
      <c r="AT108">
        <f t="shared" si="8"/>
        <v>0</v>
      </c>
      <c r="AU108">
        <f t="shared" si="6"/>
        <v>0</v>
      </c>
      <c r="AV108">
        <f t="shared" si="7"/>
        <v>882</v>
      </c>
      <c r="AW108">
        <v>105</v>
      </c>
      <c r="AX108">
        <v>200</v>
      </c>
      <c r="AY108">
        <v>360</v>
      </c>
      <c r="BA108">
        <v>134</v>
      </c>
      <c r="BB108" t="s">
        <v>472</v>
      </c>
      <c r="BC108" t="s">
        <v>573</v>
      </c>
    </row>
    <row r="109" spans="1:55" x14ac:dyDescent="0.45">
      <c r="A109">
        <v>108</v>
      </c>
      <c r="C109">
        <v>84.85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15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0.15</v>
      </c>
      <c r="U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f t="shared" si="10"/>
        <v>900.45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0</v>
      </c>
      <c r="AM109">
        <v>1</v>
      </c>
      <c r="AN109">
        <v>1</v>
      </c>
      <c r="AO109">
        <v>1</v>
      </c>
      <c r="AP109">
        <v>0</v>
      </c>
      <c r="AQ109">
        <v>0</v>
      </c>
      <c r="AR109">
        <v>0</v>
      </c>
      <c r="AS109">
        <v>0</v>
      </c>
      <c r="AT109">
        <f t="shared" si="8"/>
        <v>4.2</v>
      </c>
      <c r="AU109">
        <f t="shared" si="6"/>
        <v>1.4999999999999999E-2</v>
      </c>
      <c r="AV109">
        <f t="shared" si="7"/>
        <v>900.45</v>
      </c>
      <c r="AW109">
        <v>96</v>
      </c>
      <c r="AX109">
        <v>558</v>
      </c>
      <c r="BA109">
        <v>211</v>
      </c>
      <c r="BB109" t="s">
        <v>473</v>
      </c>
      <c r="BC109" t="s">
        <v>574</v>
      </c>
    </row>
    <row r="110" spans="1:55" x14ac:dyDescent="0.45">
      <c r="A110">
        <v>109</v>
      </c>
      <c r="C110">
        <v>84.75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15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0.25</v>
      </c>
      <c r="U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f t="shared" si="10"/>
        <v>912.75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  <c r="AL110">
        <v>0</v>
      </c>
      <c r="AM110">
        <v>1</v>
      </c>
      <c r="AN110">
        <v>1</v>
      </c>
      <c r="AO110">
        <v>1</v>
      </c>
      <c r="AP110">
        <v>0</v>
      </c>
      <c r="AQ110">
        <v>0</v>
      </c>
      <c r="AR110">
        <v>0</v>
      </c>
      <c r="AS110">
        <v>0</v>
      </c>
      <c r="AT110">
        <f t="shared" si="8"/>
        <v>4.2</v>
      </c>
      <c r="AU110">
        <f t="shared" si="6"/>
        <v>2.5000000000000001E-2</v>
      </c>
      <c r="AV110">
        <f t="shared" si="7"/>
        <v>912.75</v>
      </c>
      <c r="AW110">
        <v>103</v>
      </c>
      <c r="AX110">
        <v>744</v>
      </c>
      <c r="BA110">
        <v>245</v>
      </c>
      <c r="BB110" t="s">
        <v>473</v>
      </c>
      <c r="BC110" t="s">
        <v>574</v>
      </c>
    </row>
    <row r="111" spans="1:55" x14ac:dyDescent="0.45">
      <c r="A111">
        <v>110</v>
      </c>
      <c r="C111">
        <v>84.6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15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0.4</v>
      </c>
      <c r="U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f t="shared" si="10"/>
        <v>931.2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0</v>
      </c>
      <c r="AM111">
        <v>1</v>
      </c>
      <c r="AN111">
        <v>1</v>
      </c>
      <c r="AO111">
        <v>1</v>
      </c>
      <c r="AP111">
        <v>0</v>
      </c>
      <c r="AQ111">
        <v>0</v>
      </c>
      <c r="AR111">
        <v>0</v>
      </c>
      <c r="AS111">
        <v>0</v>
      </c>
      <c r="AT111">
        <f t="shared" si="8"/>
        <v>4.2</v>
      </c>
      <c r="AU111">
        <f t="shared" si="6"/>
        <v>0.04</v>
      </c>
      <c r="AV111">
        <f t="shared" si="7"/>
        <v>931.2</v>
      </c>
      <c r="AW111">
        <v>102</v>
      </c>
      <c r="AX111">
        <v>962</v>
      </c>
      <c r="BA111">
        <v>265</v>
      </c>
      <c r="BB111" t="s">
        <v>473</v>
      </c>
      <c r="BC111" t="s">
        <v>574</v>
      </c>
    </row>
    <row r="112" spans="1:55" x14ac:dyDescent="0.45">
      <c r="A112">
        <v>111</v>
      </c>
      <c r="C112">
        <v>82.35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17.5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0.15</v>
      </c>
      <c r="U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f t="shared" si="10"/>
        <v>900.45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1</v>
      </c>
      <c r="AN112">
        <v>1</v>
      </c>
      <c r="AO112">
        <v>1</v>
      </c>
      <c r="AP112">
        <v>0</v>
      </c>
      <c r="AQ112">
        <v>0</v>
      </c>
      <c r="AR112">
        <v>0</v>
      </c>
      <c r="AS112">
        <v>0</v>
      </c>
      <c r="AT112">
        <f t="shared" si="8"/>
        <v>4.9000000000000004</v>
      </c>
      <c r="AU112">
        <f t="shared" si="6"/>
        <v>1.4999999999999999E-2</v>
      </c>
      <c r="AV112">
        <f t="shared" si="7"/>
        <v>900.45</v>
      </c>
      <c r="AW112">
        <v>89</v>
      </c>
      <c r="AX112">
        <v>628</v>
      </c>
      <c r="BA112">
        <v>220</v>
      </c>
      <c r="BB112" t="s">
        <v>473</v>
      </c>
      <c r="BC112" t="s">
        <v>574</v>
      </c>
    </row>
    <row r="113" spans="1:55" x14ac:dyDescent="0.45">
      <c r="A113">
        <v>112</v>
      </c>
      <c r="C113">
        <v>82.25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17.5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0.25</v>
      </c>
      <c r="U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f t="shared" si="10"/>
        <v>912.75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0</v>
      </c>
      <c r="AM113">
        <v>1</v>
      </c>
      <c r="AN113">
        <v>1</v>
      </c>
      <c r="AO113">
        <v>1</v>
      </c>
      <c r="AP113">
        <v>0</v>
      </c>
      <c r="AQ113">
        <v>0</v>
      </c>
      <c r="AR113">
        <v>0</v>
      </c>
      <c r="AS113">
        <v>0</v>
      </c>
      <c r="AT113">
        <f t="shared" si="8"/>
        <v>4.9000000000000004</v>
      </c>
      <c r="AU113">
        <f t="shared" si="6"/>
        <v>2.5000000000000001E-2</v>
      </c>
      <c r="AV113">
        <f t="shared" si="7"/>
        <v>912.75</v>
      </c>
      <c r="AW113">
        <v>91</v>
      </c>
      <c r="AX113">
        <v>822</v>
      </c>
      <c r="BA113">
        <v>252</v>
      </c>
      <c r="BB113" t="s">
        <v>473</v>
      </c>
      <c r="BC113" t="s">
        <v>574</v>
      </c>
    </row>
    <row r="114" spans="1:55" x14ac:dyDescent="0.45">
      <c r="A114">
        <v>113</v>
      </c>
      <c r="C114">
        <v>82.1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17.5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0.4</v>
      </c>
      <c r="U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f t="shared" si="10"/>
        <v>931.2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1</v>
      </c>
      <c r="AN114">
        <v>1</v>
      </c>
      <c r="AO114">
        <v>1</v>
      </c>
      <c r="AP114">
        <v>0</v>
      </c>
      <c r="AQ114">
        <v>0</v>
      </c>
      <c r="AR114">
        <v>0</v>
      </c>
      <c r="AS114">
        <v>0</v>
      </c>
      <c r="AT114">
        <f t="shared" si="8"/>
        <v>4.9000000000000004</v>
      </c>
      <c r="AU114">
        <f t="shared" si="6"/>
        <v>0.04</v>
      </c>
      <c r="AV114">
        <f t="shared" si="7"/>
        <v>931.2</v>
      </c>
      <c r="AW114">
        <v>92</v>
      </c>
      <c r="AX114">
        <v>893</v>
      </c>
      <c r="BA114">
        <v>275</v>
      </c>
      <c r="BB114" t="s">
        <v>473</v>
      </c>
      <c r="BC114" t="s">
        <v>574</v>
      </c>
    </row>
    <row r="115" spans="1:55" x14ac:dyDescent="0.45">
      <c r="A115">
        <v>114</v>
      </c>
      <c r="C115">
        <v>79.849999999999994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20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0.15</v>
      </c>
      <c r="U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f t="shared" si="10"/>
        <v>900.45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v>1</v>
      </c>
      <c r="AN115">
        <v>1</v>
      </c>
      <c r="AO115">
        <v>1</v>
      </c>
      <c r="AP115">
        <v>0</v>
      </c>
      <c r="AQ115">
        <v>0</v>
      </c>
      <c r="AR115">
        <v>0</v>
      </c>
      <c r="AS115">
        <v>0</v>
      </c>
      <c r="AT115">
        <f t="shared" si="8"/>
        <v>5.6000000000000005</v>
      </c>
      <c r="AU115">
        <f t="shared" si="6"/>
        <v>1.4999999999999999E-2</v>
      </c>
      <c r="AV115">
        <f t="shared" si="7"/>
        <v>900.45</v>
      </c>
      <c r="AW115">
        <v>89</v>
      </c>
      <c r="AX115">
        <v>655</v>
      </c>
      <c r="BA115">
        <v>239</v>
      </c>
      <c r="BB115" t="s">
        <v>473</v>
      </c>
      <c r="BC115" t="s">
        <v>574</v>
      </c>
    </row>
    <row r="116" spans="1:55" x14ac:dyDescent="0.45">
      <c r="A116">
        <v>115</v>
      </c>
      <c r="C116">
        <v>79.75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20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0.25</v>
      </c>
      <c r="U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f t="shared" si="10"/>
        <v>912.75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1</v>
      </c>
      <c r="AN116">
        <v>1</v>
      </c>
      <c r="AO116">
        <v>1</v>
      </c>
      <c r="AP116">
        <v>0</v>
      </c>
      <c r="AQ116">
        <v>0</v>
      </c>
      <c r="AR116">
        <v>0</v>
      </c>
      <c r="AS116">
        <v>0</v>
      </c>
      <c r="AT116">
        <f t="shared" si="8"/>
        <v>5.6000000000000005</v>
      </c>
      <c r="AU116">
        <f t="shared" si="6"/>
        <v>2.5000000000000001E-2</v>
      </c>
      <c r="AV116">
        <f t="shared" si="7"/>
        <v>912.75</v>
      </c>
      <c r="AW116">
        <v>87</v>
      </c>
      <c r="AX116">
        <v>818</v>
      </c>
      <c r="BA116">
        <v>273</v>
      </c>
      <c r="BB116" t="s">
        <v>473</v>
      </c>
      <c r="BC116" t="s">
        <v>574</v>
      </c>
    </row>
    <row r="117" spans="1:55" x14ac:dyDescent="0.45">
      <c r="A117">
        <v>116</v>
      </c>
      <c r="C117">
        <v>79.599999999999994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20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0.4</v>
      </c>
      <c r="U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f t="shared" si="10"/>
        <v>931.2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0</v>
      </c>
      <c r="AM117">
        <v>1</v>
      </c>
      <c r="AN117">
        <v>1</v>
      </c>
      <c r="AO117">
        <v>1</v>
      </c>
      <c r="AP117">
        <v>0</v>
      </c>
      <c r="AQ117">
        <v>0</v>
      </c>
      <c r="AR117">
        <v>0</v>
      </c>
      <c r="AS117">
        <v>0</v>
      </c>
      <c r="AT117">
        <f t="shared" si="8"/>
        <v>5.6000000000000005</v>
      </c>
      <c r="AU117">
        <f t="shared" si="6"/>
        <v>0.04</v>
      </c>
      <c r="AV117">
        <f t="shared" si="7"/>
        <v>931.2</v>
      </c>
      <c r="AW117">
        <v>94</v>
      </c>
      <c r="AX117">
        <v>906</v>
      </c>
      <c r="BA117">
        <v>291</v>
      </c>
      <c r="BB117" t="s">
        <v>473</v>
      </c>
      <c r="BC117" t="s">
        <v>574</v>
      </c>
    </row>
    <row r="118" spans="1:55" x14ac:dyDescent="0.45">
      <c r="A118">
        <v>117</v>
      </c>
      <c r="C118">
        <v>77.349999999999994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22.5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0.15</v>
      </c>
      <c r="U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f t="shared" si="10"/>
        <v>900.45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0</v>
      </c>
      <c r="AM118">
        <v>1</v>
      </c>
      <c r="AN118">
        <v>1</v>
      </c>
      <c r="AO118">
        <v>1</v>
      </c>
      <c r="AP118">
        <v>0</v>
      </c>
      <c r="AQ118">
        <v>0</v>
      </c>
      <c r="AR118">
        <v>0</v>
      </c>
      <c r="AS118">
        <v>0</v>
      </c>
      <c r="AT118">
        <f t="shared" si="8"/>
        <v>6.3000000000000007</v>
      </c>
      <c r="AU118">
        <f t="shared" si="6"/>
        <v>1.4999999999999999E-2</v>
      </c>
      <c r="AV118">
        <f t="shared" si="7"/>
        <v>900.45</v>
      </c>
      <c r="AW118">
        <v>89</v>
      </c>
      <c r="AX118">
        <v>734</v>
      </c>
      <c r="BA118">
        <v>262</v>
      </c>
      <c r="BB118" t="s">
        <v>473</v>
      </c>
      <c r="BC118" t="s">
        <v>574</v>
      </c>
    </row>
    <row r="119" spans="1:55" x14ac:dyDescent="0.45">
      <c r="A119">
        <v>118</v>
      </c>
      <c r="C119">
        <v>77.25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22.5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0.25</v>
      </c>
      <c r="U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f t="shared" si="10"/>
        <v>912.75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0</v>
      </c>
      <c r="AM119">
        <v>1</v>
      </c>
      <c r="AN119">
        <v>1</v>
      </c>
      <c r="AO119">
        <v>1</v>
      </c>
      <c r="AP119">
        <v>0</v>
      </c>
      <c r="AQ119">
        <v>0</v>
      </c>
      <c r="AR119">
        <v>0</v>
      </c>
      <c r="AS119">
        <v>0</v>
      </c>
      <c r="AT119">
        <f t="shared" si="8"/>
        <v>6.3000000000000007</v>
      </c>
      <c r="AU119">
        <f t="shared" si="6"/>
        <v>2.5000000000000001E-2</v>
      </c>
      <c r="AV119">
        <f t="shared" si="7"/>
        <v>912.75</v>
      </c>
      <c r="AW119">
        <v>99</v>
      </c>
      <c r="AX119">
        <v>854</v>
      </c>
      <c r="BA119">
        <v>290</v>
      </c>
      <c r="BB119" t="s">
        <v>473</v>
      </c>
      <c r="BC119" t="s">
        <v>574</v>
      </c>
    </row>
    <row r="120" spans="1:55" x14ac:dyDescent="0.45">
      <c r="A120">
        <v>119</v>
      </c>
      <c r="C120">
        <v>77.099999999999994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22.5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0.4</v>
      </c>
      <c r="U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f t="shared" si="10"/>
        <v>931.2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>
        <v>0</v>
      </c>
      <c r="AM120">
        <v>1</v>
      </c>
      <c r="AN120">
        <v>1</v>
      </c>
      <c r="AO120">
        <v>1</v>
      </c>
      <c r="AP120">
        <v>0</v>
      </c>
      <c r="AQ120">
        <v>0</v>
      </c>
      <c r="AR120">
        <v>0</v>
      </c>
      <c r="AS120">
        <v>0</v>
      </c>
      <c r="AT120">
        <f t="shared" si="8"/>
        <v>6.3000000000000007</v>
      </c>
      <c r="AU120">
        <f t="shared" si="6"/>
        <v>0.04</v>
      </c>
      <c r="AV120">
        <f t="shared" si="7"/>
        <v>931.2</v>
      </c>
      <c r="AW120">
        <v>100</v>
      </c>
      <c r="AX120">
        <v>930</v>
      </c>
      <c r="BA120">
        <v>303</v>
      </c>
      <c r="BB120" t="s">
        <v>473</v>
      </c>
      <c r="BC120" t="s">
        <v>574</v>
      </c>
    </row>
    <row r="121" spans="1:55" x14ac:dyDescent="0.45">
      <c r="A121">
        <v>120</v>
      </c>
      <c r="C121">
        <v>99.801699999999997</v>
      </c>
      <c r="D121">
        <v>0</v>
      </c>
      <c r="E121">
        <v>0</v>
      </c>
      <c r="F121">
        <v>0</v>
      </c>
      <c r="G121">
        <v>0</v>
      </c>
      <c r="H121">
        <v>0.1983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f t="shared" si="10"/>
        <v>878.94618000000003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0</v>
      </c>
      <c r="AM121">
        <v>1</v>
      </c>
      <c r="AN121">
        <v>1</v>
      </c>
      <c r="AO121">
        <v>0</v>
      </c>
      <c r="AP121">
        <v>0</v>
      </c>
      <c r="AQ121">
        <v>0</v>
      </c>
      <c r="AR121">
        <v>0</v>
      </c>
      <c r="AS121">
        <v>0</v>
      </c>
      <c r="AT121">
        <f t="shared" si="8"/>
        <v>0.57506999999999997</v>
      </c>
      <c r="AU121">
        <f t="shared" si="6"/>
        <v>0</v>
      </c>
      <c r="AV121">
        <f t="shared" si="7"/>
        <v>878.94618000000003</v>
      </c>
      <c r="AW121">
        <v>102</v>
      </c>
      <c r="AX121">
        <v>170</v>
      </c>
      <c r="BB121" t="s">
        <v>474</v>
      </c>
      <c r="BC121" t="s">
        <v>575</v>
      </c>
    </row>
    <row r="122" spans="1:55" x14ac:dyDescent="0.45">
      <c r="A122">
        <v>121</v>
      </c>
      <c r="C122">
        <v>99.801699999999997</v>
      </c>
      <c r="D122">
        <v>0</v>
      </c>
      <c r="E122">
        <v>0</v>
      </c>
      <c r="F122">
        <v>0</v>
      </c>
      <c r="G122">
        <v>0</v>
      </c>
      <c r="H122">
        <v>0.1983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f t="shared" si="10"/>
        <v>878.94618000000003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1</v>
      </c>
      <c r="AN122">
        <v>1</v>
      </c>
      <c r="AO122">
        <v>0</v>
      </c>
      <c r="AP122">
        <v>0</v>
      </c>
      <c r="AQ122">
        <v>0</v>
      </c>
      <c r="AR122">
        <v>0</v>
      </c>
      <c r="AS122">
        <v>0</v>
      </c>
      <c r="AT122">
        <f t="shared" si="8"/>
        <v>0.57506999999999997</v>
      </c>
      <c r="AU122">
        <f t="shared" si="6"/>
        <v>0</v>
      </c>
      <c r="AV122">
        <f t="shared" si="7"/>
        <v>878.94618000000003</v>
      </c>
      <c r="AW122">
        <v>102</v>
      </c>
      <c r="AX122">
        <v>275</v>
      </c>
      <c r="BB122" t="s">
        <v>474</v>
      </c>
      <c r="BC122" t="s">
        <v>575</v>
      </c>
    </row>
    <row r="123" spans="1:55" x14ac:dyDescent="0.45">
      <c r="A123">
        <v>122</v>
      </c>
      <c r="C123">
        <v>99.801699999999997</v>
      </c>
      <c r="D123">
        <v>0</v>
      </c>
      <c r="E123">
        <v>0</v>
      </c>
      <c r="F123">
        <v>0</v>
      </c>
      <c r="G123">
        <v>0</v>
      </c>
      <c r="H123">
        <v>0.1983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f t="shared" si="10"/>
        <v>878.94618000000003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1</v>
      </c>
      <c r="AN123">
        <v>1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f t="shared" si="8"/>
        <v>0.57506999999999997</v>
      </c>
      <c r="AU123">
        <f t="shared" si="6"/>
        <v>0</v>
      </c>
      <c r="AV123">
        <f t="shared" si="7"/>
        <v>878.94618000000003</v>
      </c>
      <c r="AW123">
        <v>102</v>
      </c>
      <c r="AX123">
        <v>380</v>
      </c>
      <c r="BB123" t="s">
        <v>474</v>
      </c>
      <c r="BC123" t="s">
        <v>575</v>
      </c>
    </row>
    <row r="124" spans="1:55" x14ac:dyDescent="0.45">
      <c r="A124">
        <v>123</v>
      </c>
      <c r="C124">
        <v>99.696799999999996</v>
      </c>
      <c r="D124">
        <v>0</v>
      </c>
      <c r="E124">
        <v>0</v>
      </c>
      <c r="F124">
        <v>0</v>
      </c>
      <c r="G124">
        <v>0</v>
      </c>
      <c r="H124">
        <v>0.30320000000000003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f t="shared" si="10"/>
        <v>877.33072000000004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1</v>
      </c>
      <c r="AN124">
        <v>1</v>
      </c>
      <c r="AO124">
        <v>0</v>
      </c>
      <c r="AP124">
        <v>0</v>
      </c>
      <c r="AQ124">
        <v>0</v>
      </c>
      <c r="AR124">
        <v>0</v>
      </c>
      <c r="AS124">
        <v>0</v>
      </c>
      <c r="AT124">
        <f t="shared" si="8"/>
        <v>0.87928000000000006</v>
      </c>
      <c r="AU124">
        <f t="shared" si="6"/>
        <v>0</v>
      </c>
      <c r="AV124">
        <f t="shared" si="7"/>
        <v>877.33072000000004</v>
      </c>
      <c r="AW124">
        <v>104</v>
      </c>
      <c r="AX124">
        <v>483</v>
      </c>
      <c r="BB124" t="s">
        <v>474</v>
      </c>
      <c r="BC124" t="s">
        <v>575</v>
      </c>
    </row>
    <row r="125" spans="1:55" x14ac:dyDescent="0.45">
      <c r="A125">
        <v>124</v>
      </c>
      <c r="C125">
        <v>93</v>
      </c>
      <c r="D125">
        <v>0</v>
      </c>
      <c r="E125">
        <v>0</v>
      </c>
      <c r="F125">
        <v>0</v>
      </c>
      <c r="G125">
        <v>0</v>
      </c>
      <c r="H125">
        <v>7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1</v>
      </c>
      <c r="AN125">
        <v>0</v>
      </c>
      <c r="AO125">
        <v>1</v>
      </c>
      <c r="AP125">
        <v>0</v>
      </c>
      <c r="AQ125">
        <v>1</v>
      </c>
      <c r="AR125">
        <v>0</v>
      </c>
      <c r="AS125">
        <v>0</v>
      </c>
      <c r="AT125">
        <f t="shared" si="8"/>
        <v>20.3</v>
      </c>
      <c r="AU125">
        <f t="shared" si="6"/>
        <v>0</v>
      </c>
      <c r="AV125">
        <f t="shared" si="7"/>
        <v>774.2</v>
      </c>
      <c r="AW125">
        <v>130</v>
      </c>
      <c r="AX125">
        <v>1847</v>
      </c>
      <c r="BA125">
        <v>560</v>
      </c>
      <c r="BB125" t="s">
        <v>475</v>
      </c>
      <c r="BC125" t="s">
        <v>558</v>
      </c>
    </row>
    <row r="126" spans="1:55" x14ac:dyDescent="0.45">
      <c r="A126">
        <v>125</v>
      </c>
      <c r="C126">
        <v>92</v>
      </c>
      <c r="D126">
        <v>0</v>
      </c>
      <c r="E126">
        <v>0</v>
      </c>
      <c r="F126">
        <v>0</v>
      </c>
      <c r="G126">
        <v>0</v>
      </c>
      <c r="H126">
        <v>7</v>
      </c>
      <c r="I126">
        <v>0</v>
      </c>
      <c r="J126">
        <v>0</v>
      </c>
      <c r="K126">
        <v>1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1</v>
      </c>
      <c r="AN126">
        <v>0</v>
      </c>
      <c r="AO126">
        <v>1</v>
      </c>
      <c r="AP126">
        <v>0</v>
      </c>
      <c r="AQ126">
        <v>1</v>
      </c>
      <c r="AR126">
        <v>0</v>
      </c>
      <c r="AS126">
        <v>0</v>
      </c>
      <c r="AT126">
        <f t="shared" si="8"/>
        <v>20.580000000000002</v>
      </c>
      <c r="AU126">
        <f t="shared" si="6"/>
        <v>0</v>
      </c>
      <c r="AV126">
        <f t="shared" si="7"/>
        <v>774.2</v>
      </c>
      <c r="AW126">
        <v>124</v>
      </c>
      <c r="AX126">
        <v>1785</v>
      </c>
      <c r="BA126">
        <v>525</v>
      </c>
      <c r="BB126" t="s">
        <v>475</v>
      </c>
      <c r="BC126" t="s">
        <v>558</v>
      </c>
    </row>
    <row r="127" spans="1:55" x14ac:dyDescent="0.45">
      <c r="A127">
        <v>126</v>
      </c>
      <c r="C127">
        <v>89</v>
      </c>
      <c r="D127">
        <v>0</v>
      </c>
      <c r="E127">
        <v>0</v>
      </c>
      <c r="F127">
        <v>0</v>
      </c>
      <c r="G127">
        <v>0</v>
      </c>
      <c r="H127">
        <v>7</v>
      </c>
      <c r="I127">
        <v>0</v>
      </c>
      <c r="J127">
        <v>0</v>
      </c>
      <c r="K127">
        <v>4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1</v>
      </c>
      <c r="AN127">
        <v>0</v>
      </c>
      <c r="AO127">
        <v>1</v>
      </c>
      <c r="AP127">
        <v>0</v>
      </c>
      <c r="AQ127">
        <v>1</v>
      </c>
      <c r="AR127">
        <v>0</v>
      </c>
      <c r="AS127">
        <v>0</v>
      </c>
      <c r="AT127">
        <f t="shared" si="8"/>
        <v>21.42</v>
      </c>
      <c r="AU127">
        <f t="shared" si="6"/>
        <v>0</v>
      </c>
      <c r="AV127">
        <f t="shared" si="7"/>
        <v>774.2</v>
      </c>
      <c r="AW127">
        <v>115</v>
      </c>
      <c r="AX127">
        <v>1539</v>
      </c>
      <c r="BA127">
        <v>472</v>
      </c>
      <c r="BB127" t="s">
        <v>475</v>
      </c>
      <c r="BC127" t="s">
        <v>558</v>
      </c>
    </row>
    <row r="128" spans="1:55" x14ac:dyDescent="0.45">
      <c r="A128">
        <v>127</v>
      </c>
      <c r="C128">
        <v>87</v>
      </c>
      <c r="D128">
        <v>0</v>
      </c>
      <c r="E128">
        <v>0</v>
      </c>
      <c r="F128">
        <v>0</v>
      </c>
      <c r="G128">
        <v>0</v>
      </c>
      <c r="H128">
        <v>7</v>
      </c>
      <c r="I128">
        <v>0</v>
      </c>
      <c r="J128">
        <v>0</v>
      </c>
      <c r="K128">
        <v>6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1</v>
      </c>
      <c r="AN128">
        <v>0</v>
      </c>
      <c r="AO128">
        <v>1</v>
      </c>
      <c r="AP128">
        <v>0</v>
      </c>
      <c r="AQ128">
        <v>1</v>
      </c>
      <c r="AR128">
        <v>0</v>
      </c>
      <c r="AS128">
        <v>0</v>
      </c>
      <c r="AT128">
        <f t="shared" si="8"/>
        <v>21.98</v>
      </c>
      <c r="AU128">
        <f t="shared" si="6"/>
        <v>0</v>
      </c>
      <c r="AV128">
        <f t="shared" si="7"/>
        <v>774.2</v>
      </c>
      <c r="AW128">
        <v>97</v>
      </c>
      <c r="AX128">
        <v>1144</v>
      </c>
      <c r="BA128">
        <v>372</v>
      </c>
      <c r="BB128" t="s">
        <v>475</v>
      </c>
      <c r="BC128" t="s">
        <v>558</v>
      </c>
    </row>
    <row r="129" spans="1:55" x14ac:dyDescent="0.45">
      <c r="A129">
        <v>128</v>
      </c>
      <c r="C129">
        <v>84</v>
      </c>
      <c r="D129">
        <v>0</v>
      </c>
      <c r="E129">
        <v>0</v>
      </c>
      <c r="F129">
        <v>0</v>
      </c>
      <c r="G129">
        <v>0</v>
      </c>
      <c r="H129">
        <v>7</v>
      </c>
      <c r="I129">
        <v>0</v>
      </c>
      <c r="J129">
        <v>0</v>
      </c>
      <c r="K129">
        <v>9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1</v>
      </c>
      <c r="AN129">
        <v>0</v>
      </c>
      <c r="AO129">
        <v>1</v>
      </c>
      <c r="AP129">
        <v>0</v>
      </c>
      <c r="AQ129">
        <v>1</v>
      </c>
      <c r="AR129">
        <v>0</v>
      </c>
      <c r="AS129">
        <v>0</v>
      </c>
      <c r="AT129">
        <f t="shared" si="8"/>
        <v>22.82</v>
      </c>
      <c r="AU129">
        <f t="shared" si="6"/>
        <v>0</v>
      </c>
      <c r="AV129">
        <f t="shared" si="7"/>
        <v>774.2</v>
      </c>
      <c r="AW129">
        <v>89</v>
      </c>
      <c r="AX129">
        <v>1010</v>
      </c>
      <c r="BA129">
        <v>335</v>
      </c>
      <c r="BB129" t="s">
        <v>475</v>
      </c>
      <c r="BC129" t="s">
        <v>558</v>
      </c>
    </row>
    <row r="130" spans="1:55" x14ac:dyDescent="0.45">
      <c r="A130">
        <v>129</v>
      </c>
      <c r="C130">
        <v>82</v>
      </c>
      <c r="D130">
        <v>0</v>
      </c>
      <c r="E130">
        <v>0</v>
      </c>
      <c r="F130">
        <v>0</v>
      </c>
      <c r="G130">
        <v>0</v>
      </c>
      <c r="H130">
        <v>7</v>
      </c>
      <c r="I130">
        <v>0</v>
      </c>
      <c r="J130">
        <v>0</v>
      </c>
      <c r="K130">
        <v>11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1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0</v>
      </c>
      <c r="AM130">
        <v>1</v>
      </c>
      <c r="AN130">
        <v>0</v>
      </c>
      <c r="AO130">
        <v>1</v>
      </c>
      <c r="AP130">
        <v>0</v>
      </c>
      <c r="AQ130">
        <v>0</v>
      </c>
      <c r="AR130">
        <v>0</v>
      </c>
      <c r="AS130">
        <v>0</v>
      </c>
      <c r="AT130">
        <f t="shared" si="8"/>
        <v>23.380000000000003</v>
      </c>
      <c r="AU130">
        <f t="shared" ref="AU130:AU193" si="11">D130+J130/6+M130/3+(T130+S130)/10</f>
        <v>0</v>
      </c>
      <c r="AV130">
        <f t="shared" ref="AV130:AV193" si="12">882+2.1*D130-9.5*L130+4.2*M130-6.9*J130-11.8*E130-12.1*F130-15.4*H130+23.3*Q130+123*T130</f>
        <v>774.2</v>
      </c>
      <c r="AW130">
        <v>86</v>
      </c>
      <c r="AX130">
        <v>985</v>
      </c>
      <c r="BA130">
        <v>325</v>
      </c>
      <c r="BB130" t="s">
        <v>475</v>
      </c>
      <c r="BC130" t="s">
        <v>558</v>
      </c>
    </row>
    <row r="131" spans="1:55" x14ac:dyDescent="0.45">
      <c r="A131">
        <v>130</v>
      </c>
      <c r="C131">
        <v>62</v>
      </c>
      <c r="D131">
        <v>0</v>
      </c>
      <c r="E131">
        <v>0</v>
      </c>
      <c r="F131">
        <v>2</v>
      </c>
      <c r="G131">
        <v>0</v>
      </c>
      <c r="H131">
        <v>3</v>
      </c>
      <c r="I131">
        <v>0</v>
      </c>
      <c r="J131">
        <v>33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1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0</v>
      </c>
      <c r="AM131">
        <v>1</v>
      </c>
      <c r="AN131">
        <v>0</v>
      </c>
      <c r="AO131">
        <v>1</v>
      </c>
      <c r="AP131">
        <v>0</v>
      </c>
      <c r="AQ131">
        <v>0</v>
      </c>
      <c r="AR131">
        <v>0</v>
      </c>
      <c r="AS131">
        <v>1</v>
      </c>
      <c r="AT131">
        <f t="shared" ref="AT131:AT194" si="13">L131+0.67*E131+0.44*P131+0.28*K131+0.22*O131+2.9*H131+1.6*F131+1.7*G131-D131</f>
        <v>11.899999999999999</v>
      </c>
      <c r="AU131">
        <f t="shared" si="11"/>
        <v>5.5</v>
      </c>
      <c r="AV131">
        <f t="shared" si="12"/>
        <v>583.89999999999986</v>
      </c>
      <c r="AW131">
        <v>140</v>
      </c>
      <c r="AX131">
        <v>1049</v>
      </c>
      <c r="AY131">
        <v>1755</v>
      </c>
      <c r="BB131" t="s">
        <v>476</v>
      </c>
      <c r="BC131" t="s">
        <v>576</v>
      </c>
    </row>
    <row r="132" spans="1:55" x14ac:dyDescent="0.45">
      <c r="A132">
        <v>131</v>
      </c>
      <c r="C132">
        <v>60</v>
      </c>
      <c r="D132">
        <v>0</v>
      </c>
      <c r="E132">
        <v>0</v>
      </c>
      <c r="F132">
        <v>2</v>
      </c>
      <c r="G132">
        <v>0</v>
      </c>
      <c r="H132">
        <v>5</v>
      </c>
      <c r="I132">
        <v>0</v>
      </c>
      <c r="J132">
        <v>33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1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1</v>
      </c>
      <c r="AN132">
        <v>0</v>
      </c>
      <c r="AO132">
        <v>1</v>
      </c>
      <c r="AP132">
        <v>0</v>
      </c>
      <c r="AQ132">
        <v>0</v>
      </c>
      <c r="AR132">
        <v>0</v>
      </c>
      <c r="AS132">
        <v>1</v>
      </c>
      <c r="AT132">
        <f t="shared" si="13"/>
        <v>17.7</v>
      </c>
      <c r="AU132">
        <f t="shared" si="11"/>
        <v>5.5</v>
      </c>
      <c r="AV132">
        <f t="shared" si="12"/>
        <v>553.09999999999991</v>
      </c>
      <c r="AW132">
        <v>145</v>
      </c>
      <c r="AX132">
        <v>1130</v>
      </c>
      <c r="AY132">
        <v>1830</v>
      </c>
      <c r="BB132" t="s">
        <v>476</v>
      </c>
      <c r="BC132" t="s">
        <v>576</v>
      </c>
    </row>
    <row r="133" spans="1:55" x14ac:dyDescent="0.45">
      <c r="A133">
        <v>132</v>
      </c>
      <c r="C133">
        <v>58</v>
      </c>
      <c r="D133">
        <v>0</v>
      </c>
      <c r="E133">
        <v>0</v>
      </c>
      <c r="F133">
        <v>2</v>
      </c>
      <c r="G133">
        <v>0</v>
      </c>
      <c r="H133">
        <v>7</v>
      </c>
      <c r="I133">
        <v>0</v>
      </c>
      <c r="J133">
        <v>33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1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1</v>
      </c>
      <c r="AN133">
        <v>0</v>
      </c>
      <c r="AO133">
        <v>1</v>
      </c>
      <c r="AP133">
        <v>0</v>
      </c>
      <c r="AQ133">
        <v>0</v>
      </c>
      <c r="AR133">
        <v>0</v>
      </c>
      <c r="AS133">
        <v>1</v>
      </c>
      <c r="AT133">
        <f t="shared" si="13"/>
        <v>23.5</v>
      </c>
      <c r="AU133">
        <f t="shared" si="11"/>
        <v>5.5</v>
      </c>
      <c r="AV133">
        <f t="shared" si="12"/>
        <v>522.29999999999995</v>
      </c>
      <c r="AW133">
        <v>157</v>
      </c>
      <c r="AX133">
        <v>1239</v>
      </c>
      <c r="AY133">
        <v>1901</v>
      </c>
      <c r="BB133" t="s">
        <v>476</v>
      </c>
      <c r="BC133" t="s">
        <v>576</v>
      </c>
    </row>
    <row r="134" spans="1:55" x14ac:dyDescent="0.45">
      <c r="A134">
        <v>133</v>
      </c>
      <c r="C134">
        <v>60</v>
      </c>
      <c r="D134">
        <v>0</v>
      </c>
      <c r="E134">
        <v>0</v>
      </c>
      <c r="F134">
        <v>4</v>
      </c>
      <c r="G134">
        <v>0</v>
      </c>
      <c r="H134">
        <v>3</v>
      </c>
      <c r="I134">
        <v>0</v>
      </c>
      <c r="J134">
        <v>33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1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  <c r="AM134">
        <v>1</v>
      </c>
      <c r="AN134">
        <v>0</v>
      </c>
      <c r="AO134">
        <v>1</v>
      </c>
      <c r="AP134">
        <v>0</v>
      </c>
      <c r="AQ134">
        <v>0</v>
      </c>
      <c r="AR134">
        <v>0</v>
      </c>
      <c r="AS134">
        <v>1</v>
      </c>
      <c r="AT134">
        <f t="shared" si="13"/>
        <v>15.1</v>
      </c>
      <c r="AU134">
        <f t="shared" si="11"/>
        <v>5.5</v>
      </c>
      <c r="AV134">
        <f t="shared" si="12"/>
        <v>559.69999999999993</v>
      </c>
      <c r="AW134">
        <v>130</v>
      </c>
      <c r="AX134">
        <v>1113</v>
      </c>
      <c r="AY134">
        <v>2008</v>
      </c>
      <c r="BB134" t="s">
        <v>476</v>
      </c>
      <c r="BC134" t="s">
        <v>576</v>
      </c>
    </row>
    <row r="135" spans="1:55" x14ac:dyDescent="0.45">
      <c r="A135">
        <v>134</v>
      </c>
      <c r="C135">
        <v>58</v>
      </c>
      <c r="D135">
        <v>0</v>
      </c>
      <c r="E135">
        <v>0</v>
      </c>
      <c r="F135">
        <v>4</v>
      </c>
      <c r="G135">
        <v>0</v>
      </c>
      <c r="H135">
        <v>5</v>
      </c>
      <c r="I135">
        <v>0</v>
      </c>
      <c r="J135">
        <v>33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1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1</v>
      </c>
      <c r="AN135">
        <v>0</v>
      </c>
      <c r="AO135">
        <v>1</v>
      </c>
      <c r="AP135">
        <v>0</v>
      </c>
      <c r="AQ135">
        <v>0</v>
      </c>
      <c r="AR135">
        <v>0</v>
      </c>
      <c r="AS135">
        <v>1</v>
      </c>
      <c r="AT135">
        <f t="shared" si="13"/>
        <v>20.9</v>
      </c>
      <c r="AU135">
        <f t="shared" si="11"/>
        <v>5.5</v>
      </c>
      <c r="AV135">
        <f t="shared" si="12"/>
        <v>528.9</v>
      </c>
      <c r="AW135">
        <v>142</v>
      </c>
      <c r="AX135">
        <v>1210</v>
      </c>
      <c r="AY135">
        <v>1712</v>
      </c>
      <c r="BB135" t="s">
        <v>476</v>
      </c>
      <c r="BC135" t="s">
        <v>576</v>
      </c>
    </row>
    <row r="136" spans="1:55" x14ac:dyDescent="0.45">
      <c r="A136">
        <v>135</v>
      </c>
      <c r="C136">
        <v>56</v>
      </c>
      <c r="D136">
        <v>0</v>
      </c>
      <c r="E136">
        <v>0</v>
      </c>
      <c r="F136">
        <v>4</v>
      </c>
      <c r="G136">
        <v>0</v>
      </c>
      <c r="H136">
        <v>7</v>
      </c>
      <c r="I136">
        <v>0</v>
      </c>
      <c r="J136">
        <v>33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1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1</v>
      </c>
      <c r="AN136">
        <v>0</v>
      </c>
      <c r="AO136">
        <v>1</v>
      </c>
      <c r="AP136">
        <v>0</v>
      </c>
      <c r="AQ136">
        <v>0</v>
      </c>
      <c r="AR136">
        <v>0</v>
      </c>
      <c r="AS136">
        <v>1</v>
      </c>
      <c r="AT136">
        <f t="shared" si="13"/>
        <v>26.700000000000003</v>
      </c>
      <c r="AU136">
        <f t="shared" si="11"/>
        <v>5.5</v>
      </c>
      <c r="AV136">
        <f t="shared" si="12"/>
        <v>498.09999999999997</v>
      </c>
      <c r="AW136">
        <v>149</v>
      </c>
      <c r="AX136">
        <v>1287</v>
      </c>
      <c r="AY136">
        <v>1567</v>
      </c>
      <c r="BB136" t="s">
        <v>476</v>
      </c>
      <c r="BC136" t="s">
        <v>576</v>
      </c>
    </row>
    <row r="137" spans="1:55" x14ac:dyDescent="0.45">
      <c r="A137">
        <v>136</v>
      </c>
      <c r="C137">
        <v>66</v>
      </c>
      <c r="D137">
        <v>0</v>
      </c>
      <c r="E137">
        <v>0</v>
      </c>
      <c r="F137">
        <v>0</v>
      </c>
      <c r="G137">
        <v>0</v>
      </c>
      <c r="H137">
        <v>7</v>
      </c>
      <c r="I137">
        <v>0</v>
      </c>
      <c r="J137">
        <v>0</v>
      </c>
      <c r="K137">
        <v>27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1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1</v>
      </c>
      <c r="AN137">
        <v>0</v>
      </c>
      <c r="AO137">
        <v>1</v>
      </c>
      <c r="AP137">
        <v>0</v>
      </c>
      <c r="AQ137">
        <v>1</v>
      </c>
      <c r="AR137">
        <v>0</v>
      </c>
      <c r="AS137">
        <v>0</v>
      </c>
      <c r="AT137">
        <f t="shared" si="13"/>
        <v>27.86</v>
      </c>
      <c r="AU137">
        <f t="shared" si="11"/>
        <v>0</v>
      </c>
      <c r="AV137">
        <f t="shared" si="12"/>
        <v>774.2</v>
      </c>
      <c r="AW137">
        <v>116</v>
      </c>
      <c r="AX137">
        <v>784</v>
      </c>
      <c r="BB137" t="s">
        <v>477</v>
      </c>
      <c r="BC137" t="s">
        <v>577</v>
      </c>
    </row>
    <row r="138" spans="1:55" x14ac:dyDescent="0.45">
      <c r="A138">
        <v>137</v>
      </c>
      <c r="C138">
        <v>64</v>
      </c>
      <c r="D138">
        <v>0</v>
      </c>
      <c r="E138">
        <v>0</v>
      </c>
      <c r="F138">
        <v>2</v>
      </c>
      <c r="G138">
        <v>0</v>
      </c>
      <c r="H138">
        <v>7</v>
      </c>
      <c r="I138">
        <v>0</v>
      </c>
      <c r="J138">
        <v>0</v>
      </c>
      <c r="K138">
        <v>27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1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0</v>
      </c>
      <c r="AM138">
        <v>1</v>
      </c>
      <c r="AN138">
        <v>0</v>
      </c>
      <c r="AO138">
        <v>1</v>
      </c>
      <c r="AP138">
        <v>0</v>
      </c>
      <c r="AQ138">
        <v>0</v>
      </c>
      <c r="AR138">
        <v>0</v>
      </c>
      <c r="AS138">
        <v>0</v>
      </c>
      <c r="AT138">
        <f t="shared" si="13"/>
        <v>31.06</v>
      </c>
      <c r="AU138">
        <f t="shared" si="11"/>
        <v>0</v>
      </c>
      <c r="AV138">
        <f t="shared" si="12"/>
        <v>750</v>
      </c>
      <c r="AW138">
        <v>99</v>
      </c>
      <c r="AX138">
        <v>1097</v>
      </c>
      <c r="BB138" t="s">
        <v>477</v>
      </c>
      <c r="BC138" t="s">
        <v>577</v>
      </c>
    </row>
    <row r="139" spans="1:55" x14ac:dyDescent="0.45">
      <c r="A139">
        <v>138</v>
      </c>
      <c r="C139">
        <v>62</v>
      </c>
      <c r="D139">
        <v>0</v>
      </c>
      <c r="E139">
        <v>0</v>
      </c>
      <c r="F139">
        <v>4</v>
      </c>
      <c r="G139">
        <v>0</v>
      </c>
      <c r="H139">
        <v>7</v>
      </c>
      <c r="I139">
        <v>0</v>
      </c>
      <c r="J139">
        <v>0</v>
      </c>
      <c r="K139">
        <v>27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1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1</v>
      </c>
      <c r="AN139">
        <v>0</v>
      </c>
      <c r="AO139">
        <v>1</v>
      </c>
      <c r="AP139">
        <v>0</v>
      </c>
      <c r="AQ139">
        <v>0</v>
      </c>
      <c r="AR139">
        <v>0</v>
      </c>
      <c r="AS139">
        <v>0</v>
      </c>
      <c r="AT139">
        <f t="shared" si="13"/>
        <v>34.26</v>
      </c>
      <c r="AU139">
        <f t="shared" si="11"/>
        <v>0</v>
      </c>
      <c r="AV139">
        <f t="shared" si="12"/>
        <v>725.80000000000007</v>
      </c>
      <c r="AW139">
        <v>81</v>
      </c>
      <c r="AX139">
        <v>947</v>
      </c>
      <c r="BB139" t="s">
        <v>477</v>
      </c>
      <c r="BC139" t="s">
        <v>577</v>
      </c>
    </row>
    <row r="140" spans="1:55" x14ac:dyDescent="0.45">
      <c r="A140">
        <v>139</v>
      </c>
      <c r="C140">
        <v>60</v>
      </c>
      <c r="D140">
        <v>0</v>
      </c>
      <c r="E140">
        <v>0</v>
      </c>
      <c r="F140">
        <v>6</v>
      </c>
      <c r="G140">
        <v>0</v>
      </c>
      <c r="H140">
        <v>7</v>
      </c>
      <c r="I140">
        <v>0</v>
      </c>
      <c r="J140">
        <v>0</v>
      </c>
      <c r="K140">
        <v>27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1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0</v>
      </c>
      <c r="AM140">
        <v>1</v>
      </c>
      <c r="AN140">
        <v>0</v>
      </c>
      <c r="AO140">
        <v>1</v>
      </c>
      <c r="AP140">
        <v>0</v>
      </c>
      <c r="AQ140">
        <v>0</v>
      </c>
      <c r="AR140">
        <v>0</v>
      </c>
      <c r="AS140">
        <v>0</v>
      </c>
      <c r="AT140">
        <f t="shared" si="13"/>
        <v>37.46</v>
      </c>
      <c r="AU140">
        <f t="shared" si="11"/>
        <v>0</v>
      </c>
      <c r="AV140">
        <f t="shared" si="12"/>
        <v>701.6</v>
      </c>
      <c r="AW140">
        <v>77</v>
      </c>
      <c r="AX140">
        <v>922</v>
      </c>
      <c r="BB140" t="s">
        <v>477</v>
      </c>
      <c r="BC140" t="s">
        <v>577</v>
      </c>
    </row>
    <row r="141" spans="1:55" x14ac:dyDescent="0.45">
      <c r="A141">
        <v>140</v>
      </c>
      <c r="C141">
        <v>58</v>
      </c>
      <c r="D141">
        <v>0</v>
      </c>
      <c r="E141">
        <v>0</v>
      </c>
      <c r="F141">
        <v>8</v>
      </c>
      <c r="G141">
        <v>0</v>
      </c>
      <c r="H141">
        <v>7</v>
      </c>
      <c r="I141">
        <v>0</v>
      </c>
      <c r="J141">
        <v>0</v>
      </c>
      <c r="K141">
        <v>27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1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0</v>
      </c>
      <c r="AM141">
        <v>1</v>
      </c>
      <c r="AN141">
        <v>0</v>
      </c>
      <c r="AO141">
        <v>1</v>
      </c>
      <c r="AP141">
        <v>0</v>
      </c>
      <c r="AQ141">
        <v>0</v>
      </c>
      <c r="AR141">
        <v>0</v>
      </c>
      <c r="AS141">
        <v>0</v>
      </c>
      <c r="AT141">
        <f t="shared" si="13"/>
        <v>40.659999999999997</v>
      </c>
      <c r="AU141">
        <f t="shared" si="11"/>
        <v>0</v>
      </c>
      <c r="AV141">
        <f t="shared" si="12"/>
        <v>677.40000000000009</v>
      </c>
      <c r="AW141">
        <v>72</v>
      </c>
      <c r="AX141">
        <v>941</v>
      </c>
      <c r="BB141" t="s">
        <v>477</v>
      </c>
      <c r="BC141" t="s">
        <v>577</v>
      </c>
    </row>
    <row r="142" spans="1:55" x14ac:dyDescent="0.45">
      <c r="A142">
        <v>141</v>
      </c>
      <c r="C142">
        <v>91</v>
      </c>
      <c r="D142">
        <v>0</v>
      </c>
      <c r="E142">
        <v>0</v>
      </c>
      <c r="F142">
        <v>0</v>
      </c>
      <c r="G142">
        <v>9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f>(AV142)+0</f>
        <v>882</v>
      </c>
      <c r="AD142">
        <v>0</v>
      </c>
      <c r="AE142">
        <v>1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1</v>
      </c>
      <c r="AN142">
        <v>0</v>
      </c>
      <c r="AO142">
        <v>1</v>
      </c>
      <c r="AP142">
        <v>0</v>
      </c>
      <c r="AQ142">
        <v>0</v>
      </c>
      <c r="AR142">
        <v>1</v>
      </c>
      <c r="AS142">
        <v>0</v>
      </c>
      <c r="AT142">
        <f t="shared" si="13"/>
        <v>15.299999999999999</v>
      </c>
      <c r="AU142">
        <f t="shared" si="11"/>
        <v>0</v>
      </c>
      <c r="AV142">
        <f t="shared" si="12"/>
        <v>882</v>
      </c>
      <c r="AW142">
        <v>94</v>
      </c>
      <c r="AX142">
        <v>1023</v>
      </c>
      <c r="AY142">
        <v>1048</v>
      </c>
      <c r="BA142">
        <v>338</v>
      </c>
      <c r="BB142" t="s">
        <v>478</v>
      </c>
      <c r="BC142" t="s">
        <v>578</v>
      </c>
    </row>
    <row r="143" spans="1:55" x14ac:dyDescent="0.45">
      <c r="A143">
        <v>142</v>
      </c>
      <c r="C143">
        <v>87</v>
      </c>
      <c r="D143">
        <v>0</v>
      </c>
      <c r="E143">
        <v>0</v>
      </c>
      <c r="F143">
        <v>0</v>
      </c>
      <c r="G143">
        <v>13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f>(AV143)+0</f>
        <v>882</v>
      </c>
      <c r="AD143">
        <v>0</v>
      </c>
      <c r="AE143">
        <v>1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0</v>
      </c>
      <c r="AM143">
        <v>1</v>
      </c>
      <c r="AN143">
        <v>0</v>
      </c>
      <c r="AO143">
        <v>1</v>
      </c>
      <c r="AP143">
        <v>0</v>
      </c>
      <c r="AQ143">
        <v>0</v>
      </c>
      <c r="AR143">
        <v>0</v>
      </c>
      <c r="AS143">
        <v>0</v>
      </c>
      <c r="AT143">
        <f t="shared" si="13"/>
        <v>22.099999999999998</v>
      </c>
      <c r="AU143">
        <f t="shared" si="11"/>
        <v>0</v>
      </c>
      <c r="AV143">
        <f t="shared" si="12"/>
        <v>882</v>
      </c>
      <c r="AW143">
        <v>100</v>
      </c>
      <c r="AX143">
        <v>927</v>
      </c>
      <c r="AY143">
        <v>939</v>
      </c>
      <c r="BA143">
        <v>312</v>
      </c>
      <c r="BB143" t="s">
        <v>478</v>
      </c>
      <c r="BC143" t="s">
        <v>578</v>
      </c>
    </row>
    <row r="144" spans="1:55" x14ac:dyDescent="0.45">
      <c r="A144">
        <v>143</v>
      </c>
      <c r="C144">
        <v>92</v>
      </c>
      <c r="D144">
        <v>0</v>
      </c>
      <c r="E144">
        <v>0</v>
      </c>
      <c r="F144">
        <v>0</v>
      </c>
      <c r="G144">
        <v>5</v>
      </c>
      <c r="H144">
        <v>0</v>
      </c>
      <c r="I144">
        <v>0</v>
      </c>
      <c r="J144">
        <v>0</v>
      </c>
      <c r="K144">
        <v>0</v>
      </c>
      <c r="L144">
        <v>3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0</v>
      </c>
      <c r="AM144">
        <v>1</v>
      </c>
      <c r="AN144">
        <v>0</v>
      </c>
      <c r="AO144">
        <v>1</v>
      </c>
      <c r="AP144">
        <v>0</v>
      </c>
      <c r="AQ144">
        <v>0</v>
      </c>
      <c r="AR144">
        <v>1</v>
      </c>
      <c r="AS144">
        <v>0</v>
      </c>
      <c r="AT144">
        <f t="shared" si="13"/>
        <v>11.5</v>
      </c>
      <c r="AU144">
        <f t="shared" si="11"/>
        <v>0</v>
      </c>
      <c r="AV144">
        <f t="shared" si="12"/>
        <v>853.5</v>
      </c>
      <c r="AW144">
        <v>88</v>
      </c>
      <c r="AX144">
        <v>980</v>
      </c>
      <c r="AY144">
        <v>1036</v>
      </c>
      <c r="BA144">
        <v>331</v>
      </c>
      <c r="BB144" t="s">
        <v>479</v>
      </c>
      <c r="BC144" t="s">
        <v>579</v>
      </c>
    </row>
    <row r="145" spans="1:55" x14ac:dyDescent="0.45">
      <c r="A145">
        <v>144</v>
      </c>
      <c r="C145">
        <v>91</v>
      </c>
      <c r="D145">
        <v>0</v>
      </c>
      <c r="E145">
        <v>0</v>
      </c>
      <c r="F145">
        <v>0</v>
      </c>
      <c r="G145">
        <v>5</v>
      </c>
      <c r="H145">
        <v>0</v>
      </c>
      <c r="I145">
        <v>0</v>
      </c>
      <c r="J145">
        <v>0</v>
      </c>
      <c r="K145">
        <v>0</v>
      </c>
      <c r="L145">
        <v>4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1</v>
      </c>
      <c r="AN145">
        <v>0</v>
      </c>
      <c r="AO145">
        <v>1</v>
      </c>
      <c r="AP145">
        <v>0</v>
      </c>
      <c r="AQ145">
        <v>0</v>
      </c>
      <c r="AR145">
        <v>1</v>
      </c>
      <c r="AS145">
        <v>0</v>
      </c>
      <c r="AT145">
        <f t="shared" si="13"/>
        <v>12.5</v>
      </c>
      <c r="AU145">
        <f t="shared" si="11"/>
        <v>0</v>
      </c>
      <c r="AV145">
        <f t="shared" si="12"/>
        <v>844</v>
      </c>
      <c r="AW145">
        <v>84</v>
      </c>
      <c r="AX145">
        <v>1046</v>
      </c>
      <c r="AY145">
        <v>1104</v>
      </c>
      <c r="BA145">
        <v>337</v>
      </c>
      <c r="BB145" t="s">
        <v>479</v>
      </c>
      <c r="BC145" t="s">
        <v>579</v>
      </c>
    </row>
    <row r="146" spans="1:55" x14ac:dyDescent="0.45">
      <c r="A146">
        <v>145</v>
      </c>
      <c r="C146">
        <v>91</v>
      </c>
      <c r="D146">
        <v>0</v>
      </c>
      <c r="E146">
        <v>0</v>
      </c>
      <c r="F146">
        <v>0</v>
      </c>
      <c r="G146">
        <v>6</v>
      </c>
      <c r="H146">
        <v>0</v>
      </c>
      <c r="I146">
        <v>0</v>
      </c>
      <c r="J146">
        <v>0</v>
      </c>
      <c r="K146">
        <v>0</v>
      </c>
      <c r="L146">
        <v>3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1</v>
      </c>
      <c r="AN146">
        <v>0</v>
      </c>
      <c r="AO146">
        <v>1</v>
      </c>
      <c r="AP146">
        <v>0</v>
      </c>
      <c r="AQ146">
        <v>0</v>
      </c>
      <c r="AR146">
        <v>1</v>
      </c>
      <c r="AS146">
        <v>0</v>
      </c>
      <c r="AT146">
        <f t="shared" si="13"/>
        <v>13.2</v>
      </c>
      <c r="AU146">
        <f t="shared" si="11"/>
        <v>0</v>
      </c>
      <c r="AV146">
        <f t="shared" si="12"/>
        <v>853.5</v>
      </c>
      <c r="AW146">
        <v>86</v>
      </c>
      <c r="AX146">
        <v>1077</v>
      </c>
      <c r="AY146">
        <v>1143</v>
      </c>
      <c r="BA146">
        <v>359</v>
      </c>
      <c r="BB146" t="s">
        <v>479</v>
      </c>
      <c r="BC146" t="s">
        <v>579</v>
      </c>
    </row>
    <row r="147" spans="1:55" x14ac:dyDescent="0.45">
      <c r="A147">
        <v>146</v>
      </c>
      <c r="C147">
        <v>90</v>
      </c>
      <c r="D147">
        <v>0</v>
      </c>
      <c r="E147">
        <v>0</v>
      </c>
      <c r="F147">
        <v>0</v>
      </c>
      <c r="G147">
        <v>6</v>
      </c>
      <c r="H147">
        <v>0</v>
      </c>
      <c r="I147">
        <v>0</v>
      </c>
      <c r="J147">
        <v>0</v>
      </c>
      <c r="K147">
        <v>0</v>
      </c>
      <c r="L147">
        <v>4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1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0</v>
      </c>
      <c r="AM147">
        <v>1</v>
      </c>
      <c r="AN147">
        <v>0</v>
      </c>
      <c r="AO147">
        <v>1</v>
      </c>
      <c r="AP147">
        <v>0</v>
      </c>
      <c r="AQ147">
        <v>0</v>
      </c>
      <c r="AR147">
        <v>1</v>
      </c>
      <c r="AS147">
        <v>0</v>
      </c>
      <c r="AT147">
        <f t="shared" si="13"/>
        <v>14.2</v>
      </c>
      <c r="AU147">
        <f t="shared" si="11"/>
        <v>0</v>
      </c>
      <c r="AV147">
        <f t="shared" si="12"/>
        <v>844</v>
      </c>
      <c r="AW147">
        <v>85</v>
      </c>
      <c r="AX147">
        <v>1033</v>
      </c>
      <c r="AY147">
        <v>1093</v>
      </c>
      <c r="BA147">
        <v>312</v>
      </c>
      <c r="BB147" t="s">
        <v>479</v>
      </c>
      <c r="BC147" t="s">
        <v>579</v>
      </c>
    </row>
    <row r="148" spans="1:55" x14ac:dyDescent="0.45">
      <c r="A148">
        <v>147</v>
      </c>
      <c r="C148">
        <v>78</v>
      </c>
      <c r="D148">
        <v>2</v>
      </c>
      <c r="E148">
        <v>0</v>
      </c>
      <c r="F148">
        <v>5</v>
      </c>
      <c r="G148">
        <v>0</v>
      </c>
      <c r="H148">
        <v>0</v>
      </c>
      <c r="I148">
        <v>0</v>
      </c>
      <c r="J148">
        <v>15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f t="shared" ref="AC148:AC179" si="14">(AV148)+0</f>
        <v>722.2</v>
      </c>
      <c r="AD148">
        <v>0</v>
      </c>
      <c r="AE148">
        <v>1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1</v>
      </c>
      <c r="AN148">
        <v>0</v>
      </c>
      <c r="AO148">
        <v>1</v>
      </c>
      <c r="AP148">
        <v>0</v>
      </c>
      <c r="AQ148">
        <v>0</v>
      </c>
      <c r="AR148">
        <v>0</v>
      </c>
      <c r="AS148">
        <v>0</v>
      </c>
      <c r="AT148">
        <f t="shared" si="13"/>
        <v>6</v>
      </c>
      <c r="AU148">
        <f t="shared" si="11"/>
        <v>4.5</v>
      </c>
      <c r="AV148">
        <f t="shared" si="12"/>
        <v>722.2</v>
      </c>
      <c r="AW148">
        <v>58</v>
      </c>
      <c r="AX148">
        <v>625.4</v>
      </c>
      <c r="AY148">
        <v>1879.9</v>
      </c>
      <c r="BA148">
        <v>302</v>
      </c>
      <c r="BB148" t="s">
        <v>480</v>
      </c>
      <c r="BC148" t="s">
        <v>580</v>
      </c>
    </row>
    <row r="149" spans="1:55" x14ac:dyDescent="0.45">
      <c r="A149">
        <v>148</v>
      </c>
      <c r="C149">
        <v>58.7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3</v>
      </c>
      <c r="K149">
        <v>36</v>
      </c>
      <c r="L149">
        <v>0</v>
      </c>
      <c r="M149">
        <v>0</v>
      </c>
      <c r="N149">
        <v>0</v>
      </c>
      <c r="O149">
        <v>2</v>
      </c>
      <c r="P149">
        <v>0</v>
      </c>
      <c r="Q149">
        <v>0</v>
      </c>
      <c r="R149">
        <v>0</v>
      </c>
      <c r="S149">
        <v>0</v>
      </c>
      <c r="T149">
        <v>0.3</v>
      </c>
      <c r="U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f t="shared" si="14"/>
        <v>898.19999999999993</v>
      </c>
      <c r="AD149">
        <v>0</v>
      </c>
      <c r="AE149">
        <v>1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1</v>
      </c>
      <c r="AN149">
        <v>0</v>
      </c>
      <c r="AO149">
        <v>1</v>
      </c>
      <c r="AP149">
        <v>0</v>
      </c>
      <c r="AQ149">
        <v>0</v>
      </c>
      <c r="AR149">
        <v>0</v>
      </c>
      <c r="AS149">
        <v>0</v>
      </c>
      <c r="AT149">
        <f t="shared" si="13"/>
        <v>10.520000000000001</v>
      </c>
      <c r="AU149">
        <f t="shared" si="11"/>
        <v>0.53</v>
      </c>
      <c r="AV149">
        <f t="shared" si="12"/>
        <v>898.19999999999993</v>
      </c>
      <c r="AW149">
        <v>64.5</v>
      </c>
      <c r="AX149">
        <v>700</v>
      </c>
      <c r="AY149">
        <v>840</v>
      </c>
      <c r="BB149" t="s">
        <v>481</v>
      </c>
      <c r="BC149" t="s">
        <v>581</v>
      </c>
    </row>
    <row r="150" spans="1:55" x14ac:dyDescent="0.45">
      <c r="A150">
        <v>149</v>
      </c>
      <c r="C150">
        <v>58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6.8</v>
      </c>
      <c r="K150">
        <v>32.5</v>
      </c>
      <c r="L150">
        <v>0</v>
      </c>
      <c r="M150">
        <v>2.7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f t="shared" si="14"/>
        <v>846.42000000000007</v>
      </c>
      <c r="AD150">
        <v>0</v>
      </c>
      <c r="AE150">
        <v>1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1</v>
      </c>
      <c r="AN150">
        <v>0</v>
      </c>
      <c r="AO150">
        <v>1</v>
      </c>
      <c r="AP150">
        <v>0</v>
      </c>
      <c r="AQ150">
        <v>0</v>
      </c>
      <c r="AR150">
        <v>0</v>
      </c>
      <c r="AS150">
        <v>0</v>
      </c>
      <c r="AT150">
        <f t="shared" si="13"/>
        <v>9.1000000000000014</v>
      </c>
      <c r="AU150">
        <f t="shared" si="11"/>
        <v>2.0333333333333332</v>
      </c>
      <c r="AV150">
        <f t="shared" si="12"/>
        <v>846.42000000000007</v>
      </c>
      <c r="AW150">
        <v>54.2</v>
      </c>
      <c r="AX150">
        <v>380</v>
      </c>
      <c r="AY150">
        <v>562</v>
      </c>
      <c r="BB150" t="s">
        <v>282</v>
      </c>
      <c r="BC150" t="s">
        <v>582</v>
      </c>
    </row>
    <row r="151" spans="1:55" x14ac:dyDescent="0.45">
      <c r="A151">
        <v>150</v>
      </c>
      <c r="C151">
        <v>88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12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f t="shared" si="14"/>
        <v>768</v>
      </c>
      <c r="AD151">
        <v>0</v>
      </c>
      <c r="AE151">
        <v>1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1</v>
      </c>
      <c r="AN151">
        <v>0</v>
      </c>
      <c r="AO151">
        <v>1</v>
      </c>
      <c r="AP151">
        <v>0</v>
      </c>
      <c r="AQ151">
        <v>0</v>
      </c>
      <c r="AR151">
        <v>1</v>
      </c>
      <c r="AS151">
        <v>0</v>
      </c>
      <c r="AT151">
        <f t="shared" si="13"/>
        <v>12</v>
      </c>
      <c r="AU151">
        <f t="shared" si="11"/>
        <v>0</v>
      </c>
      <c r="AV151">
        <f t="shared" si="12"/>
        <v>768</v>
      </c>
      <c r="AX151">
        <v>480</v>
      </c>
      <c r="AY151">
        <v>1000</v>
      </c>
      <c r="BB151" t="s">
        <v>482</v>
      </c>
      <c r="BC151" t="s">
        <v>583</v>
      </c>
    </row>
    <row r="152" spans="1:55" x14ac:dyDescent="0.45">
      <c r="A152">
        <v>151</v>
      </c>
      <c r="C152">
        <v>83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5</v>
      </c>
      <c r="K152">
        <v>0</v>
      </c>
      <c r="L152">
        <v>12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f t="shared" si="14"/>
        <v>733.5</v>
      </c>
      <c r="AD152">
        <v>0</v>
      </c>
      <c r="AE152">
        <v>1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1</v>
      </c>
      <c r="AN152">
        <v>0</v>
      </c>
      <c r="AO152">
        <v>1</v>
      </c>
      <c r="AP152">
        <v>0</v>
      </c>
      <c r="AQ152">
        <v>0</v>
      </c>
      <c r="AR152">
        <v>1</v>
      </c>
      <c r="AS152">
        <v>0</v>
      </c>
      <c r="AT152">
        <f t="shared" si="13"/>
        <v>12</v>
      </c>
      <c r="AU152">
        <f t="shared" si="11"/>
        <v>0.83333333333333337</v>
      </c>
      <c r="AV152">
        <f t="shared" si="12"/>
        <v>733.5</v>
      </c>
      <c r="AX152">
        <v>650</v>
      </c>
      <c r="AY152">
        <v>950</v>
      </c>
      <c r="BB152" t="s">
        <v>482</v>
      </c>
      <c r="BC152" t="s">
        <v>583</v>
      </c>
    </row>
    <row r="153" spans="1:55" x14ac:dyDescent="0.45">
      <c r="A153">
        <v>152</v>
      </c>
      <c r="C153">
        <v>65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35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f t="shared" si="14"/>
        <v>882</v>
      </c>
      <c r="AD153">
        <v>0</v>
      </c>
      <c r="AE153">
        <v>1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1</v>
      </c>
      <c r="AN153">
        <v>0</v>
      </c>
      <c r="AO153">
        <v>1</v>
      </c>
      <c r="AP153">
        <v>0</v>
      </c>
      <c r="AQ153">
        <v>1</v>
      </c>
      <c r="AR153">
        <v>0</v>
      </c>
      <c r="AS153">
        <v>0</v>
      </c>
      <c r="AT153">
        <f t="shared" si="13"/>
        <v>9.8000000000000007</v>
      </c>
      <c r="AU153">
        <f t="shared" si="11"/>
        <v>0</v>
      </c>
      <c r="AV153">
        <f t="shared" si="12"/>
        <v>882</v>
      </c>
      <c r="AW153">
        <v>73.900000000000006</v>
      </c>
      <c r="AX153">
        <v>289</v>
      </c>
      <c r="AY153">
        <v>561</v>
      </c>
      <c r="BA153">
        <v>202</v>
      </c>
      <c r="BB153" t="s">
        <v>483</v>
      </c>
      <c r="BC153" t="s">
        <v>584</v>
      </c>
    </row>
    <row r="154" spans="1:55" x14ac:dyDescent="0.45">
      <c r="A154">
        <v>153</v>
      </c>
      <c r="C154">
        <v>62.5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35</v>
      </c>
      <c r="L154">
        <v>0</v>
      </c>
      <c r="M154">
        <v>2.5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f t="shared" si="14"/>
        <v>892.5</v>
      </c>
      <c r="AD154">
        <v>0</v>
      </c>
      <c r="AE154">
        <v>1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1</v>
      </c>
      <c r="AN154">
        <v>0</v>
      </c>
      <c r="AO154">
        <v>1</v>
      </c>
      <c r="AP154">
        <v>0</v>
      </c>
      <c r="AQ154">
        <v>1</v>
      </c>
      <c r="AR154">
        <v>0</v>
      </c>
      <c r="AS154">
        <v>0</v>
      </c>
      <c r="AT154">
        <f t="shared" si="13"/>
        <v>9.8000000000000007</v>
      </c>
      <c r="AU154">
        <f t="shared" si="11"/>
        <v>0.83333333333333337</v>
      </c>
      <c r="AV154">
        <f t="shared" si="12"/>
        <v>892.5</v>
      </c>
      <c r="AW154">
        <v>65.8</v>
      </c>
      <c r="AX154">
        <v>237</v>
      </c>
      <c r="AY154">
        <v>566</v>
      </c>
      <c r="BA154">
        <v>195</v>
      </c>
      <c r="BB154" t="s">
        <v>483</v>
      </c>
      <c r="BC154" t="s">
        <v>584</v>
      </c>
    </row>
    <row r="155" spans="1:55" x14ac:dyDescent="0.45">
      <c r="A155">
        <v>154</v>
      </c>
      <c r="C155">
        <v>60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35</v>
      </c>
      <c r="L155">
        <v>0</v>
      </c>
      <c r="M155">
        <v>5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f t="shared" si="14"/>
        <v>903</v>
      </c>
      <c r="AD155">
        <v>0</v>
      </c>
      <c r="AE155">
        <v>1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1</v>
      </c>
      <c r="AN155">
        <v>0</v>
      </c>
      <c r="AO155">
        <v>1</v>
      </c>
      <c r="AP155">
        <v>0</v>
      </c>
      <c r="AQ155">
        <v>0</v>
      </c>
      <c r="AR155">
        <v>0</v>
      </c>
      <c r="AS155">
        <v>0</v>
      </c>
      <c r="AT155">
        <f t="shared" si="13"/>
        <v>9.8000000000000007</v>
      </c>
      <c r="AU155">
        <f t="shared" si="11"/>
        <v>1.6666666666666667</v>
      </c>
      <c r="AV155">
        <f t="shared" si="12"/>
        <v>903</v>
      </c>
      <c r="AW155">
        <v>68.2</v>
      </c>
      <c r="AX155">
        <v>216</v>
      </c>
      <c r="AY155">
        <v>563</v>
      </c>
      <c r="BA155">
        <v>184</v>
      </c>
      <c r="BB155" t="s">
        <v>483</v>
      </c>
      <c r="BC155" t="s">
        <v>584</v>
      </c>
    </row>
    <row r="156" spans="1:55" x14ac:dyDescent="0.45">
      <c r="A156">
        <v>155</v>
      </c>
      <c r="C156">
        <v>57.5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35</v>
      </c>
      <c r="L156">
        <v>0</v>
      </c>
      <c r="M156">
        <v>7.5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f t="shared" si="14"/>
        <v>913.5</v>
      </c>
      <c r="AD156">
        <v>0</v>
      </c>
      <c r="AE156">
        <v>1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0</v>
      </c>
      <c r="AM156">
        <v>1</v>
      </c>
      <c r="AN156">
        <v>0</v>
      </c>
      <c r="AO156">
        <v>1</v>
      </c>
      <c r="AP156">
        <v>0</v>
      </c>
      <c r="AQ156">
        <v>0</v>
      </c>
      <c r="AR156">
        <v>0</v>
      </c>
      <c r="AS156">
        <v>0</v>
      </c>
      <c r="AT156">
        <f t="shared" si="13"/>
        <v>9.8000000000000007</v>
      </c>
      <c r="AU156">
        <f t="shared" si="11"/>
        <v>2.5</v>
      </c>
      <c r="AV156">
        <f t="shared" si="12"/>
        <v>913.5</v>
      </c>
      <c r="AW156">
        <v>86.4</v>
      </c>
      <c r="AX156">
        <v>262</v>
      </c>
      <c r="AY156">
        <v>478</v>
      </c>
      <c r="BA156">
        <v>202</v>
      </c>
      <c r="BB156" t="s">
        <v>483</v>
      </c>
      <c r="BC156" t="s">
        <v>584</v>
      </c>
    </row>
    <row r="157" spans="1:55" x14ac:dyDescent="0.45">
      <c r="A157">
        <v>156</v>
      </c>
      <c r="C157">
        <v>90</v>
      </c>
      <c r="D157">
        <v>0</v>
      </c>
      <c r="E157">
        <v>0</v>
      </c>
      <c r="F157">
        <v>8.5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1.5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f t="shared" si="14"/>
        <v>785.44999999999993</v>
      </c>
      <c r="AD157">
        <v>0</v>
      </c>
      <c r="AE157">
        <v>1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1</v>
      </c>
      <c r="AN157">
        <v>0</v>
      </c>
      <c r="AO157">
        <v>1</v>
      </c>
      <c r="AP157">
        <v>0</v>
      </c>
      <c r="AQ157">
        <v>0</v>
      </c>
      <c r="AR157">
        <v>0</v>
      </c>
      <c r="AS157">
        <v>0</v>
      </c>
      <c r="AT157">
        <f t="shared" si="13"/>
        <v>13.600000000000001</v>
      </c>
      <c r="AU157">
        <f t="shared" si="11"/>
        <v>0.5</v>
      </c>
      <c r="AV157">
        <f t="shared" si="12"/>
        <v>785.44999999999993</v>
      </c>
      <c r="AW157">
        <v>83</v>
      </c>
      <c r="AX157">
        <v>554</v>
      </c>
      <c r="AY157">
        <v>1240</v>
      </c>
      <c r="BB157" t="s">
        <v>343</v>
      </c>
      <c r="BC157" t="s">
        <v>585</v>
      </c>
    </row>
    <row r="158" spans="1:55" x14ac:dyDescent="0.45">
      <c r="A158">
        <v>157</v>
      </c>
      <c r="C158">
        <v>85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9</v>
      </c>
      <c r="M158">
        <v>0</v>
      </c>
      <c r="N158">
        <v>0</v>
      </c>
      <c r="O158">
        <v>0</v>
      </c>
      <c r="P158">
        <v>6</v>
      </c>
      <c r="Q158">
        <v>0</v>
      </c>
      <c r="R158">
        <v>0</v>
      </c>
      <c r="S158">
        <v>0</v>
      </c>
      <c r="T158">
        <v>0</v>
      </c>
      <c r="U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f t="shared" si="14"/>
        <v>796.5</v>
      </c>
      <c r="AD158">
        <v>0</v>
      </c>
      <c r="AE158">
        <v>1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1</v>
      </c>
      <c r="AN158">
        <v>0</v>
      </c>
      <c r="AO158">
        <v>1</v>
      </c>
      <c r="AP158">
        <v>0</v>
      </c>
      <c r="AQ158">
        <v>0</v>
      </c>
      <c r="AR158">
        <v>1</v>
      </c>
      <c r="AS158">
        <v>0</v>
      </c>
      <c r="AT158">
        <f t="shared" si="13"/>
        <v>11.64</v>
      </c>
      <c r="AU158">
        <f t="shared" si="11"/>
        <v>0</v>
      </c>
      <c r="AV158">
        <f t="shared" si="12"/>
        <v>796.5</v>
      </c>
      <c r="AW158">
        <v>59</v>
      </c>
      <c r="AX158">
        <v>519</v>
      </c>
      <c r="AY158">
        <v>1098</v>
      </c>
      <c r="BB158" t="s">
        <v>484</v>
      </c>
      <c r="BC158" t="s">
        <v>586</v>
      </c>
    </row>
    <row r="159" spans="1:55" x14ac:dyDescent="0.45">
      <c r="A159">
        <v>158</v>
      </c>
      <c r="C159">
        <v>88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12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f t="shared" si="14"/>
        <v>768</v>
      </c>
      <c r="AD159">
        <v>0</v>
      </c>
      <c r="AE159">
        <v>1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1</v>
      </c>
      <c r="AN159">
        <v>0</v>
      </c>
      <c r="AO159">
        <v>1</v>
      </c>
      <c r="AP159">
        <v>0</v>
      </c>
      <c r="AQ159">
        <v>0</v>
      </c>
      <c r="AR159">
        <v>1</v>
      </c>
      <c r="AS159">
        <v>0</v>
      </c>
      <c r="AT159">
        <f t="shared" si="13"/>
        <v>12</v>
      </c>
      <c r="AU159">
        <f t="shared" si="11"/>
        <v>0</v>
      </c>
      <c r="AV159">
        <f t="shared" si="12"/>
        <v>768</v>
      </c>
      <c r="AW159">
        <v>78</v>
      </c>
      <c r="AX159">
        <v>481</v>
      </c>
      <c r="AY159">
        <v>974</v>
      </c>
      <c r="BB159" t="s">
        <v>485</v>
      </c>
      <c r="BC159" t="s">
        <v>587</v>
      </c>
    </row>
    <row r="160" spans="1:55" x14ac:dyDescent="0.45">
      <c r="A160">
        <v>159</v>
      </c>
      <c r="C160">
        <v>64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4</v>
      </c>
      <c r="K160">
        <v>24</v>
      </c>
      <c r="L160">
        <v>0</v>
      </c>
      <c r="M160">
        <v>8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f t="shared" si="14"/>
        <v>888</v>
      </c>
      <c r="AD160">
        <v>0</v>
      </c>
      <c r="AE160">
        <v>0</v>
      </c>
      <c r="AF160">
        <v>1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1</v>
      </c>
      <c r="AN160">
        <v>0</v>
      </c>
      <c r="AO160">
        <v>1</v>
      </c>
      <c r="AP160">
        <v>0</v>
      </c>
      <c r="AQ160">
        <v>1</v>
      </c>
      <c r="AR160">
        <v>1</v>
      </c>
      <c r="AS160">
        <v>0</v>
      </c>
      <c r="AT160">
        <f t="shared" si="13"/>
        <v>6.7200000000000006</v>
      </c>
      <c r="AU160">
        <f t="shared" si="11"/>
        <v>3.333333333333333</v>
      </c>
      <c r="AV160">
        <f t="shared" si="12"/>
        <v>888</v>
      </c>
      <c r="AW160">
        <v>50</v>
      </c>
      <c r="AX160">
        <v>350</v>
      </c>
      <c r="BB160" t="s">
        <v>486</v>
      </c>
      <c r="BC160" t="s">
        <v>588</v>
      </c>
    </row>
    <row r="161" spans="1:55" x14ac:dyDescent="0.45">
      <c r="A161">
        <v>160</v>
      </c>
      <c r="C161">
        <v>36.4</v>
      </c>
      <c r="D161">
        <v>0</v>
      </c>
      <c r="E161">
        <v>20</v>
      </c>
      <c r="F161">
        <v>0</v>
      </c>
      <c r="G161">
        <v>0</v>
      </c>
      <c r="H161">
        <v>0</v>
      </c>
      <c r="I161">
        <v>0</v>
      </c>
      <c r="J161">
        <v>43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0.6</v>
      </c>
      <c r="U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f t="shared" si="14"/>
        <v>423.09999999999997</v>
      </c>
      <c r="AD161">
        <v>0</v>
      </c>
      <c r="AE161">
        <v>0</v>
      </c>
      <c r="AF161">
        <v>1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1</v>
      </c>
      <c r="AN161">
        <v>0</v>
      </c>
      <c r="AO161">
        <v>1</v>
      </c>
      <c r="AP161">
        <v>0</v>
      </c>
      <c r="AQ161">
        <v>0</v>
      </c>
      <c r="AR161">
        <v>0</v>
      </c>
      <c r="AS161">
        <v>0</v>
      </c>
      <c r="AT161">
        <f t="shared" si="13"/>
        <v>13.4</v>
      </c>
      <c r="AU161">
        <f t="shared" si="11"/>
        <v>7.2266666666666666</v>
      </c>
      <c r="AV161">
        <f t="shared" si="12"/>
        <v>423.09999999999997</v>
      </c>
      <c r="AW161">
        <v>82.18</v>
      </c>
      <c r="AX161">
        <v>635</v>
      </c>
      <c r="AY161">
        <v>635</v>
      </c>
      <c r="BB161" t="s">
        <v>487</v>
      </c>
      <c r="BC161" t="s">
        <v>589</v>
      </c>
    </row>
    <row r="162" spans="1:55" x14ac:dyDescent="0.45">
      <c r="A162">
        <v>161</v>
      </c>
      <c r="C162">
        <v>64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4</v>
      </c>
      <c r="K162">
        <v>24</v>
      </c>
      <c r="L162">
        <v>0</v>
      </c>
      <c r="M162">
        <v>8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f t="shared" si="14"/>
        <v>888</v>
      </c>
      <c r="AD162">
        <v>0</v>
      </c>
      <c r="AE162">
        <v>0</v>
      </c>
      <c r="AF162">
        <v>1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1</v>
      </c>
      <c r="AN162">
        <v>0</v>
      </c>
      <c r="AO162">
        <v>1</v>
      </c>
      <c r="AP162">
        <v>0</v>
      </c>
      <c r="AQ162">
        <v>1</v>
      </c>
      <c r="AR162">
        <v>0</v>
      </c>
      <c r="AS162">
        <v>0</v>
      </c>
      <c r="AT162">
        <f t="shared" si="13"/>
        <v>6.7200000000000006</v>
      </c>
      <c r="AU162">
        <f t="shared" si="11"/>
        <v>3.333333333333333</v>
      </c>
      <c r="AV162">
        <f t="shared" si="12"/>
        <v>888</v>
      </c>
      <c r="AW162">
        <v>59.2</v>
      </c>
      <c r="AX162">
        <v>282</v>
      </c>
      <c r="AY162">
        <v>665</v>
      </c>
      <c r="BB162" t="s">
        <v>488</v>
      </c>
      <c r="BC162" t="s">
        <v>590</v>
      </c>
    </row>
    <row r="163" spans="1:55" x14ac:dyDescent="0.45">
      <c r="A163">
        <v>162</v>
      </c>
      <c r="C163">
        <v>63.85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4</v>
      </c>
      <c r="K163">
        <v>24</v>
      </c>
      <c r="L163">
        <v>0</v>
      </c>
      <c r="M163">
        <v>8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0.15</v>
      </c>
      <c r="U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f t="shared" si="14"/>
        <v>906.45</v>
      </c>
      <c r="AD163">
        <v>0</v>
      </c>
      <c r="AE163">
        <v>0</v>
      </c>
      <c r="AF163">
        <v>1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0</v>
      </c>
      <c r="AM163">
        <v>1</v>
      </c>
      <c r="AN163">
        <v>0</v>
      </c>
      <c r="AO163">
        <v>1</v>
      </c>
      <c r="AP163">
        <v>0</v>
      </c>
      <c r="AQ163">
        <v>1</v>
      </c>
      <c r="AR163">
        <v>0</v>
      </c>
      <c r="AS163">
        <v>0</v>
      </c>
      <c r="AT163">
        <f t="shared" si="13"/>
        <v>6.7200000000000006</v>
      </c>
      <c r="AU163">
        <f t="shared" si="11"/>
        <v>3.3483333333333332</v>
      </c>
      <c r="AV163">
        <f t="shared" si="12"/>
        <v>906.45</v>
      </c>
      <c r="AW163">
        <v>61.6</v>
      </c>
      <c r="AX163">
        <v>380</v>
      </c>
      <c r="AY163">
        <v>797</v>
      </c>
      <c r="BB163" t="s">
        <v>488</v>
      </c>
      <c r="BC163" t="s">
        <v>590</v>
      </c>
    </row>
    <row r="164" spans="1:55" x14ac:dyDescent="0.45">
      <c r="A164">
        <v>163</v>
      </c>
      <c r="C164">
        <v>63.8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4</v>
      </c>
      <c r="K164">
        <v>24</v>
      </c>
      <c r="L164">
        <v>0</v>
      </c>
      <c r="M164">
        <v>8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0.2</v>
      </c>
      <c r="U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f t="shared" si="14"/>
        <v>912.6</v>
      </c>
      <c r="AD164">
        <v>0</v>
      </c>
      <c r="AE164">
        <v>0</v>
      </c>
      <c r="AF164">
        <v>1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1</v>
      </c>
      <c r="AN164">
        <v>0</v>
      </c>
      <c r="AO164">
        <v>1</v>
      </c>
      <c r="AP164">
        <v>0</v>
      </c>
      <c r="AQ164">
        <v>1</v>
      </c>
      <c r="AR164">
        <v>0</v>
      </c>
      <c r="AS164">
        <v>0</v>
      </c>
      <c r="AT164">
        <f t="shared" si="13"/>
        <v>6.7200000000000006</v>
      </c>
      <c r="AU164">
        <f t="shared" si="11"/>
        <v>3.3533333333333331</v>
      </c>
      <c r="AV164">
        <f t="shared" si="12"/>
        <v>912.6</v>
      </c>
      <c r="AW164">
        <v>47.8</v>
      </c>
      <c r="AX164">
        <v>515</v>
      </c>
      <c r="AY164">
        <v>852</v>
      </c>
      <c r="BB164" t="s">
        <v>488</v>
      </c>
      <c r="BC164" t="s">
        <v>590</v>
      </c>
    </row>
    <row r="165" spans="1:55" x14ac:dyDescent="0.45">
      <c r="A165">
        <v>164</v>
      </c>
      <c r="C165">
        <v>63.6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4</v>
      </c>
      <c r="K165">
        <v>24</v>
      </c>
      <c r="L165">
        <v>0</v>
      </c>
      <c r="M165">
        <v>8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0.4</v>
      </c>
      <c r="U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f t="shared" si="14"/>
        <v>937.2</v>
      </c>
      <c r="AD165">
        <v>0</v>
      </c>
      <c r="AE165">
        <v>0</v>
      </c>
      <c r="AF165">
        <v>1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1</v>
      </c>
      <c r="AN165">
        <v>0</v>
      </c>
      <c r="AO165">
        <v>1</v>
      </c>
      <c r="AP165">
        <v>0</v>
      </c>
      <c r="AQ165">
        <v>1</v>
      </c>
      <c r="AR165">
        <v>0</v>
      </c>
      <c r="AS165">
        <v>0</v>
      </c>
      <c r="AT165">
        <f t="shared" si="13"/>
        <v>6.7200000000000006</v>
      </c>
      <c r="AU165">
        <f t="shared" si="11"/>
        <v>3.3733333333333331</v>
      </c>
      <c r="AV165">
        <f t="shared" si="12"/>
        <v>937.2</v>
      </c>
      <c r="AW165">
        <v>53.2</v>
      </c>
      <c r="AX165">
        <v>649</v>
      </c>
      <c r="AY165">
        <v>778</v>
      </c>
      <c r="BB165" t="s">
        <v>488</v>
      </c>
      <c r="BC165" t="s">
        <v>590</v>
      </c>
    </row>
    <row r="166" spans="1:55" x14ac:dyDescent="0.45">
      <c r="A166">
        <v>165</v>
      </c>
      <c r="C166">
        <v>75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25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f t="shared" si="14"/>
        <v>882</v>
      </c>
      <c r="AD166">
        <v>0</v>
      </c>
      <c r="AE166">
        <v>1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0</v>
      </c>
      <c r="AM166">
        <v>1</v>
      </c>
      <c r="AN166">
        <v>0</v>
      </c>
      <c r="AO166">
        <v>0</v>
      </c>
      <c r="AP166">
        <v>0</v>
      </c>
      <c r="AQ166">
        <v>1</v>
      </c>
      <c r="AR166">
        <v>0</v>
      </c>
      <c r="AS166">
        <v>0</v>
      </c>
      <c r="AT166">
        <f t="shared" si="13"/>
        <v>7.0000000000000009</v>
      </c>
      <c r="AU166">
        <f t="shared" si="11"/>
        <v>0</v>
      </c>
      <c r="AV166">
        <f t="shared" si="12"/>
        <v>882</v>
      </c>
      <c r="AW166">
        <v>64</v>
      </c>
      <c r="AX166">
        <v>456</v>
      </c>
      <c r="AY166">
        <v>688</v>
      </c>
      <c r="BA166">
        <v>181</v>
      </c>
      <c r="BB166" t="s">
        <v>489</v>
      </c>
      <c r="BC166" t="s">
        <v>591</v>
      </c>
    </row>
    <row r="167" spans="1:55" x14ac:dyDescent="0.45">
      <c r="A167">
        <v>166</v>
      </c>
      <c r="C167">
        <v>72.5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25</v>
      </c>
      <c r="L167">
        <v>0</v>
      </c>
      <c r="M167">
        <v>0</v>
      </c>
      <c r="N167">
        <v>0</v>
      </c>
      <c r="O167">
        <v>2.5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f t="shared" si="14"/>
        <v>882</v>
      </c>
      <c r="AD167">
        <v>0</v>
      </c>
      <c r="AE167">
        <v>1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0</v>
      </c>
      <c r="AM167">
        <v>1</v>
      </c>
      <c r="AN167">
        <v>0</v>
      </c>
      <c r="AO167">
        <v>0</v>
      </c>
      <c r="AP167">
        <v>0</v>
      </c>
      <c r="AQ167">
        <v>1</v>
      </c>
      <c r="AR167">
        <v>0</v>
      </c>
      <c r="AS167">
        <v>0</v>
      </c>
      <c r="AT167">
        <f t="shared" si="13"/>
        <v>7.5500000000000007</v>
      </c>
      <c r="AU167">
        <f t="shared" si="11"/>
        <v>0</v>
      </c>
      <c r="AV167">
        <f t="shared" si="12"/>
        <v>882</v>
      </c>
      <c r="AW167">
        <v>71</v>
      </c>
      <c r="AX167">
        <v>374</v>
      </c>
      <c r="AY167">
        <v>642</v>
      </c>
      <c r="BA167">
        <v>159</v>
      </c>
      <c r="BB167" t="s">
        <v>489</v>
      </c>
      <c r="BC167" t="s">
        <v>591</v>
      </c>
    </row>
    <row r="168" spans="1:55" x14ac:dyDescent="0.45">
      <c r="A168">
        <v>167</v>
      </c>
      <c r="C168">
        <v>70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25</v>
      </c>
      <c r="L168">
        <v>0</v>
      </c>
      <c r="M168">
        <v>0</v>
      </c>
      <c r="N168">
        <v>0</v>
      </c>
      <c r="O168">
        <v>5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f t="shared" si="14"/>
        <v>882</v>
      </c>
      <c r="AD168">
        <v>0</v>
      </c>
      <c r="AE168">
        <v>1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1</v>
      </c>
      <c r="AN168">
        <v>0</v>
      </c>
      <c r="AO168">
        <v>0</v>
      </c>
      <c r="AP168">
        <v>0</v>
      </c>
      <c r="AQ168">
        <v>1</v>
      </c>
      <c r="AR168">
        <v>0</v>
      </c>
      <c r="AS168">
        <v>0</v>
      </c>
      <c r="AT168">
        <f t="shared" si="13"/>
        <v>8.1000000000000014</v>
      </c>
      <c r="AU168">
        <f t="shared" si="11"/>
        <v>0</v>
      </c>
      <c r="AV168">
        <f t="shared" si="12"/>
        <v>882</v>
      </c>
      <c r="AW168">
        <v>78</v>
      </c>
      <c r="AX168">
        <v>433</v>
      </c>
      <c r="AY168">
        <v>543</v>
      </c>
      <c r="BA168">
        <v>165</v>
      </c>
      <c r="BB168" t="s">
        <v>489</v>
      </c>
      <c r="BC168" t="s">
        <v>591</v>
      </c>
    </row>
    <row r="169" spans="1:55" x14ac:dyDescent="0.45">
      <c r="A169">
        <v>168</v>
      </c>
      <c r="C169">
        <v>67.5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25</v>
      </c>
      <c r="L169">
        <v>0</v>
      </c>
      <c r="M169">
        <v>0</v>
      </c>
      <c r="N169">
        <v>0</v>
      </c>
      <c r="O169">
        <v>7.5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f t="shared" si="14"/>
        <v>882</v>
      </c>
      <c r="AD169">
        <v>0</v>
      </c>
      <c r="AE169">
        <v>1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1</v>
      </c>
      <c r="AN169">
        <v>0</v>
      </c>
      <c r="AO169">
        <v>0</v>
      </c>
      <c r="AP169">
        <v>0</v>
      </c>
      <c r="AQ169">
        <v>1</v>
      </c>
      <c r="AR169">
        <v>0</v>
      </c>
      <c r="AS169">
        <v>0</v>
      </c>
      <c r="AT169">
        <f t="shared" si="13"/>
        <v>8.65</v>
      </c>
      <c r="AU169">
        <f t="shared" si="11"/>
        <v>0</v>
      </c>
      <c r="AV169">
        <f t="shared" si="12"/>
        <v>882</v>
      </c>
      <c r="AW169">
        <v>78</v>
      </c>
      <c r="AX169">
        <v>376</v>
      </c>
      <c r="AY169">
        <v>590</v>
      </c>
      <c r="BA169">
        <v>172</v>
      </c>
      <c r="BB169" t="s">
        <v>489</v>
      </c>
      <c r="BC169" t="s">
        <v>591</v>
      </c>
    </row>
    <row r="170" spans="1:55" x14ac:dyDescent="0.45">
      <c r="A170">
        <v>169</v>
      </c>
      <c r="C170">
        <v>70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30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f t="shared" si="14"/>
        <v>882</v>
      </c>
      <c r="AD170">
        <v>0</v>
      </c>
      <c r="AE170">
        <v>1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1</v>
      </c>
      <c r="AN170">
        <v>0</v>
      </c>
      <c r="AO170">
        <v>0</v>
      </c>
      <c r="AP170">
        <v>0</v>
      </c>
      <c r="AQ170">
        <v>1</v>
      </c>
      <c r="AR170">
        <v>0</v>
      </c>
      <c r="AS170">
        <v>0</v>
      </c>
      <c r="AT170">
        <f t="shared" si="13"/>
        <v>8.4</v>
      </c>
      <c r="AU170">
        <f t="shared" si="11"/>
        <v>0</v>
      </c>
      <c r="AV170">
        <f t="shared" si="12"/>
        <v>882</v>
      </c>
      <c r="AW170">
        <v>79</v>
      </c>
      <c r="AX170">
        <v>327</v>
      </c>
      <c r="AY170">
        <v>532</v>
      </c>
      <c r="BA170">
        <v>193</v>
      </c>
      <c r="BB170" t="s">
        <v>489</v>
      </c>
      <c r="BC170" t="s">
        <v>591</v>
      </c>
    </row>
    <row r="171" spans="1:55" x14ac:dyDescent="0.45">
      <c r="A171">
        <v>170</v>
      </c>
      <c r="C171">
        <v>67.5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30</v>
      </c>
      <c r="L171">
        <v>0</v>
      </c>
      <c r="M171">
        <v>0</v>
      </c>
      <c r="N171">
        <v>0</v>
      </c>
      <c r="O171">
        <v>2.5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f t="shared" si="14"/>
        <v>882</v>
      </c>
      <c r="AD171">
        <v>0</v>
      </c>
      <c r="AE171">
        <v>1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</v>
      </c>
      <c r="AM171">
        <v>1</v>
      </c>
      <c r="AN171">
        <v>0</v>
      </c>
      <c r="AO171">
        <v>0</v>
      </c>
      <c r="AP171">
        <v>0</v>
      </c>
      <c r="AQ171">
        <v>1</v>
      </c>
      <c r="AR171">
        <v>0</v>
      </c>
      <c r="AS171">
        <v>0</v>
      </c>
      <c r="AT171">
        <f t="shared" si="13"/>
        <v>8.9500000000000011</v>
      </c>
      <c r="AU171">
        <f t="shared" si="11"/>
        <v>0</v>
      </c>
      <c r="AV171">
        <f t="shared" si="12"/>
        <v>882</v>
      </c>
      <c r="AW171">
        <v>81</v>
      </c>
      <c r="AX171">
        <v>411</v>
      </c>
      <c r="AY171">
        <v>584</v>
      </c>
      <c r="BA171">
        <v>180</v>
      </c>
      <c r="BB171" t="s">
        <v>489</v>
      </c>
      <c r="BC171" t="s">
        <v>591</v>
      </c>
    </row>
    <row r="172" spans="1:55" x14ac:dyDescent="0.45">
      <c r="A172">
        <v>171</v>
      </c>
      <c r="C172">
        <v>65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30</v>
      </c>
      <c r="L172">
        <v>0</v>
      </c>
      <c r="M172">
        <v>0</v>
      </c>
      <c r="N172">
        <v>0</v>
      </c>
      <c r="O172">
        <v>5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f t="shared" si="14"/>
        <v>882</v>
      </c>
      <c r="AD172">
        <v>0</v>
      </c>
      <c r="AE172">
        <v>1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0</v>
      </c>
      <c r="AM172">
        <v>1</v>
      </c>
      <c r="AN172">
        <v>0</v>
      </c>
      <c r="AO172">
        <v>0</v>
      </c>
      <c r="AP172">
        <v>0</v>
      </c>
      <c r="AQ172">
        <v>1</v>
      </c>
      <c r="AR172">
        <v>0</v>
      </c>
      <c r="AS172">
        <v>0</v>
      </c>
      <c r="AT172">
        <f t="shared" si="13"/>
        <v>9.5</v>
      </c>
      <c r="AU172">
        <f t="shared" si="11"/>
        <v>0</v>
      </c>
      <c r="AV172">
        <f t="shared" si="12"/>
        <v>882</v>
      </c>
      <c r="AW172">
        <v>80</v>
      </c>
      <c r="AX172">
        <v>377</v>
      </c>
      <c r="AY172">
        <v>595</v>
      </c>
      <c r="BA172">
        <v>197</v>
      </c>
      <c r="BB172" t="s">
        <v>489</v>
      </c>
      <c r="BC172" t="s">
        <v>591</v>
      </c>
    </row>
    <row r="173" spans="1:55" x14ac:dyDescent="0.45">
      <c r="A173">
        <v>172</v>
      </c>
      <c r="C173">
        <v>62.5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30</v>
      </c>
      <c r="L173">
        <v>0</v>
      </c>
      <c r="M173">
        <v>0</v>
      </c>
      <c r="N173">
        <v>0</v>
      </c>
      <c r="O173">
        <v>7.5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f t="shared" si="14"/>
        <v>882</v>
      </c>
      <c r="AD173">
        <v>0</v>
      </c>
      <c r="AE173">
        <v>1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0</v>
      </c>
      <c r="AM173">
        <v>1</v>
      </c>
      <c r="AN173">
        <v>0</v>
      </c>
      <c r="AO173">
        <v>0</v>
      </c>
      <c r="AP173">
        <v>0</v>
      </c>
      <c r="AQ173">
        <v>1</v>
      </c>
      <c r="AR173">
        <v>0</v>
      </c>
      <c r="AS173">
        <v>0</v>
      </c>
      <c r="AT173">
        <f t="shared" si="13"/>
        <v>10.050000000000001</v>
      </c>
      <c r="AU173">
        <f t="shared" si="11"/>
        <v>0</v>
      </c>
      <c r="AV173">
        <f t="shared" si="12"/>
        <v>882</v>
      </c>
      <c r="AW173">
        <v>81</v>
      </c>
      <c r="AX173">
        <v>395</v>
      </c>
      <c r="AY173">
        <v>584</v>
      </c>
      <c r="BA173">
        <v>215</v>
      </c>
      <c r="BB173" t="s">
        <v>489</v>
      </c>
      <c r="BC173" t="s">
        <v>591</v>
      </c>
    </row>
    <row r="174" spans="1:55" x14ac:dyDescent="0.45">
      <c r="A174">
        <v>173</v>
      </c>
      <c r="C174">
        <v>65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35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f t="shared" si="14"/>
        <v>882</v>
      </c>
      <c r="AD174">
        <v>0</v>
      </c>
      <c r="AE174">
        <v>1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0</v>
      </c>
      <c r="AM174">
        <v>1</v>
      </c>
      <c r="AN174">
        <v>0</v>
      </c>
      <c r="AO174">
        <v>1</v>
      </c>
      <c r="AP174">
        <v>0</v>
      </c>
      <c r="AQ174">
        <v>1</v>
      </c>
      <c r="AR174">
        <v>0</v>
      </c>
      <c r="AS174">
        <v>0</v>
      </c>
      <c r="AT174">
        <f t="shared" si="13"/>
        <v>9.8000000000000007</v>
      </c>
      <c r="AU174">
        <f t="shared" si="11"/>
        <v>0</v>
      </c>
      <c r="AV174">
        <f t="shared" si="12"/>
        <v>882</v>
      </c>
      <c r="AW174">
        <v>85</v>
      </c>
      <c r="AX174">
        <v>338</v>
      </c>
      <c r="AY174">
        <v>556</v>
      </c>
      <c r="BA174">
        <v>199</v>
      </c>
      <c r="BB174" t="s">
        <v>489</v>
      </c>
      <c r="BC174" t="s">
        <v>591</v>
      </c>
    </row>
    <row r="175" spans="1:55" x14ac:dyDescent="0.45">
      <c r="A175">
        <v>174</v>
      </c>
      <c r="C175">
        <v>62.5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35</v>
      </c>
      <c r="L175">
        <v>0</v>
      </c>
      <c r="M175">
        <v>0</v>
      </c>
      <c r="N175">
        <v>0</v>
      </c>
      <c r="O175">
        <v>2.5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f t="shared" si="14"/>
        <v>882</v>
      </c>
      <c r="AD175">
        <v>0</v>
      </c>
      <c r="AE175">
        <v>1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  <c r="AL175">
        <v>0</v>
      </c>
      <c r="AM175">
        <v>1</v>
      </c>
      <c r="AN175">
        <v>0</v>
      </c>
      <c r="AO175">
        <v>1</v>
      </c>
      <c r="AP175">
        <v>0</v>
      </c>
      <c r="AQ175">
        <v>1</v>
      </c>
      <c r="AR175">
        <v>0</v>
      </c>
      <c r="AS175">
        <v>0</v>
      </c>
      <c r="AT175">
        <f t="shared" si="13"/>
        <v>10.350000000000001</v>
      </c>
      <c r="AU175">
        <f t="shared" si="11"/>
        <v>0</v>
      </c>
      <c r="AV175">
        <f t="shared" si="12"/>
        <v>882</v>
      </c>
      <c r="AW175">
        <v>85</v>
      </c>
      <c r="AX175">
        <v>303</v>
      </c>
      <c r="AY175">
        <v>580</v>
      </c>
      <c r="BA175">
        <v>202</v>
      </c>
      <c r="BB175" t="s">
        <v>489</v>
      </c>
      <c r="BC175" t="s">
        <v>591</v>
      </c>
    </row>
    <row r="176" spans="1:55" x14ac:dyDescent="0.45">
      <c r="A176">
        <v>175</v>
      </c>
      <c r="C176">
        <v>60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35</v>
      </c>
      <c r="L176">
        <v>0</v>
      </c>
      <c r="M176">
        <v>0</v>
      </c>
      <c r="N176">
        <v>0</v>
      </c>
      <c r="O176">
        <v>5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f t="shared" si="14"/>
        <v>882</v>
      </c>
      <c r="AD176">
        <v>0</v>
      </c>
      <c r="AE176">
        <v>1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  <c r="AL176">
        <v>0</v>
      </c>
      <c r="AM176">
        <v>1</v>
      </c>
      <c r="AN176">
        <v>0</v>
      </c>
      <c r="AO176">
        <v>1</v>
      </c>
      <c r="AP176">
        <v>0</v>
      </c>
      <c r="AQ176">
        <v>1</v>
      </c>
      <c r="AR176">
        <v>0</v>
      </c>
      <c r="AS176">
        <v>0</v>
      </c>
      <c r="AT176">
        <f t="shared" si="13"/>
        <v>10.9</v>
      </c>
      <c r="AU176">
        <f t="shared" si="11"/>
        <v>0</v>
      </c>
      <c r="AV176">
        <f t="shared" si="12"/>
        <v>882</v>
      </c>
      <c r="AW176">
        <v>84</v>
      </c>
      <c r="AX176">
        <v>340</v>
      </c>
      <c r="AY176">
        <v>602</v>
      </c>
      <c r="BA176">
        <v>206</v>
      </c>
      <c r="BB176" t="s">
        <v>489</v>
      </c>
      <c r="BC176" t="s">
        <v>591</v>
      </c>
    </row>
    <row r="177" spans="1:55" x14ac:dyDescent="0.45">
      <c r="A177">
        <v>176</v>
      </c>
      <c r="C177">
        <v>57.5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35</v>
      </c>
      <c r="L177">
        <v>0</v>
      </c>
      <c r="M177">
        <v>0</v>
      </c>
      <c r="N177">
        <v>0</v>
      </c>
      <c r="O177">
        <v>7.5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f t="shared" si="14"/>
        <v>882</v>
      </c>
      <c r="AD177">
        <v>0</v>
      </c>
      <c r="AE177">
        <v>1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0</v>
      </c>
      <c r="AM177">
        <v>1</v>
      </c>
      <c r="AN177">
        <v>0</v>
      </c>
      <c r="AO177">
        <v>1</v>
      </c>
      <c r="AP177">
        <v>0</v>
      </c>
      <c r="AQ177">
        <v>0</v>
      </c>
      <c r="AR177">
        <v>0</v>
      </c>
      <c r="AS177">
        <v>0</v>
      </c>
      <c r="AT177">
        <f t="shared" si="13"/>
        <v>11.450000000000001</v>
      </c>
      <c r="AU177">
        <f t="shared" si="11"/>
        <v>0</v>
      </c>
      <c r="AV177">
        <f t="shared" si="12"/>
        <v>882</v>
      </c>
      <c r="AW177">
        <v>90</v>
      </c>
      <c r="AX177">
        <v>314</v>
      </c>
      <c r="AY177">
        <v>585</v>
      </c>
      <c r="BA177">
        <v>231</v>
      </c>
      <c r="BB177" t="s">
        <v>489</v>
      </c>
      <c r="BC177" t="s">
        <v>591</v>
      </c>
    </row>
    <row r="178" spans="1:55" x14ac:dyDescent="0.45">
      <c r="A178">
        <v>177</v>
      </c>
      <c r="C178">
        <v>36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38</v>
      </c>
      <c r="K178">
        <v>24</v>
      </c>
      <c r="L178">
        <v>2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f t="shared" si="14"/>
        <v>600.79999999999995</v>
      </c>
      <c r="AD178">
        <v>0</v>
      </c>
      <c r="AE178">
        <v>1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0</v>
      </c>
      <c r="AM178">
        <v>1</v>
      </c>
      <c r="AN178">
        <v>0</v>
      </c>
      <c r="AO178">
        <v>1</v>
      </c>
      <c r="AP178">
        <v>0</v>
      </c>
      <c r="AQ178">
        <v>0</v>
      </c>
      <c r="AR178">
        <v>0</v>
      </c>
      <c r="AS178">
        <v>0</v>
      </c>
      <c r="AT178">
        <f t="shared" si="13"/>
        <v>8.7200000000000006</v>
      </c>
      <c r="AU178">
        <f t="shared" si="11"/>
        <v>6.333333333333333</v>
      </c>
      <c r="AV178">
        <f t="shared" si="12"/>
        <v>600.79999999999995</v>
      </c>
      <c r="AW178">
        <v>64.2</v>
      </c>
      <c r="AX178">
        <v>714</v>
      </c>
      <c r="AY178">
        <v>772</v>
      </c>
      <c r="BA178">
        <v>251</v>
      </c>
      <c r="BB178" t="s">
        <v>490</v>
      </c>
      <c r="BC178" t="s">
        <v>592</v>
      </c>
    </row>
    <row r="179" spans="1:55" x14ac:dyDescent="0.45">
      <c r="A179">
        <v>178</v>
      </c>
      <c r="C179">
        <v>35.9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38</v>
      </c>
      <c r="K179">
        <v>24</v>
      </c>
      <c r="L179">
        <v>2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0.1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f t="shared" si="14"/>
        <v>600.79999999999995</v>
      </c>
      <c r="AD179">
        <v>0</v>
      </c>
      <c r="AE179">
        <v>1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1</v>
      </c>
      <c r="AN179">
        <v>0</v>
      </c>
      <c r="AO179">
        <v>1</v>
      </c>
      <c r="AP179">
        <v>0</v>
      </c>
      <c r="AQ179">
        <v>0</v>
      </c>
      <c r="AR179">
        <v>0</v>
      </c>
      <c r="AS179">
        <v>0</v>
      </c>
      <c r="AT179">
        <f t="shared" si="13"/>
        <v>8.7200000000000006</v>
      </c>
      <c r="AU179">
        <f t="shared" si="11"/>
        <v>6.333333333333333</v>
      </c>
      <c r="AV179">
        <f t="shared" si="12"/>
        <v>600.79999999999995</v>
      </c>
      <c r="AW179">
        <v>65.400000000000006</v>
      </c>
      <c r="AX179">
        <v>780</v>
      </c>
      <c r="AY179">
        <v>809</v>
      </c>
      <c r="BA179">
        <v>265</v>
      </c>
      <c r="BB179" t="s">
        <v>490</v>
      </c>
      <c r="BC179" t="s">
        <v>592</v>
      </c>
    </row>
    <row r="180" spans="1:55" x14ac:dyDescent="0.45">
      <c r="A180">
        <v>179</v>
      </c>
      <c r="C180">
        <v>65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30</v>
      </c>
      <c r="L180">
        <v>1</v>
      </c>
      <c r="M180">
        <v>4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f t="shared" ref="AC180:AC199" si="15">(AV180)+0</f>
        <v>889.3</v>
      </c>
      <c r="AD180">
        <v>0</v>
      </c>
      <c r="AE180">
        <v>1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0</v>
      </c>
      <c r="AM180">
        <v>1</v>
      </c>
      <c r="AN180">
        <v>0</v>
      </c>
      <c r="AO180">
        <v>1</v>
      </c>
      <c r="AP180">
        <v>0</v>
      </c>
      <c r="AQ180">
        <v>1</v>
      </c>
      <c r="AR180">
        <v>0</v>
      </c>
      <c r="AS180">
        <v>0</v>
      </c>
      <c r="AT180">
        <f t="shared" si="13"/>
        <v>9.4</v>
      </c>
      <c r="AU180">
        <f t="shared" si="11"/>
        <v>1.3333333333333333</v>
      </c>
      <c r="AV180">
        <f t="shared" si="12"/>
        <v>889.3</v>
      </c>
      <c r="AW180">
        <v>45</v>
      </c>
      <c r="AX180">
        <v>220</v>
      </c>
      <c r="BB180" t="s">
        <v>491</v>
      </c>
      <c r="BC180" t="s">
        <v>593</v>
      </c>
    </row>
    <row r="181" spans="1:55" x14ac:dyDescent="0.45">
      <c r="A181">
        <v>180</v>
      </c>
      <c r="C181">
        <v>52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7</v>
      </c>
      <c r="K181">
        <v>35</v>
      </c>
      <c r="L181">
        <v>0</v>
      </c>
      <c r="M181">
        <v>0</v>
      </c>
      <c r="N181">
        <v>0</v>
      </c>
      <c r="O181">
        <v>5</v>
      </c>
      <c r="P181">
        <v>0</v>
      </c>
      <c r="Q181">
        <v>1</v>
      </c>
      <c r="R181">
        <v>0</v>
      </c>
      <c r="S181">
        <v>0</v>
      </c>
      <c r="T181">
        <v>0</v>
      </c>
      <c r="U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f t="shared" si="15"/>
        <v>857</v>
      </c>
      <c r="AD181">
        <v>0</v>
      </c>
      <c r="AE181">
        <v>1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  <c r="AL181">
        <v>0</v>
      </c>
      <c r="AM181">
        <v>1</v>
      </c>
      <c r="AN181">
        <v>0</v>
      </c>
      <c r="AO181">
        <v>1</v>
      </c>
      <c r="AP181">
        <v>0</v>
      </c>
      <c r="AQ181">
        <v>0</v>
      </c>
      <c r="AR181">
        <v>0</v>
      </c>
      <c r="AS181">
        <v>1</v>
      </c>
      <c r="AT181">
        <f t="shared" si="13"/>
        <v>10.9</v>
      </c>
      <c r="AU181">
        <f t="shared" si="11"/>
        <v>1.1666666666666667</v>
      </c>
      <c r="AV181">
        <f t="shared" si="12"/>
        <v>857</v>
      </c>
      <c r="AW181">
        <v>70</v>
      </c>
      <c r="AX181">
        <v>561</v>
      </c>
      <c r="AY181">
        <v>618</v>
      </c>
      <c r="BB181" t="s">
        <v>492</v>
      </c>
      <c r="BC181" t="s">
        <v>594</v>
      </c>
    </row>
    <row r="182" spans="1:55" x14ac:dyDescent="0.45">
      <c r="A182">
        <v>181</v>
      </c>
      <c r="C182">
        <v>51</v>
      </c>
      <c r="D182">
        <v>0</v>
      </c>
      <c r="E182">
        <v>0</v>
      </c>
      <c r="F182">
        <v>0</v>
      </c>
      <c r="G182">
        <v>0</v>
      </c>
      <c r="H182">
        <v>2</v>
      </c>
      <c r="I182">
        <v>0</v>
      </c>
      <c r="J182">
        <v>7</v>
      </c>
      <c r="K182">
        <v>35</v>
      </c>
      <c r="L182">
        <v>0</v>
      </c>
      <c r="M182">
        <v>0</v>
      </c>
      <c r="N182">
        <v>0</v>
      </c>
      <c r="O182">
        <v>5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f t="shared" si="15"/>
        <v>802.90000000000009</v>
      </c>
      <c r="AD182">
        <v>0</v>
      </c>
      <c r="AE182">
        <v>1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>
        <v>0</v>
      </c>
      <c r="AM182">
        <v>1</v>
      </c>
      <c r="AN182">
        <v>0</v>
      </c>
      <c r="AO182">
        <v>1</v>
      </c>
      <c r="AP182">
        <v>0</v>
      </c>
      <c r="AQ182">
        <v>0</v>
      </c>
      <c r="AR182">
        <v>0</v>
      </c>
      <c r="AS182">
        <v>0</v>
      </c>
      <c r="AT182">
        <f t="shared" si="13"/>
        <v>16.7</v>
      </c>
      <c r="AU182">
        <f t="shared" si="11"/>
        <v>1.1666666666666667</v>
      </c>
      <c r="AV182">
        <f t="shared" si="12"/>
        <v>802.90000000000009</v>
      </c>
      <c r="AW182">
        <v>81</v>
      </c>
      <c r="AX182">
        <v>588</v>
      </c>
      <c r="AY182">
        <v>721</v>
      </c>
      <c r="BB182" t="s">
        <v>492</v>
      </c>
      <c r="BC182" t="s">
        <v>594</v>
      </c>
    </row>
    <row r="183" spans="1:55" x14ac:dyDescent="0.45">
      <c r="A183">
        <v>182</v>
      </c>
      <c r="C183">
        <v>51.5</v>
      </c>
      <c r="D183">
        <v>0</v>
      </c>
      <c r="E183">
        <v>0</v>
      </c>
      <c r="F183">
        <v>0</v>
      </c>
      <c r="G183">
        <v>0</v>
      </c>
      <c r="H183">
        <v>1</v>
      </c>
      <c r="I183">
        <v>0</v>
      </c>
      <c r="J183">
        <v>7</v>
      </c>
      <c r="K183">
        <v>35</v>
      </c>
      <c r="L183">
        <v>0</v>
      </c>
      <c r="M183">
        <v>0</v>
      </c>
      <c r="N183">
        <v>0</v>
      </c>
      <c r="O183">
        <v>5</v>
      </c>
      <c r="P183">
        <v>0</v>
      </c>
      <c r="Q183">
        <v>0.5</v>
      </c>
      <c r="R183">
        <v>0</v>
      </c>
      <c r="S183">
        <v>0</v>
      </c>
      <c r="T183">
        <v>0</v>
      </c>
      <c r="U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f t="shared" si="15"/>
        <v>829.95</v>
      </c>
      <c r="AD183">
        <v>0</v>
      </c>
      <c r="AE183">
        <v>1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0</v>
      </c>
      <c r="AM183">
        <v>1</v>
      </c>
      <c r="AN183">
        <v>0</v>
      </c>
      <c r="AO183">
        <v>1</v>
      </c>
      <c r="AP183">
        <v>0</v>
      </c>
      <c r="AQ183">
        <v>0</v>
      </c>
      <c r="AR183">
        <v>0</v>
      </c>
      <c r="AS183">
        <v>1</v>
      </c>
      <c r="AT183">
        <f t="shared" si="13"/>
        <v>13.8</v>
      </c>
      <c r="AU183">
        <f t="shared" si="11"/>
        <v>1.1666666666666667</v>
      </c>
      <c r="AV183">
        <f t="shared" si="12"/>
        <v>829.95</v>
      </c>
      <c r="AW183">
        <v>75</v>
      </c>
      <c r="AX183">
        <v>632</v>
      </c>
      <c r="AY183">
        <v>683</v>
      </c>
      <c r="BB183" t="s">
        <v>492</v>
      </c>
      <c r="BC183" t="s">
        <v>594</v>
      </c>
    </row>
    <row r="184" spans="1:55" x14ac:dyDescent="0.45">
      <c r="A184">
        <v>183</v>
      </c>
      <c r="C184">
        <v>50.5</v>
      </c>
      <c r="D184">
        <v>0</v>
      </c>
      <c r="E184">
        <v>0</v>
      </c>
      <c r="F184">
        <v>0</v>
      </c>
      <c r="G184">
        <v>0</v>
      </c>
      <c r="H184">
        <v>2</v>
      </c>
      <c r="I184">
        <v>0</v>
      </c>
      <c r="J184">
        <v>7</v>
      </c>
      <c r="K184">
        <v>35</v>
      </c>
      <c r="L184">
        <v>0</v>
      </c>
      <c r="M184">
        <v>0</v>
      </c>
      <c r="N184">
        <v>0</v>
      </c>
      <c r="O184">
        <v>5</v>
      </c>
      <c r="P184">
        <v>0</v>
      </c>
      <c r="Q184">
        <v>0.5</v>
      </c>
      <c r="R184">
        <v>0</v>
      </c>
      <c r="S184">
        <v>0</v>
      </c>
      <c r="T184">
        <v>0</v>
      </c>
      <c r="U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f t="shared" si="15"/>
        <v>814.55000000000007</v>
      </c>
      <c r="AD184">
        <v>0</v>
      </c>
      <c r="AE184">
        <v>1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  <c r="AL184">
        <v>0</v>
      </c>
      <c r="AM184">
        <v>1</v>
      </c>
      <c r="AN184">
        <v>0</v>
      </c>
      <c r="AO184">
        <v>1</v>
      </c>
      <c r="AP184">
        <v>0</v>
      </c>
      <c r="AQ184">
        <v>0</v>
      </c>
      <c r="AR184">
        <v>0</v>
      </c>
      <c r="AS184">
        <v>1</v>
      </c>
      <c r="AT184">
        <f t="shared" si="13"/>
        <v>16.7</v>
      </c>
      <c r="AU184">
        <f t="shared" si="11"/>
        <v>1.1666666666666667</v>
      </c>
      <c r="AV184">
        <f t="shared" si="12"/>
        <v>814.55000000000007</v>
      </c>
      <c r="AW184">
        <v>85</v>
      </c>
      <c r="AX184">
        <v>720</v>
      </c>
      <c r="AY184">
        <v>841</v>
      </c>
      <c r="BB184" t="s">
        <v>492</v>
      </c>
      <c r="BC184" t="s">
        <v>594</v>
      </c>
    </row>
    <row r="185" spans="1:55" x14ac:dyDescent="0.45">
      <c r="A185">
        <v>184</v>
      </c>
      <c r="C185">
        <v>51</v>
      </c>
      <c r="D185">
        <v>0</v>
      </c>
      <c r="E185">
        <v>0</v>
      </c>
      <c r="F185">
        <v>0</v>
      </c>
      <c r="G185">
        <v>0</v>
      </c>
      <c r="H185">
        <v>1</v>
      </c>
      <c r="I185">
        <v>0</v>
      </c>
      <c r="J185">
        <v>7</v>
      </c>
      <c r="K185">
        <v>35</v>
      </c>
      <c r="L185">
        <v>0</v>
      </c>
      <c r="M185">
        <v>0</v>
      </c>
      <c r="N185">
        <v>0</v>
      </c>
      <c r="O185">
        <v>5</v>
      </c>
      <c r="P185">
        <v>0</v>
      </c>
      <c r="Q185">
        <v>1</v>
      </c>
      <c r="R185">
        <v>0</v>
      </c>
      <c r="S185">
        <v>0</v>
      </c>
      <c r="T185">
        <v>0</v>
      </c>
      <c r="U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f t="shared" si="15"/>
        <v>841.6</v>
      </c>
      <c r="AD185">
        <v>0</v>
      </c>
      <c r="AE185">
        <v>1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1</v>
      </c>
      <c r="AN185">
        <v>0</v>
      </c>
      <c r="AO185">
        <v>1</v>
      </c>
      <c r="AP185">
        <v>0</v>
      </c>
      <c r="AQ185">
        <v>0</v>
      </c>
      <c r="AR185">
        <v>0</v>
      </c>
      <c r="AS185">
        <v>1</v>
      </c>
      <c r="AT185">
        <f t="shared" si="13"/>
        <v>13.8</v>
      </c>
      <c r="AU185">
        <f t="shared" si="11"/>
        <v>1.1666666666666667</v>
      </c>
      <c r="AV185">
        <f t="shared" si="12"/>
        <v>841.6</v>
      </c>
      <c r="AW185">
        <v>79</v>
      </c>
      <c r="AX185">
        <v>613</v>
      </c>
      <c r="AY185">
        <v>652</v>
      </c>
      <c r="BB185" t="s">
        <v>492</v>
      </c>
      <c r="BC185" t="s">
        <v>594</v>
      </c>
    </row>
    <row r="186" spans="1:55" x14ac:dyDescent="0.45">
      <c r="A186">
        <v>185</v>
      </c>
      <c r="C186">
        <v>65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35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f t="shared" si="15"/>
        <v>882</v>
      </c>
      <c r="AD186">
        <v>0</v>
      </c>
      <c r="AE186">
        <v>1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1</v>
      </c>
      <c r="AN186">
        <v>0</v>
      </c>
      <c r="AO186">
        <v>1</v>
      </c>
      <c r="AP186">
        <v>0</v>
      </c>
      <c r="AQ186">
        <v>1</v>
      </c>
      <c r="AR186">
        <v>1</v>
      </c>
      <c r="AS186">
        <v>0</v>
      </c>
      <c r="AT186">
        <f t="shared" si="13"/>
        <v>9.8000000000000007</v>
      </c>
      <c r="AU186">
        <f t="shared" si="11"/>
        <v>0</v>
      </c>
      <c r="AV186">
        <f t="shared" si="12"/>
        <v>882</v>
      </c>
      <c r="AW186">
        <v>72</v>
      </c>
      <c r="AX186">
        <v>382</v>
      </c>
      <c r="AY186">
        <v>560</v>
      </c>
      <c r="BA186">
        <v>172</v>
      </c>
      <c r="BB186" t="s">
        <v>493</v>
      </c>
      <c r="BC186" t="s">
        <v>595</v>
      </c>
    </row>
    <row r="187" spans="1:55" x14ac:dyDescent="0.45">
      <c r="A187">
        <v>186</v>
      </c>
      <c r="C187">
        <v>64.849999999999994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35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0.15</v>
      </c>
      <c r="R187">
        <v>0</v>
      </c>
      <c r="S187">
        <v>0</v>
      </c>
      <c r="T187">
        <v>0</v>
      </c>
      <c r="U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f t="shared" si="15"/>
        <v>885.495</v>
      </c>
      <c r="AD187">
        <v>0</v>
      </c>
      <c r="AE187">
        <v>1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0</v>
      </c>
      <c r="AM187">
        <v>1</v>
      </c>
      <c r="AN187">
        <v>0</v>
      </c>
      <c r="AO187">
        <v>1</v>
      </c>
      <c r="AP187">
        <v>0</v>
      </c>
      <c r="AQ187">
        <v>1</v>
      </c>
      <c r="AR187">
        <v>1</v>
      </c>
      <c r="AS187">
        <v>0</v>
      </c>
      <c r="AT187">
        <f t="shared" si="13"/>
        <v>9.8000000000000007</v>
      </c>
      <c r="AU187">
        <f t="shared" si="11"/>
        <v>0</v>
      </c>
      <c r="AV187">
        <f t="shared" si="12"/>
        <v>885.495</v>
      </c>
      <c r="AW187">
        <v>66</v>
      </c>
      <c r="AX187">
        <v>389</v>
      </c>
      <c r="AY187">
        <v>573</v>
      </c>
      <c r="BA187">
        <v>190</v>
      </c>
      <c r="BB187" t="s">
        <v>493</v>
      </c>
      <c r="BC187" t="s">
        <v>595</v>
      </c>
    </row>
    <row r="188" spans="1:55" x14ac:dyDescent="0.45">
      <c r="A188">
        <v>187</v>
      </c>
      <c r="C188">
        <v>64.650000000000006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35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0.35</v>
      </c>
      <c r="R188">
        <v>0</v>
      </c>
      <c r="S188">
        <v>0</v>
      </c>
      <c r="T188">
        <v>0</v>
      </c>
      <c r="U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f t="shared" si="15"/>
        <v>890.15499999999997</v>
      </c>
      <c r="AD188">
        <v>0</v>
      </c>
      <c r="AE188">
        <v>1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1</v>
      </c>
      <c r="AN188">
        <v>0</v>
      </c>
      <c r="AO188">
        <v>1</v>
      </c>
      <c r="AP188">
        <v>0</v>
      </c>
      <c r="AQ188">
        <v>1</v>
      </c>
      <c r="AR188">
        <v>1</v>
      </c>
      <c r="AS188">
        <v>0</v>
      </c>
      <c r="AT188">
        <f t="shared" si="13"/>
        <v>9.8000000000000007</v>
      </c>
      <c r="AU188">
        <f t="shared" si="11"/>
        <v>0</v>
      </c>
      <c r="AV188">
        <f t="shared" si="12"/>
        <v>890.15499999999997</v>
      </c>
      <c r="AW188">
        <v>65</v>
      </c>
      <c r="AX188">
        <v>405</v>
      </c>
      <c r="AY188">
        <v>585</v>
      </c>
      <c r="BA188">
        <v>202</v>
      </c>
      <c r="BB188" t="s">
        <v>493</v>
      </c>
      <c r="BC188" t="s">
        <v>595</v>
      </c>
    </row>
    <row r="189" spans="1:55" x14ac:dyDescent="0.45">
      <c r="A189">
        <v>188</v>
      </c>
      <c r="C189">
        <v>64.45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35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0.55000000000000004</v>
      </c>
      <c r="R189">
        <v>0</v>
      </c>
      <c r="S189">
        <v>0</v>
      </c>
      <c r="T189">
        <v>0</v>
      </c>
      <c r="U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f t="shared" si="15"/>
        <v>894.81500000000005</v>
      </c>
      <c r="AD189">
        <v>0</v>
      </c>
      <c r="AE189">
        <v>1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0</v>
      </c>
      <c r="AM189">
        <v>1</v>
      </c>
      <c r="AN189">
        <v>0</v>
      </c>
      <c r="AO189">
        <v>1</v>
      </c>
      <c r="AP189">
        <v>0</v>
      </c>
      <c r="AQ189">
        <v>1</v>
      </c>
      <c r="AR189">
        <v>1</v>
      </c>
      <c r="AS189">
        <v>0</v>
      </c>
      <c r="AT189">
        <f t="shared" si="13"/>
        <v>9.8000000000000007</v>
      </c>
      <c r="AU189">
        <f t="shared" si="11"/>
        <v>0</v>
      </c>
      <c r="AV189">
        <f t="shared" si="12"/>
        <v>894.81500000000005</v>
      </c>
      <c r="AW189">
        <v>65</v>
      </c>
      <c r="AX189">
        <v>540</v>
      </c>
      <c r="AY189">
        <v>658</v>
      </c>
      <c r="BA189">
        <v>223</v>
      </c>
      <c r="BB189" t="s">
        <v>493</v>
      </c>
      <c r="BC189" t="s">
        <v>595</v>
      </c>
    </row>
    <row r="190" spans="1:55" x14ac:dyDescent="0.45">
      <c r="A190">
        <v>189</v>
      </c>
      <c r="C190">
        <v>92</v>
      </c>
      <c r="D190">
        <v>0</v>
      </c>
      <c r="E190">
        <v>0</v>
      </c>
      <c r="F190">
        <v>8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f t="shared" si="15"/>
        <v>785.2</v>
      </c>
      <c r="AD190">
        <v>0</v>
      </c>
      <c r="AE190">
        <v>1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1</v>
      </c>
      <c r="AN190">
        <v>0</v>
      </c>
      <c r="AO190">
        <v>1</v>
      </c>
      <c r="AP190">
        <v>0</v>
      </c>
      <c r="AQ190">
        <v>0</v>
      </c>
      <c r="AR190">
        <v>1</v>
      </c>
      <c r="AS190">
        <v>0</v>
      </c>
      <c r="AT190">
        <f t="shared" si="13"/>
        <v>12.8</v>
      </c>
      <c r="AU190">
        <f t="shared" si="11"/>
        <v>0</v>
      </c>
      <c r="AV190">
        <f t="shared" si="12"/>
        <v>785.2</v>
      </c>
      <c r="AX190">
        <v>662</v>
      </c>
      <c r="AY190">
        <v>769</v>
      </c>
      <c r="BB190" t="s">
        <v>494</v>
      </c>
      <c r="BC190" t="s">
        <v>596</v>
      </c>
    </row>
    <row r="191" spans="1:55" x14ac:dyDescent="0.45">
      <c r="A191">
        <v>190</v>
      </c>
      <c r="C191">
        <v>90</v>
      </c>
      <c r="D191">
        <v>0</v>
      </c>
      <c r="E191">
        <v>0</v>
      </c>
      <c r="F191">
        <v>10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f t="shared" si="15"/>
        <v>761</v>
      </c>
      <c r="AD191">
        <v>0</v>
      </c>
      <c r="AE191">
        <v>1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0</v>
      </c>
      <c r="AM191">
        <v>1</v>
      </c>
      <c r="AN191">
        <v>0</v>
      </c>
      <c r="AO191">
        <v>1</v>
      </c>
      <c r="AP191">
        <v>0</v>
      </c>
      <c r="AQ191">
        <v>0</v>
      </c>
      <c r="AR191">
        <v>1</v>
      </c>
      <c r="AS191">
        <v>0</v>
      </c>
      <c r="AT191">
        <f t="shared" si="13"/>
        <v>16</v>
      </c>
      <c r="AU191">
        <f t="shared" si="11"/>
        <v>0</v>
      </c>
      <c r="AV191">
        <f t="shared" si="12"/>
        <v>761</v>
      </c>
      <c r="AX191">
        <v>446</v>
      </c>
      <c r="AY191">
        <v>872</v>
      </c>
      <c r="BB191" t="s">
        <v>494</v>
      </c>
      <c r="BC191" t="s">
        <v>596</v>
      </c>
    </row>
    <row r="192" spans="1:55" x14ac:dyDescent="0.45">
      <c r="A192">
        <v>191</v>
      </c>
      <c r="C192">
        <v>88.5</v>
      </c>
      <c r="D192">
        <v>0</v>
      </c>
      <c r="E192">
        <v>0</v>
      </c>
      <c r="F192">
        <v>11.5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f t="shared" si="15"/>
        <v>742.85</v>
      </c>
      <c r="AD192">
        <v>0</v>
      </c>
      <c r="AE192">
        <v>1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0</v>
      </c>
      <c r="AM192">
        <v>1</v>
      </c>
      <c r="AN192">
        <v>0</v>
      </c>
      <c r="AO192">
        <v>1</v>
      </c>
      <c r="AP192">
        <v>0</v>
      </c>
      <c r="AQ192">
        <v>0</v>
      </c>
      <c r="AR192">
        <v>1</v>
      </c>
      <c r="AS192">
        <v>0</v>
      </c>
      <c r="AT192">
        <f t="shared" si="13"/>
        <v>18.400000000000002</v>
      </c>
      <c r="AU192">
        <f t="shared" si="11"/>
        <v>0</v>
      </c>
      <c r="AV192">
        <f t="shared" si="12"/>
        <v>742.85</v>
      </c>
      <c r="AX192">
        <v>791</v>
      </c>
      <c r="AY192">
        <v>858</v>
      </c>
      <c r="BB192" t="s">
        <v>494</v>
      </c>
      <c r="BC192" t="s">
        <v>596</v>
      </c>
    </row>
    <row r="193" spans="1:55" x14ac:dyDescent="0.45">
      <c r="A193">
        <v>192</v>
      </c>
      <c r="C193">
        <v>87</v>
      </c>
      <c r="D193">
        <v>0</v>
      </c>
      <c r="E193">
        <v>0</v>
      </c>
      <c r="F193">
        <v>13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f t="shared" si="15"/>
        <v>724.7</v>
      </c>
      <c r="AD193">
        <v>0</v>
      </c>
      <c r="AE193">
        <v>1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0</v>
      </c>
      <c r="AM193">
        <v>1</v>
      </c>
      <c r="AN193">
        <v>0</v>
      </c>
      <c r="AO193">
        <v>1</v>
      </c>
      <c r="AP193">
        <v>0</v>
      </c>
      <c r="AQ193">
        <v>0</v>
      </c>
      <c r="AR193">
        <v>1</v>
      </c>
      <c r="AS193">
        <v>0</v>
      </c>
      <c r="AT193">
        <f t="shared" si="13"/>
        <v>20.8</v>
      </c>
      <c r="AU193">
        <f t="shared" si="11"/>
        <v>0</v>
      </c>
      <c r="AV193">
        <f t="shared" si="12"/>
        <v>724.7</v>
      </c>
      <c r="AX193">
        <v>794</v>
      </c>
      <c r="AY193">
        <v>830</v>
      </c>
      <c r="BB193" t="s">
        <v>494</v>
      </c>
      <c r="BC193" t="s">
        <v>596</v>
      </c>
    </row>
    <row r="194" spans="1:55" x14ac:dyDescent="0.45">
      <c r="A194">
        <v>193</v>
      </c>
      <c r="C194">
        <v>85</v>
      </c>
      <c r="D194">
        <v>0</v>
      </c>
      <c r="E194">
        <v>0</v>
      </c>
      <c r="F194">
        <v>15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f t="shared" si="15"/>
        <v>700.5</v>
      </c>
      <c r="AD194">
        <v>0</v>
      </c>
      <c r="AE194">
        <v>1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1</v>
      </c>
      <c r="AN194">
        <v>0</v>
      </c>
      <c r="AO194">
        <v>1</v>
      </c>
      <c r="AP194">
        <v>0</v>
      </c>
      <c r="AQ194">
        <v>0</v>
      </c>
      <c r="AR194">
        <v>0</v>
      </c>
      <c r="AS194">
        <v>0</v>
      </c>
      <c r="AT194">
        <f t="shared" si="13"/>
        <v>24</v>
      </c>
      <c r="AU194">
        <f t="shared" ref="AU194:AU257" si="16">D194+J194/6+M194/3+(T194+S194)/10</f>
        <v>0</v>
      </c>
      <c r="AV194">
        <f t="shared" ref="AV194:AV257" si="17">882+2.1*D194-9.5*L194+4.2*M194-6.9*J194-11.8*E194-12.1*F194-15.4*H194+23.3*Q194+123*T194</f>
        <v>700.5</v>
      </c>
      <c r="AX194">
        <v>775</v>
      </c>
      <c r="AY194">
        <v>814</v>
      </c>
      <c r="BB194" t="s">
        <v>494</v>
      </c>
      <c r="BC194" t="s">
        <v>596</v>
      </c>
    </row>
    <row r="195" spans="1:55" x14ac:dyDescent="0.45">
      <c r="A195">
        <v>194</v>
      </c>
      <c r="C195">
        <v>80</v>
      </c>
      <c r="D195">
        <v>0</v>
      </c>
      <c r="E195">
        <v>0</v>
      </c>
      <c r="F195">
        <v>20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f t="shared" si="15"/>
        <v>640</v>
      </c>
      <c r="AD195">
        <v>0</v>
      </c>
      <c r="AE195">
        <v>1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  <c r="AL195">
        <v>0</v>
      </c>
      <c r="AM195">
        <v>1</v>
      </c>
      <c r="AN195">
        <v>0</v>
      </c>
      <c r="AO195">
        <v>1</v>
      </c>
      <c r="AP195">
        <v>0</v>
      </c>
      <c r="AQ195">
        <v>0</v>
      </c>
      <c r="AR195">
        <v>0</v>
      </c>
      <c r="AS195">
        <v>0</v>
      </c>
      <c r="AT195">
        <f t="shared" ref="AT195:AT258" si="18">L195+0.67*E195+0.44*P195+0.28*K195+0.22*O195+2.9*H195+1.6*F195+1.7*G195-D195</f>
        <v>32</v>
      </c>
      <c r="AU195">
        <f t="shared" si="16"/>
        <v>0</v>
      </c>
      <c r="AV195">
        <f t="shared" si="17"/>
        <v>640</v>
      </c>
      <c r="AX195">
        <v>808</v>
      </c>
      <c r="AY195">
        <v>822</v>
      </c>
      <c r="BB195" t="s">
        <v>494</v>
      </c>
      <c r="BC195" t="s">
        <v>596</v>
      </c>
    </row>
    <row r="196" spans="1:55" x14ac:dyDescent="0.45">
      <c r="A196">
        <v>195</v>
      </c>
      <c r="C196">
        <v>88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12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f t="shared" si="15"/>
        <v>768</v>
      </c>
      <c r="AD196">
        <v>0</v>
      </c>
      <c r="AE196">
        <v>1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0</v>
      </c>
      <c r="AM196">
        <v>1</v>
      </c>
      <c r="AN196">
        <v>0</v>
      </c>
      <c r="AO196">
        <v>1</v>
      </c>
      <c r="AP196">
        <v>0</v>
      </c>
      <c r="AQ196">
        <v>0</v>
      </c>
      <c r="AR196">
        <v>1</v>
      </c>
      <c r="AS196">
        <v>0</v>
      </c>
      <c r="AT196">
        <f t="shared" si="18"/>
        <v>12</v>
      </c>
      <c r="AU196">
        <f t="shared" si="16"/>
        <v>0</v>
      </c>
      <c r="AV196">
        <f t="shared" si="17"/>
        <v>768</v>
      </c>
      <c r="AW196">
        <v>90</v>
      </c>
      <c r="AX196">
        <v>550</v>
      </c>
      <c r="AY196">
        <v>660</v>
      </c>
      <c r="BB196" t="s">
        <v>495</v>
      </c>
      <c r="BC196" t="s">
        <v>597</v>
      </c>
    </row>
    <row r="197" spans="1:55" x14ac:dyDescent="0.45">
      <c r="A197">
        <v>196</v>
      </c>
      <c r="C197">
        <v>54.72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5</v>
      </c>
      <c r="K197">
        <v>30</v>
      </c>
      <c r="L197">
        <v>0</v>
      </c>
      <c r="M197">
        <v>0</v>
      </c>
      <c r="N197">
        <v>0</v>
      </c>
      <c r="O197">
        <v>10</v>
      </c>
      <c r="P197">
        <v>0</v>
      </c>
      <c r="Q197">
        <v>0</v>
      </c>
      <c r="R197">
        <v>0</v>
      </c>
      <c r="S197">
        <v>0</v>
      </c>
      <c r="T197">
        <v>0.28000000000000003</v>
      </c>
      <c r="U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f t="shared" si="15"/>
        <v>881.94</v>
      </c>
      <c r="AD197">
        <v>0</v>
      </c>
      <c r="AE197">
        <v>0</v>
      </c>
      <c r="AF197">
        <v>1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0</v>
      </c>
      <c r="AM197">
        <v>1</v>
      </c>
      <c r="AN197">
        <v>0</v>
      </c>
      <c r="AO197">
        <v>1</v>
      </c>
      <c r="AP197">
        <v>0</v>
      </c>
      <c r="AQ197">
        <v>1</v>
      </c>
      <c r="AR197">
        <v>0</v>
      </c>
      <c r="AS197">
        <v>0</v>
      </c>
      <c r="AT197">
        <f t="shared" si="18"/>
        <v>10.600000000000001</v>
      </c>
      <c r="AU197">
        <f t="shared" si="16"/>
        <v>0.8613333333333334</v>
      </c>
      <c r="AV197">
        <f t="shared" si="17"/>
        <v>881.94</v>
      </c>
      <c r="AW197">
        <v>57.1</v>
      </c>
      <c r="AX197">
        <v>400</v>
      </c>
      <c r="AY197">
        <v>777</v>
      </c>
      <c r="BB197" t="s">
        <v>496</v>
      </c>
      <c r="BC197" t="s">
        <v>598</v>
      </c>
    </row>
    <row r="198" spans="1:55" x14ac:dyDescent="0.45">
      <c r="A198">
        <v>197</v>
      </c>
      <c r="C198">
        <v>56.65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5</v>
      </c>
      <c r="K198">
        <v>30</v>
      </c>
      <c r="L198">
        <v>0</v>
      </c>
      <c r="M198">
        <v>0</v>
      </c>
      <c r="N198">
        <v>0</v>
      </c>
      <c r="O198">
        <v>8</v>
      </c>
      <c r="P198">
        <v>0</v>
      </c>
      <c r="Q198">
        <v>0</v>
      </c>
      <c r="R198">
        <v>0</v>
      </c>
      <c r="S198">
        <v>0</v>
      </c>
      <c r="T198">
        <v>0.35</v>
      </c>
      <c r="U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f t="shared" si="15"/>
        <v>890.55</v>
      </c>
      <c r="AD198">
        <v>0</v>
      </c>
      <c r="AE198">
        <v>0</v>
      </c>
      <c r="AF198">
        <v>1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1</v>
      </c>
      <c r="AN198">
        <v>0</v>
      </c>
      <c r="AO198">
        <v>1</v>
      </c>
      <c r="AP198">
        <v>0</v>
      </c>
      <c r="AQ198">
        <v>1</v>
      </c>
      <c r="AR198">
        <v>0</v>
      </c>
      <c r="AS198">
        <v>0</v>
      </c>
      <c r="AT198">
        <f t="shared" si="18"/>
        <v>10.16</v>
      </c>
      <c r="AU198">
        <f t="shared" si="16"/>
        <v>0.8683333333333334</v>
      </c>
      <c r="AV198">
        <f t="shared" si="17"/>
        <v>890.55</v>
      </c>
      <c r="AW198">
        <v>53.7</v>
      </c>
      <c r="AX198">
        <v>435</v>
      </c>
      <c r="AY198">
        <v>612</v>
      </c>
      <c r="BB198" t="s">
        <v>496</v>
      </c>
      <c r="BC198" t="s">
        <v>598</v>
      </c>
    </row>
    <row r="199" spans="1:55" x14ac:dyDescent="0.45">
      <c r="A199">
        <v>198</v>
      </c>
      <c r="C199">
        <v>83.066299999999998</v>
      </c>
      <c r="D199">
        <v>0</v>
      </c>
      <c r="E199">
        <v>0</v>
      </c>
      <c r="F199">
        <v>0</v>
      </c>
      <c r="G199">
        <v>0</v>
      </c>
      <c r="H199">
        <v>1.0638000000000001</v>
      </c>
      <c r="I199">
        <v>0</v>
      </c>
      <c r="J199">
        <v>0</v>
      </c>
      <c r="K199">
        <v>0</v>
      </c>
      <c r="L199">
        <v>8.4076000000000004</v>
      </c>
      <c r="M199">
        <v>7.4622999999999999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f t="shared" si="15"/>
        <v>817.08694000000003</v>
      </c>
      <c r="AD199">
        <v>0</v>
      </c>
      <c r="AE199">
        <v>1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1</v>
      </c>
      <c r="AN199">
        <v>0</v>
      </c>
      <c r="AO199">
        <v>1</v>
      </c>
      <c r="AP199">
        <v>0</v>
      </c>
      <c r="AQ199">
        <v>0</v>
      </c>
      <c r="AR199">
        <v>0</v>
      </c>
      <c r="AS199">
        <v>0</v>
      </c>
      <c r="AT199">
        <f t="shared" si="18"/>
        <v>11.492620000000001</v>
      </c>
      <c r="AU199">
        <f t="shared" si="16"/>
        <v>2.4874333333333332</v>
      </c>
      <c r="AV199">
        <f t="shared" si="17"/>
        <v>817.08694000000003</v>
      </c>
      <c r="AW199">
        <v>52</v>
      </c>
      <c r="AX199">
        <v>740</v>
      </c>
      <c r="AY199">
        <v>1013</v>
      </c>
      <c r="BB199" t="s">
        <v>497</v>
      </c>
      <c r="BC199" t="s">
        <v>599</v>
      </c>
    </row>
    <row r="200" spans="1:55" x14ac:dyDescent="0.45">
      <c r="A200">
        <v>199</v>
      </c>
      <c r="C200">
        <v>8.8218999999999994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18.5823</v>
      </c>
      <c r="K200">
        <v>17.122599999999998</v>
      </c>
      <c r="L200">
        <v>18.6143</v>
      </c>
      <c r="M200">
        <v>0</v>
      </c>
      <c r="N200">
        <v>0</v>
      </c>
      <c r="O200">
        <v>36.859000000000002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0</v>
      </c>
      <c r="AM200">
        <v>1</v>
      </c>
      <c r="AN200">
        <v>0</v>
      </c>
      <c r="AO200">
        <v>1</v>
      </c>
      <c r="AP200">
        <v>0</v>
      </c>
      <c r="AQ200">
        <v>0</v>
      </c>
      <c r="AR200">
        <v>0</v>
      </c>
      <c r="AS200">
        <v>0</v>
      </c>
      <c r="AT200">
        <f t="shared" si="18"/>
        <v>31.517608000000003</v>
      </c>
      <c r="AU200">
        <f t="shared" si="16"/>
        <v>3.0970499999999999</v>
      </c>
      <c r="AV200">
        <f t="shared" si="17"/>
        <v>576.94628000000012</v>
      </c>
      <c r="AW200">
        <v>153</v>
      </c>
      <c r="AX200">
        <v>1390</v>
      </c>
      <c r="BB200" t="s">
        <v>498</v>
      </c>
      <c r="BC200" t="s">
        <v>600</v>
      </c>
    </row>
    <row r="201" spans="1:55" x14ac:dyDescent="0.45">
      <c r="A201">
        <v>200</v>
      </c>
      <c r="C201">
        <v>70.087199999999996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6.4402999999999997</v>
      </c>
      <c r="K201">
        <v>9.8219999999999992</v>
      </c>
      <c r="L201">
        <v>13.650499999999999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f t="shared" ref="AC201:AC227" si="19">(AV201)+0</f>
        <v>707.88217999999995</v>
      </c>
      <c r="AD201">
        <v>0</v>
      </c>
      <c r="AE201">
        <v>1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>
        <v>0</v>
      </c>
      <c r="AM201">
        <v>1</v>
      </c>
      <c r="AN201">
        <v>0</v>
      </c>
      <c r="AO201">
        <v>1</v>
      </c>
      <c r="AP201">
        <v>0</v>
      </c>
      <c r="AQ201">
        <v>1</v>
      </c>
      <c r="AR201">
        <v>0</v>
      </c>
      <c r="AS201">
        <v>0</v>
      </c>
      <c r="AT201">
        <f t="shared" si="18"/>
        <v>16.400659999999998</v>
      </c>
      <c r="AU201">
        <f t="shared" si="16"/>
        <v>1.0733833333333334</v>
      </c>
      <c r="AV201">
        <f t="shared" si="17"/>
        <v>707.88217999999995</v>
      </c>
      <c r="AW201">
        <v>72</v>
      </c>
      <c r="AX201">
        <v>899</v>
      </c>
      <c r="BB201" t="s">
        <v>499</v>
      </c>
      <c r="BC201" t="s">
        <v>601</v>
      </c>
    </row>
    <row r="202" spans="1:55" x14ac:dyDescent="0.45">
      <c r="A202">
        <v>201</v>
      </c>
      <c r="C202">
        <v>72.914500000000004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4.9067999999999996</v>
      </c>
      <c r="K202">
        <v>8.3118999999999996</v>
      </c>
      <c r="L202">
        <v>13.8668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f t="shared" si="19"/>
        <v>716.40848000000005</v>
      </c>
      <c r="AD202">
        <v>0</v>
      </c>
      <c r="AE202">
        <v>1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>
        <v>0</v>
      </c>
      <c r="AM202">
        <v>1</v>
      </c>
      <c r="AN202">
        <v>0</v>
      </c>
      <c r="AO202">
        <v>1</v>
      </c>
      <c r="AP202">
        <v>0</v>
      </c>
      <c r="AQ202">
        <v>1</v>
      </c>
      <c r="AR202">
        <v>0</v>
      </c>
      <c r="AS202">
        <v>0</v>
      </c>
      <c r="AT202">
        <f t="shared" si="18"/>
        <v>16.194132</v>
      </c>
      <c r="AU202">
        <f t="shared" si="16"/>
        <v>0.81779999999999997</v>
      </c>
      <c r="AV202">
        <f t="shared" si="17"/>
        <v>716.40848000000005</v>
      </c>
      <c r="AW202">
        <v>69</v>
      </c>
      <c r="AX202">
        <v>947</v>
      </c>
      <c r="BB202" t="s">
        <v>499</v>
      </c>
      <c r="BC202" t="s">
        <v>601</v>
      </c>
    </row>
    <row r="203" spans="1:55" x14ac:dyDescent="0.45">
      <c r="A203">
        <v>202</v>
      </c>
      <c r="C203">
        <v>72.857699999999994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8.2940000000000005</v>
      </c>
      <c r="K203">
        <v>4.9806999999999997</v>
      </c>
      <c r="L203">
        <v>13.867599999999999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f t="shared" si="19"/>
        <v>693.02919999999995</v>
      </c>
      <c r="AD203">
        <v>0</v>
      </c>
      <c r="AE203">
        <v>1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0</v>
      </c>
      <c r="AM203">
        <v>1</v>
      </c>
      <c r="AN203">
        <v>0</v>
      </c>
      <c r="AO203">
        <v>1</v>
      </c>
      <c r="AP203">
        <v>0</v>
      </c>
      <c r="AQ203">
        <v>1</v>
      </c>
      <c r="AR203">
        <v>0</v>
      </c>
      <c r="AS203">
        <v>0</v>
      </c>
      <c r="AT203">
        <f t="shared" si="18"/>
        <v>15.262195999999999</v>
      </c>
      <c r="AU203">
        <f t="shared" si="16"/>
        <v>1.3823333333333334</v>
      </c>
      <c r="AV203">
        <f t="shared" si="17"/>
        <v>693.02919999999995</v>
      </c>
      <c r="AW203">
        <v>52</v>
      </c>
      <c r="AX203">
        <v>483</v>
      </c>
      <c r="BB203" t="s">
        <v>499</v>
      </c>
      <c r="BC203" t="s">
        <v>601</v>
      </c>
    </row>
    <row r="204" spans="1:55" x14ac:dyDescent="0.45">
      <c r="A204">
        <v>203</v>
      </c>
      <c r="C204">
        <v>64.622799999999998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35.377200000000002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f t="shared" si="19"/>
        <v>882</v>
      </c>
      <c r="AD204">
        <v>0</v>
      </c>
      <c r="AE204">
        <v>1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1</v>
      </c>
      <c r="AN204">
        <v>0</v>
      </c>
      <c r="AO204">
        <v>1</v>
      </c>
      <c r="AP204">
        <v>0</v>
      </c>
      <c r="AQ204">
        <v>1</v>
      </c>
      <c r="AR204">
        <v>0</v>
      </c>
      <c r="AS204">
        <v>0</v>
      </c>
      <c r="AT204">
        <f t="shared" si="18"/>
        <v>9.905616000000002</v>
      </c>
      <c r="AU204">
        <f t="shared" si="16"/>
        <v>0</v>
      </c>
      <c r="AV204">
        <f t="shared" si="17"/>
        <v>882</v>
      </c>
      <c r="AW204">
        <v>73</v>
      </c>
      <c r="AX204">
        <v>405</v>
      </c>
      <c r="AY204">
        <v>694</v>
      </c>
      <c r="BA204">
        <v>181</v>
      </c>
      <c r="BB204" t="s">
        <v>500</v>
      </c>
      <c r="BC204" t="s">
        <v>602</v>
      </c>
    </row>
    <row r="205" spans="1:55" x14ac:dyDescent="0.45">
      <c r="A205">
        <v>204</v>
      </c>
      <c r="C205">
        <v>63.267800000000001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35.0852</v>
      </c>
      <c r="L205">
        <v>1.647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f t="shared" si="19"/>
        <v>866.35350000000005</v>
      </c>
      <c r="AD205">
        <v>0</v>
      </c>
      <c r="AE205">
        <v>1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1</v>
      </c>
      <c r="AN205">
        <v>0</v>
      </c>
      <c r="AO205">
        <v>1</v>
      </c>
      <c r="AP205">
        <v>0</v>
      </c>
      <c r="AQ205">
        <v>1</v>
      </c>
      <c r="AR205">
        <v>0</v>
      </c>
      <c r="AS205">
        <v>0</v>
      </c>
      <c r="AT205">
        <f t="shared" si="18"/>
        <v>11.470856000000001</v>
      </c>
      <c r="AU205">
        <f t="shared" si="16"/>
        <v>0</v>
      </c>
      <c r="AV205">
        <f t="shared" si="17"/>
        <v>866.35350000000005</v>
      </c>
      <c r="AW205">
        <v>87</v>
      </c>
      <c r="AX205">
        <v>452</v>
      </c>
      <c r="AY205">
        <v>763</v>
      </c>
      <c r="BA205">
        <v>190</v>
      </c>
      <c r="BB205" t="s">
        <v>500</v>
      </c>
      <c r="BC205" t="s">
        <v>602</v>
      </c>
    </row>
    <row r="206" spans="1:55" x14ac:dyDescent="0.45">
      <c r="A206">
        <v>205</v>
      </c>
      <c r="C206">
        <v>63.319200000000002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1.5671999999999999</v>
      </c>
      <c r="K206">
        <v>35.113700000000001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f t="shared" si="19"/>
        <v>871.18632000000002</v>
      </c>
      <c r="AD206">
        <v>0</v>
      </c>
      <c r="AE206">
        <v>1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  <c r="AL206">
        <v>0</v>
      </c>
      <c r="AM206">
        <v>1</v>
      </c>
      <c r="AN206">
        <v>0</v>
      </c>
      <c r="AO206">
        <v>1</v>
      </c>
      <c r="AP206">
        <v>0</v>
      </c>
      <c r="AQ206">
        <v>1</v>
      </c>
      <c r="AR206">
        <v>0</v>
      </c>
      <c r="AS206">
        <v>0</v>
      </c>
      <c r="AT206">
        <f t="shared" si="18"/>
        <v>9.8318360000000009</v>
      </c>
      <c r="AU206">
        <f t="shared" si="16"/>
        <v>0.26119999999999999</v>
      </c>
      <c r="AV206">
        <f t="shared" si="17"/>
        <v>871.18632000000002</v>
      </c>
      <c r="AW206">
        <v>68</v>
      </c>
      <c r="AX206">
        <v>370</v>
      </c>
      <c r="AY206">
        <v>629</v>
      </c>
      <c r="BA206">
        <v>184</v>
      </c>
      <c r="BB206" t="s">
        <v>500</v>
      </c>
      <c r="BC206" t="s">
        <v>602</v>
      </c>
    </row>
    <row r="207" spans="1:55" x14ac:dyDescent="0.45">
      <c r="A207">
        <v>206</v>
      </c>
      <c r="C207">
        <v>62.357999999999997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34.580599999999997</v>
      </c>
      <c r="L207">
        <v>0</v>
      </c>
      <c r="M207">
        <v>0</v>
      </c>
      <c r="N207">
        <v>0</v>
      </c>
      <c r="O207">
        <v>3.0613999999999999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f t="shared" si="19"/>
        <v>882</v>
      </c>
      <c r="AD207">
        <v>0</v>
      </c>
      <c r="AE207">
        <v>1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  <c r="AL207">
        <v>0</v>
      </c>
      <c r="AM207">
        <v>1</v>
      </c>
      <c r="AN207">
        <v>0</v>
      </c>
      <c r="AO207">
        <v>1</v>
      </c>
      <c r="AP207">
        <v>0</v>
      </c>
      <c r="AQ207">
        <v>1</v>
      </c>
      <c r="AR207">
        <v>0</v>
      </c>
      <c r="AS207">
        <v>0</v>
      </c>
      <c r="AT207">
        <f t="shared" si="18"/>
        <v>10.356076</v>
      </c>
      <c r="AU207">
        <f t="shared" si="16"/>
        <v>0</v>
      </c>
      <c r="AV207">
        <f t="shared" si="17"/>
        <v>882</v>
      </c>
      <c r="AW207">
        <v>72</v>
      </c>
      <c r="AX207">
        <v>401</v>
      </c>
      <c r="AY207">
        <v>617</v>
      </c>
      <c r="BA207">
        <v>189</v>
      </c>
      <c r="BB207" t="s">
        <v>500</v>
      </c>
      <c r="BC207" t="s">
        <v>602</v>
      </c>
    </row>
    <row r="208" spans="1:55" x14ac:dyDescent="0.45">
      <c r="A208">
        <v>207</v>
      </c>
      <c r="C208">
        <v>63.021599999999999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34.948599999999999</v>
      </c>
      <c r="L208">
        <v>0</v>
      </c>
      <c r="M208">
        <v>2.0297999999999998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f t="shared" si="19"/>
        <v>890.52516000000003</v>
      </c>
      <c r="AD208">
        <v>0</v>
      </c>
      <c r="AE208">
        <v>1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  <c r="AL208">
        <v>0</v>
      </c>
      <c r="AM208">
        <v>1</v>
      </c>
      <c r="AN208">
        <v>0</v>
      </c>
      <c r="AO208">
        <v>1</v>
      </c>
      <c r="AP208">
        <v>0</v>
      </c>
      <c r="AQ208">
        <v>1</v>
      </c>
      <c r="AR208">
        <v>0</v>
      </c>
      <c r="AS208">
        <v>0</v>
      </c>
      <c r="AT208">
        <f t="shared" si="18"/>
        <v>9.7856079999999999</v>
      </c>
      <c r="AU208">
        <f t="shared" si="16"/>
        <v>0.67659999999999998</v>
      </c>
      <c r="AV208">
        <f t="shared" si="17"/>
        <v>890.52516000000003</v>
      </c>
      <c r="AW208">
        <v>65</v>
      </c>
      <c r="AX208">
        <v>503</v>
      </c>
      <c r="AY208">
        <v>633</v>
      </c>
      <c r="BA208">
        <v>203</v>
      </c>
      <c r="BB208" t="s">
        <v>500</v>
      </c>
      <c r="BC208" t="s">
        <v>602</v>
      </c>
    </row>
    <row r="209" spans="1:55" x14ac:dyDescent="0.45">
      <c r="A209">
        <v>208</v>
      </c>
      <c r="C209">
        <v>64.013499999999993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35.498699999999999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0.48780000000000001</v>
      </c>
      <c r="R209">
        <v>0</v>
      </c>
      <c r="S209">
        <v>0</v>
      </c>
      <c r="T209">
        <v>0</v>
      </c>
      <c r="U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f t="shared" si="19"/>
        <v>893.36573999999996</v>
      </c>
      <c r="AD209">
        <v>0</v>
      </c>
      <c r="AE209">
        <v>1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  <c r="AL209">
        <v>0</v>
      </c>
      <c r="AM209">
        <v>1</v>
      </c>
      <c r="AN209">
        <v>0</v>
      </c>
      <c r="AO209">
        <v>1</v>
      </c>
      <c r="AP209">
        <v>0</v>
      </c>
      <c r="AQ209">
        <v>1</v>
      </c>
      <c r="AR209">
        <v>0</v>
      </c>
      <c r="AS209">
        <v>0</v>
      </c>
      <c r="AT209">
        <f t="shared" si="18"/>
        <v>9.9396360000000001</v>
      </c>
      <c r="AU209">
        <f t="shared" si="16"/>
        <v>0</v>
      </c>
      <c r="AV209">
        <f t="shared" si="17"/>
        <v>893.36573999999996</v>
      </c>
      <c r="AW209">
        <v>69</v>
      </c>
      <c r="AX209">
        <v>540</v>
      </c>
      <c r="AY209">
        <v>634</v>
      </c>
      <c r="BA209">
        <v>204</v>
      </c>
      <c r="BB209" t="s">
        <v>500</v>
      </c>
      <c r="BC209" t="s">
        <v>602</v>
      </c>
    </row>
    <row r="210" spans="1:55" x14ac:dyDescent="0.45">
      <c r="A210">
        <v>209</v>
      </c>
      <c r="C210">
        <v>63.706400000000002</v>
      </c>
      <c r="D210">
        <v>0</v>
      </c>
      <c r="E210">
        <v>0</v>
      </c>
      <c r="F210">
        <v>0</v>
      </c>
      <c r="G210">
        <v>0</v>
      </c>
      <c r="H210">
        <v>0.96519999999999995</v>
      </c>
      <c r="I210">
        <v>0</v>
      </c>
      <c r="J210">
        <v>0</v>
      </c>
      <c r="K210">
        <v>35.328400000000002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f t="shared" si="19"/>
        <v>867.13592000000006</v>
      </c>
      <c r="AD210">
        <v>0</v>
      </c>
      <c r="AE210">
        <v>1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>
        <v>0</v>
      </c>
      <c r="AM210">
        <v>1</v>
      </c>
      <c r="AN210">
        <v>0</v>
      </c>
      <c r="AO210">
        <v>1</v>
      </c>
      <c r="AP210">
        <v>0</v>
      </c>
      <c r="AQ210">
        <v>1</v>
      </c>
      <c r="AR210">
        <v>0</v>
      </c>
      <c r="AS210">
        <v>0</v>
      </c>
      <c r="AT210">
        <f t="shared" si="18"/>
        <v>12.691032000000002</v>
      </c>
      <c r="AU210">
        <f t="shared" si="16"/>
        <v>0</v>
      </c>
      <c r="AV210">
        <f t="shared" si="17"/>
        <v>867.13592000000006</v>
      </c>
      <c r="AW210">
        <v>79</v>
      </c>
      <c r="AX210">
        <v>600</v>
      </c>
      <c r="AY210">
        <v>820</v>
      </c>
      <c r="BA210">
        <v>250</v>
      </c>
      <c r="BB210" t="s">
        <v>500</v>
      </c>
      <c r="BC210" t="s">
        <v>602</v>
      </c>
    </row>
    <row r="211" spans="1:55" x14ac:dyDescent="0.45">
      <c r="A211">
        <v>210</v>
      </c>
      <c r="C211">
        <v>61.999200000000002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38.000799999999998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f t="shared" si="19"/>
        <v>882</v>
      </c>
      <c r="AD211">
        <v>0</v>
      </c>
      <c r="AE211">
        <v>1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>
        <v>0</v>
      </c>
      <c r="AM211">
        <v>1</v>
      </c>
      <c r="AN211">
        <v>0</v>
      </c>
      <c r="AO211">
        <v>1</v>
      </c>
      <c r="AP211">
        <v>0</v>
      </c>
      <c r="AQ211">
        <v>1</v>
      </c>
      <c r="AR211">
        <v>0</v>
      </c>
      <c r="AS211">
        <v>0</v>
      </c>
      <c r="AT211">
        <f t="shared" si="18"/>
        <v>10.640224</v>
      </c>
      <c r="AU211">
        <f t="shared" si="16"/>
        <v>0</v>
      </c>
      <c r="AV211">
        <f t="shared" si="17"/>
        <v>882</v>
      </c>
      <c r="AW211">
        <v>56</v>
      </c>
      <c r="AX211">
        <v>202</v>
      </c>
      <c r="AY211">
        <v>409</v>
      </c>
      <c r="BB211" t="s">
        <v>501</v>
      </c>
      <c r="BC211" t="s">
        <v>603</v>
      </c>
    </row>
    <row r="212" spans="1:55" x14ac:dyDescent="0.45">
      <c r="A212">
        <v>211</v>
      </c>
      <c r="C212">
        <v>59.488500000000002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3.0640000000000001</v>
      </c>
      <c r="K212">
        <v>37.447400000000002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f t="shared" si="19"/>
        <v>860.85839999999996</v>
      </c>
      <c r="AD212">
        <v>0</v>
      </c>
      <c r="AE212">
        <v>1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>
        <v>0</v>
      </c>
      <c r="AM212">
        <v>1</v>
      </c>
      <c r="AN212">
        <v>0</v>
      </c>
      <c r="AO212">
        <v>1</v>
      </c>
      <c r="AP212">
        <v>0</v>
      </c>
      <c r="AQ212">
        <v>0</v>
      </c>
      <c r="AR212">
        <v>0</v>
      </c>
      <c r="AS212">
        <v>0</v>
      </c>
      <c r="AT212">
        <f t="shared" si="18"/>
        <v>10.485272000000002</v>
      </c>
      <c r="AU212">
        <f t="shared" si="16"/>
        <v>0.51066666666666671</v>
      </c>
      <c r="AV212">
        <f t="shared" si="17"/>
        <v>860.85839999999996</v>
      </c>
      <c r="AW212">
        <v>59</v>
      </c>
      <c r="AX212">
        <v>249</v>
      </c>
      <c r="AY212">
        <v>487</v>
      </c>
      <c r="BB212" t="s">
        <v>501</v>
      </c>
      <c r="BC212" t="s">
        <v>603</v>
      </c>
    </row>
    <row r="213" spans="1:55" x14ac:dyDescent="0.45">
      <c r="A213">
        <v>212</v>
      </c>
      <c r="C213">
        <v>57.06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6.0403000000000002</v>
      </c>
      <c r="K213">
        <v>36.9099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f t="shared" si="19"/>
        <v>840.32192999999995</v>
      </c>
      <c r="AD213">
        <v>0</v>
      </c>
      <c r="AE213">
        <v>1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>
        <v>0</v>
      </c>
      <c r="AM213">
        <v>1</v>
      </c>
      <c r="AN213">
        <v>0</v>
      </c>
      <c r="AO213">
        <v>1</v>
      </c>
      <c r="AP213">
        <v>0</v>
      </c>
      <c r="AQ213">
        <v>0</v>
      </c>
      <c r="AR213">
        <v>0</v>
      </c>
      <c r="AS213">
        <v>0</v>
      </c>
      <c r="AT213">
        <f t="shared" si="18"/>
        <v>10.334772000000001</v>
      </c>
      <c r="AU213">
        <f t="shared" si="16"/>
        <v>1.0067166666666667</v>
      </c>
      <c r="AV213">
        <f t="shared" si="17"/>
        <v>840.32192999999995</v>
      </c>
      <c r="AW213">
        <v>60</v>
      </c>
      <c r="AX213">
        <v>417</v>
      </c>
      <c r="AY213">
        <v>542</v>
      </c>
      <c r="BB213" t="s">
        <v>501</v>
      </c>
      <c r="BC213" t="s">
        <v>603</v>
      </c>
    </row>
    <row r="214" spans="1:55" x14ac:dyDescent="0.45">
      <c r="A214">
        <v>213</v>
      </c>
      <c r="C214">
        <v>59.250900000000001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3.0394999999999999</v>
      </c>
      <c r="K214">
        <v>35.599400000000003</v>
      </c>
      <c r="L214">
        <v>0</v>
      </c>
      <c r="M214">
        <v>0</v>
      </c>
      <c r="N214">
        <v>0</v>
      </c>
      <c r="O214">
        <v>2.1101999999999999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f t="shared" si="19"/>
        <v>861.02745000000004</v>
      </c>
      <c r="AD214">
        <v>0</v>
      </c>
      <c r="AE214">
        <v>1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>
        <v>0</v>
      </c>
      <c r="AM214">
        <v>1</v>
      </c>
      <c r="AN214">
        <v>0</v>
      </c>
      <c r="AO214">
        <v>1</v>
      </c>
      <c r="AP214">
        <v>0</v>
      </c>
      <c r="AQ214">
        <v>1</v>
      </c>
      <c r="AR214">
        <v>0</v>
      </c>
      <c r="AS214">
        <v>0</v>
      </c>
      <c r="AT214">
        <f t="shared" si="18"/>
        <v>10.432076000000002</v>
      </c>
      <c r="AU214">
        <f t="shared" si="16"/>
        <v>0.50658333333333327</v>
      </c>
      <c r="AV214">
        <f t="shared" si="17"/>
        <v>861.02745000000004</v>
      </c>
      <c r="AW214">
        <v>55</v>
      </c>
      <c r="AX214">
        <v>280</v>
      </c>
      <c r="AY214">
        <v>400</v>
      </c>
      <c r="BB214" t="s">
        <v>502</v>
      </c>
      <c r="BC214" t="s">
        <v>604</v>
      </c>
    </row>
    <row r="215" spans="1:55" x14ac:dyDescent="0.45">
      <c r="A215">
        <v>214</v>
      </c>
      <c r="C215">
        <v>59.250900000000001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3.0394999999999999</v>
      </c>
      <c r="K215">
        <v>35.599400000000003</v>
      </c>
      <c r="L215">
        <v>0</v>
      </c>
      <c r="M215">
        <v>0</v>
      </c>
      <c r="N215">
        <v>0</v>
      </c>
      <c r="O215">
        <v>2.1101999999999999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f t="shared" si="19"/>
        <v>861.02745000000004</v>
      </c>
      <c r="AD215">
        <v>0</v>
      </c>
      <c r="AE215">
        <v>1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  <c r="AL215">
        <v>0</v>
      </c>
      <c r="AM215">
        <v>1</v>
      </c>
      <c r="AN215">
        <v>0</v>
      </c>
      <c r="AO215">
        <v>1</v>
      </c>
      <c r="AP215">
        <v>0</v>
      </c>
      <c r="AQ215">
        <v>0</v>
      </c>
      <c r="AR215">
        <v>0</v>
      </c>
      <c r="AS215">
        <v>0</v>
      </c>
      <c r="AT215">
        <f t="shared" si="18"/>
        <v>10.432076000000002</v>
      </c>
      <c r="AU215">
        <f t="shared" si="16"/>
        <v>0.50658333333333327</v>
      </c>
      <c r="AV215">
        <f t="shared" si="17"/>
        <v>861.02745000000004</v>
      </c>
      <c r="AW215">
        <v>60</v>
      </c>
      <c r="AX215">
        <v>830</v>
      </c>
      <c r="AY215">
        <v>880</v>
      </c>
      <c r="BB215" t="s">
        <v>502</v>
      </c>
      <c r="BC215" t="s">
        <v>604</v>
      </c>
    </row>
    <row r="216" spans="1:55" x14ac:dyDescent="0.45">
      <c r="A216">
        <v>215</v>
      </c>
      <c r="C216">
        <v>47.470999999999997</v>
      </c>
      <c r="D216">
        <v>0</v>
      </c>
      <c r="E216">
        <v>2.1650999999999998</v>
      </c>
      <c r="F216">
        <v>0</v>
      </c>
      <c r="G216">
        <v>0</v>
      </c>
      <c r="H216">
        <v>0</v>
      </c>
      <c r="I216">
        <v>0</v>
      </c>
      <c r="J216">
        <v>7.7545000000000002</v>
      </c>
      <c r="K216">
        <v>11.846299999999999</v>
      </c>
      <c r="L216">
        <v>0</v>
      </c>
      <c r="M216">
        <v>0</v>
      </c>
      <c r="N216">
        <v>0</v>
      </c>
      <c r="O216">
        <v>30.763000000000002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f t="shared" si="19"/>
        <v>802.94577000000004</v>
      </c>
      <c r="AD216">
        <v>0</v>
      </c>
      <c r="AE216">
        <v>1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0</v>
      </c>
      <c r="AM216">
        <v>1</v>
      </c>
      <c r="AN216">
        <v>0</v>
      </c>
      <c r="AO216">
        <v>1</v>
      </c>
      <c r="AP216">
        <v>0</v>
      </c>
      <c r="AQ216">
        <v>0</v>
      </c>
      <c r="AR216">
        <v>0</v>
      </c>
      <c r="AS216">
        <v>0</v>
      </c>
      <c r="AT216">
        <f t="shared" si="18"/>
        <v>11.535441</v>
      </c>
      <c r="AU216">
        <f t="shared" si="16"/>
        <v>1.2924166666666668</v>
      </c>
      <c r="AV216">
        <f t="shared" si="17"/>
        <v>802.94577000000004</v>
      </c>
      <c r="AW216">
        <v>71.2</v>
      </c>
      <c r="AX216">
        <v>849</v>
      </c>
      <c r="BB216" t="s">
        <v>503</v>
      </c>
      <c r="BC216" t="s">
        <v>605</v>
      </c>
    </row>
    <row r="217" spans="1:55" x14ac:dyDescent="0.45">
      <c r="A217">
        <v>216</v>
      </c>
      <c r="C217">
        <v>94</v>
      </c>
      <c r="D217">
        <v>2</v>
      </c>
      <c r="E217">
        <v>0</v>
      </c>
      <c r="F217">
        <v>0</v>
      </c>
      <c r="G217">
        <v>0</v>
      </c>
      <c r="H217">
        <v>2</v>
      </c>
      <c r="I217">
        <v>0</v>
      </c>
      <c r="J217">
        <v>0</v>
      </c>
      <c r="K217">
        <v>0</v>
      </c>
      <c r="L217">
        <v>2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f t="shared" si="19"/>
        <v>836.40000000000009</v>
      </c>
      <c r="AD217">
        <v>0</v>
      </c>
      <c r="AE217">
        <v>1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  <c r="AL217">
        <v>0</v>
      </c>
      <c r="AM217">
        <v>1</v>
      </c>
      <c r="AN217">
        <v>0</v>
      </c>
      <c r="AO217">
        <v>1</v>
      </c>
      <c r="AP217">
        <v>0</v>
      </c>
      <c r="AQ217">
        <v>0</v>
      </c>
      <c r="AR217">
        <v>1</v>
      </c>
      <c r="AS217">
        <v>0</v>
      </c>
      <c r="AT217">
        <f t="shared" si="18"/>
        <v>5.8</v>
      </c>
      <c r="AU217">
        <f t="shared" si="16"/>
        <v>2</v>
      </c>
      <c r="AV217">
        <f t="shared" si="17"/>
        <v>836.40000000000009</v>
      </c>
      <c r="AX217">
        <v>670</v>
      </c>
      <c r="BA217">
        <v>300</v>
      </c>
      <c r="BB217" t="s">
        <v>504</v>
      </c>
      <c r="BC217" t="s">
        <v>606</v>
      </c>
    </row>
    <row r="218" spans="1:55" x14ac:dyDescent="0.45">
      <c r="A218">
        <v>217</v>
      </c>
      <c r="C218">
        <v>91</v>
      </c>
      <c r="D218">
        <v>0</v>
      </c>
      <c r="E218">
        <v>0</v>
      </c>
      <c r="F218">
        <v>6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3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f t="shared" si="19"/>
        <v>822</v>
      </c>
      <c r="AD218">
        <v>0</v>
      </c>
      <c r="AE218">
        <v>1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  <c r="AL218">
        <v>0</v>
      </c>
      <c r="AM218">
        <v>1</v>
      </c>
      <c r="AN218">
        <v>0</v>
      </c>
      <c r="AO218">
        <v>1</v>
      </c>
      <c r="AP218">
        <v>0</v>
      </c>
      <c r="AQ218">
        <v>0</v>
      </c>
      <c r="AR218">
        <v>0</v>
      </c>
      <c r="AS218">
        <v>0</v>
      </c>
      <c r="AT218">
        <f t="shared" si="18"/>
        <v>9.6000000000000014</v>
      </c>
      <c r="AU218">
        <f t="shared" si="16"/>
        <v>1</v>
      </c>
      <c r="AV218">
        <f t="shared" si="17"/>
        <v>822</v>
      </c>
      <c r="AX218">
        <v>294</v>
      </c>
      <c r="AY218">
        <v>585</v>
      </c>
      <c r="BA218">
        <v>260</v>
      </c>
      <c r="BB218" t="s">
        <v>505</v>
      </c>
      <c r="BC218" t="s">
        <v>607</v>
      </c>
    </row>
    <row r="219" spans="1:55" x14ac:dyDescent="0.45">
      <c r="A219">
        <v>218</v>
      </c>
      <c r="C219">
        <v>90</v>
      </c>
      <c r="D219">
        <v>0</v>
      </c>
      <c r="E219">
        <v>0</v>
      </c>
      <c r="F219">
        <v>7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3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f t="shared" si="19"/>
        <v>809.9</v>
      </c>
      <c r="AD219">
        <v>0</v>
      </c>
      <c r="AE219">
        <v>1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0</v>
      </c>
      <c r="AM219">
        <v>1</v>
      </c>
      <c r="AN219">
        <v>0</v>
      </c>
      <c r="AO219">
        <v>1</v>
      </c>
      <c r="AP219">
        <v>0</v>
      </c>
      <c r="AQ219">
        <v>0</v>
      </c>
      <c r="AR219">
        <v>0</v>
      </c>
      <c r="AS219">
        <v>0</v>
      </c>
      <c r="AT219">
        <f t="shared" si="18"/>
        <v>11.200000000000001</v>
      </c>
      <c r="AU219">
        <f t="shared" si="16"/>
        <v>1</v>
      </c>
      <c r="AV219">
        <f t="shared" si="17"/>
        <v>809.9</v>
      </c>
      <c r="AX219">
        <v>390</v>
      </c>
      <c r="AY219">
        <v>639</v>
      </c>
      <c r="BA219">
        <v>270</v>
      </c>
      <c r="BB219" t="s">
        <v>505</v>
      </c>
      <c r="BC219" t="s">
        <v>607</v>
      </c>
    </row>
    <row r="220" spans="1:55" x14ac:dyDescent="0.45">
      <c r="A220">
        <v>219</v>
      </c>
      <c r="C220">
        <v>89</v>
      </c>
      <c r="D220">
        <v>0</v>
      </c>
      <c r="E220">
        <v>0</v>
      </c>
      <c r="F220">
        <v>8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3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f t="shared" si="19"/>
        <v>797.80000000000007</v>
      </c>
      <c r="AD220">
        <v>0</v>
      </c>
      <c r="AE220">
        <v>1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  <c r="AL220">
        <v>0</v>
      </c>
      <c r="AM220">
        <v>1</v>
      </c>
      <c r="AN220">
        <v>0</v>
      </c>
      <c r="AO220">
        <v>1</v>
      </c>
      <c r="AP220">
        <v>0</v>
      </c>
      <c r="AQ220">
        <v>0</v>
      </c>
      <c r="AR220">
        <v>0</v>
      </c>
      <c r="AS220">
        <v>0</v>
      </c>
      <c r="AT220">
        <f t="shared" si="18"/>
        <v>12.8</v>
      </c>
      <c r="AU220">
        <f t="shared" si="16"/>
        <v>1</v>
      </c>
      <c r="AV220">
        <f t="shared" si="17"/>
        <v>797.80000000000007</v>
      </c>
      <c r="AX220">
        <v>439</v>
      </c>
      <c r="AY220">
        <v>620</v>
      </c>
      <c r="BA220">
        <v>272</v>
      </c>
      <c r="BB220" t="s">
        <v>505</v>
      </c>
      <c r="BC220" t="s">
        <v>607</v>
      </c>
    </row>
    <row r="221" spans="1:55" x14ac:dyDescent="0.45">
      <c r="A221">
        <v>220</v>
      </c>
      <c r="C221">
        <v>88</v>
      </c>
      <c r="D221">
        <v>0</v>
      </c>
      <c r="E221">
        <v>0</v>
      </c>
      <c r="F221">
        <v>9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3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f t="shared" si="19"/>
        <v>785.7</v>
      </c>
      <c r="AD221">
        <v>0</v>
      </c>
      <c r="AE221">
        <v>1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  <c r="AL221">
        <v>0</v>
      </c>
      <c r="AM221">
        <v>1</v>
      </c>
      <c r="AN221">
        <v>0</v>
      </c>
      <c r="AO221">
        <v>1</v>
      </c>
      <c r="AP221">
        <v>0</v>
      </c>
      <c r="AQ221">
        <v>0</v>
      </c>
      <c r="AR221">
        <v>0</v>
      </c>
      <c r="AS221">
        <v>0</v>
      </c>
      <c r="AT221">
        <f t="shared" si="18"/>
        <v>14.4</v>
      </c>
      <c r="AU221">
        <f t="shared" si="16"/>
        <v>1</v>
      </c>
      <c r="AV221">
        <f t="shared" si="17"/>
        <v>785.7</v>
      </c>
      <c r="AX221">
        <v>420</v>
      </c>
      <c r="AY221">
        <v>622</v>
      </c>
      <c r="BA221">
        <v>275</v>
      </c>
      <c r="BB221" t="s">
        <v>505</v>
      </c>
      <c r="BC221" t="s">
        <v>607</v>
      </c>
    </row>
    <row r="222" spans="1:55" x14ac:dyDescent="0.45">
      <c r="A222">
        <v>221</v>
      </c>
      <c r="C222">
        <v>90</v>
      </c>
      <c r="D222">
        <v>0</v>
      </c>
      <c r="E222">
        <v>0</v>
      </c>
      <c r="F222">
        <v>3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7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f t="shared" si="19"/>
        <v>779.2</v>
      </c>
      <c r="AD222">
        <v>0</v>
      </c>
      <c r="AE222">
        <v>1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  <c r="AL222">
        <v>0</v>
      </c>
      <c r="AM222">
        <v>1</v>
      </c>
      <c r="AN222">
        <v>0</v>
      </c>
      <c r="AO222">
        <v>1</v>
      </c>
      <c r="AP222">
        <v>0</v>
      </c>
      <c r="AQ222">
        <v>0</v>
      </c>
      <c r="AR222">
        <v>1</v>
      </c>
      <c r="AS222">
        <v>0</v>
      </c>
      <c r="AT222">
        <f t="shared" si="18"/>
        <v>11.8</v>
      </c>
      <c r="AU222">
        <f t="shared" si="16"/>
        <v>0</v>
      </c>
      <c r="AV222">
        <f t="shared" si="17"/>
        <v>779.2</v>
      </c>
      <c r="AX222">
        <v>563</v>
      </c>
      <c r="AY222">
        <v>887</v>
      </c>
      <c r="BB222" t="s">
        <v>250</v>
      </c>
      <c r="BC222" t="s">
        <v>608</v>
      </c>
    </row>
    <row r="223" spans="1:55" x14ac:dyDescent="0.45">
      <c r="A223">
        <v>222</v>
      </c>
      <c r="C223">
        <v>90</v>
      </c>
      <c r="D223">
        <v>0</v>
      </c>
      <c r="E223">
        <v>0</v>
      </c>
      <c r="F223">
        <v>3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7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f t="shared" si="19"/>
        <v>779.2</v>
      </c>
      <c r="AD223">
        <v>0</v>
      </c>
      <c r="AE223">
        <v>0</v>
      </c>
      <c r="AF223">
        <v>1</v>
      </c>
      <c r="AG223">
        <v>0</v>
      </c>
      <c r="AH223">
        <v>0</v>
      </c>
      <c r="AI223">
        <v>0</v>
      </c>
      <c r="AJ223">
        <v>0</v>
      </c>
      <c r="AK223">
        <v>0</v>
      </c>
      <c r="AL223">
        <v>0</v>
      </c>
      <c r="AM223">
        <v>1</v>
      </c>
      <c r="AN223">
        <v>0</v>
      </c>
      <c r="AO223">
        <v>1</v>
      </c>
      <c r="AP223">
        <v>0</v>
      </c>
      <c r="AQ223">
        <v>0</v>
      </c>
      <c r="AR223">
        <v>1</v>
      </c>
      <c r="AS223">
        <v>0</v>
      </c>
      <c r="AT223">
        <f t="shared" si="18"/>
        <v>11.8</v>
      </c>
      <c r="AU223">
        <f t="shared" si="16"/>
        <v>0</v>
      </c>
      <c r="AV223">
        <f t="shared" si="17"/>
        <v>779.2</v>
      </c>
      <c r="AX223">
        <v>961</v>
      </c>
      <c r="AY223">
        <v>961</v>
      </c>
      <c r="BB223" t="s">
        <v>250</v>
      </c>
      <c r="BC223" t="s">
        <v>608</v>
      </c>
    </row>
    <row r="224" spans="1:55" x14ac:dyDescent="0.45">
      <c r="A224">
        <v>223</v>
      </c>
      <c r="C224">
        <v>89</v>
      </c>
      <c r="D224">
        <v>0</v>
      </c>
      <c r="E224">
        <v>0</v>
      </c>
      <c r="F224">
        <v>3</v>
      </c>
      <c r="G224">
        <v>0</v>
      </c>
      <c r="H224">
        <v>1</v>
      </c>
      <c r="I224">
        <v>0</v>
      </c>
      <c r="J224">
        <v>0</v>
      </c>
      <c r="K224">
        <v>0</v>
      </c>
      <c r="L224">
        <v>7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f t="shared" si="19"/>
        <v>763.80000000000007</v>
      </c>
      <c r="AD224">
        <v>0</v>
      </c>
      <c r="AE224">
        <v>1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</v>
      </c>
      <c r="AL224">
        <v>0</v>
      </c>
      <c r="AM224">
        <v>1</v>
      </c>
      <c r="AN224">
        <v>0</v>
      </c>
      <c r="AO224">
        <v>1</v>
      </c>
      <c r="AP224">
        <v>0</v>
      </c>
      <c r="AQ224">
        <v>0</v>
      </c>
      <c r="AR224">
        <v>1</v>
      </c>
      <c r="AS224">
        <v>0</v>
      </c>
      <c r="AT224">
        <f t="shared" si="18"/>
        <v>14.700000000000001</v>
      </c>
      <c r="AU224">
        <f t="shared" si="16"/>
        <v>0</v>
      </c>
      <c r="AV224">
        <f t="shared" si="17"/>
        <v>763.80000000000007</v>
      </c>
      <c r="AX224">
        <v>648</v>
      </c>
      <c r="AY224">
        <v>924</v>
      </c>
      <c r="BB224" t="s">
        <v>250</v>
      </c>
      <c r="BC224" t="s">
        <v>608</v>
      </c>
    </row>
    <row r="225" spans="1:55" x14ac:dyDescent="0.45">
      <c r="A225">
        <v>224</v>
      </c>
      <c r="C225">
        <v>89</v>
      </c>
      <c r="D225">
        <v>0</v>
      </c>
      <c r="E225">
        <v>0</v>
      </c>
      <c r="F225">
        <v>3</v>
      </c>
      <c r="G225">
        <v>0</v>
      </c>
      <c r="H225">
        <v>1</v>
      </c>
      <c r="I225">
        <v>0</v>
      </c>
      <c r="J225">
        <v>0</v>
      </c>
      <c r="K225">
        <v>0</v>
      </c>
      <c r="L225">
        <v>7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f t="shared" si="19"/>
        <v>763.80000000000007</v>
      </c>
      <c r="AD225">
        <v>0</v>
      </c>
      <c r="AE225">
        <v>0</v>
      </c>
      <c r="AF225">
        <v>1</v>
      </c>
      <c r="AG225">
        <v>0</v>
      </c>
      <c r="AH225">
        <v>0</v>
      </c>
      <c r="AI225">
        <v>0</v>
      </c>
      <c r="AJ225">
        <v>0</v>
      </c>
      <c r="AK225">
        <v>0</v>
      </c>
      <c r="AL225">
        <v>0</v>
      </c>
      <c r="AM225">
        <v>1</v>
      </c>
      <c r="AN225">
        <v>0</v>
      </c>
      <c r="AO225">
        <v>1</v>
      </c>
      <c r="AP225">
        <v>0</v>
      </c>
      <c r="AQ225">
        <v>0</v>
      </c>
      <c r="AR225">
        <v>1</v>
      </c>
      <c r="AS225">
        <v>0</v>
      </c>
      <c r="AT225">
        <f t="shared" si="18"/>
        <v>14.700000000000001</v>
      </c>
      <c r="AU225">
        <f t="shared" si="16"/>
        <v>0</v>
      </c>
      <c r="AV225">
        <f t="shared" si="17"/>
        <v>763.80000000000007</v>
      </c>
      <c r="AX225">
        <v>1210</v>
      </c>
      <c r="AY225">
        <v>1245</v>
      </c>
      <c r="BB225" t="s">
        <v>250</v>
      </c>
      <c r="BC225" t="s">
        <v>608</v>
      </c>
    </row>
    <row r="226" spans="1:55" x14ac:dyDescent="0.45">
      <c r="A226">
        <v>225</v>
      </c>
      <c r="C226">
        <v>57</v>
      </c>
      <c r="D226">
        <v>0</v>
      </c>
      <c r="E226">
        <v>0</v>
      </c>
      <c r="F226">
        <v>0</v>
      </c>
      <c r="G226">
        <v>0</v>
      </c>
      <c r="H226">
        <v>1</v>
      </c>
      <c r="I226">
        <v>0</v>
      </c>
      <c r="J226">
        <v>8</v>
      </c>
      <c r="K226">
        <v>34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f t="shared" si="19"/>
        <v>811.4</v>
      </c>
      <c r="AD226">
        <v>0</v>
      </c>
      <c r="AE226">
        <v>1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</v>
      </c>
      <c r="AL226">
        <v>0</v>
      </c>
      <c r="AM226">
        <v>1</v>
      </c>
      <c r="AN226">
        <v>0</v>
      </c>
      <c r="AO226">
        <v>1</v>
      </c>
      <c r="AP226">
        <v>0</v>
      </c>
      <c r="AQ226">
        <v>0</v>
      </c>
      <c r="AR226">
        <v>0</v>
      </c>
      <c r="AS226">
        <v>0</v>
      </c>
      <c r="AT226">
        <f t="shared" si="18"/>
        <v>12.420000000000002</v>
      </c>
      <c r="AU226">
        <f t="shared" si="16"/>
        <v>1.3333333333333333</v>
      </c>
      <c r="AV226">
        <f t="shared" si="17"/>
        <v>811.4</v>
      </c>
      <c r="AW226">
        <v>49</v>
      </c>
      <c r="AX226">
        <v>552</v>
      </c>
      <c r="AY226">
        <v>760</v>
      </c>
      <c r="BB226" t="s">
        <v>506</v>
      </c>
      <c r="BC226" t="s">
        <v>609</v>
      </c>
    </row>
    <row r="227" spans="1:55" x14ac:dyDescent="0.45">
      <c r="A227">
        <v>226</v>
      </c>
      <c r="C227">
        <v>88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12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f t="shared" si="19"/>
        <v>768</v>
      </c>
      <c r="AD227">
        <v>0</v>
      </c>
      <c r="AE227">
        <v>1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  <c r="AL227">
        <v>0</v>
      </c>
      <c r="AM227">
        <v>1</v>
      </c>
      <c r="AN227">
        <v>0</v>
      </c>
      <c r="AO227">
        <v>1</v>
      </c>
      <c r="AP227">
        <v>0</v>
      </c>
      <c r="AQ227">
        <v>0</v>
      </c>
      <c r="AR227">
        <v>1</v>
      </c>
      <c r="AS227">
        <v>0</v>
      </c>
      <c r="AT227">
        <f t="shared" si="18"/>
        <v>12</v>
      </c>
      <c r="AU227">
        <f t="shared" si="16"/>
        <v>0</v>
      </c>
      <c r="AV227">
        <f t="shared" si="17"/>
        <v>768</v>
      </c>
      <c r="AW227">
        <v>84</v>
      </c>
      <c r="AX227">
        <v>480</v>
      </c>
      <c r="AY227">
        <v>974</v>
      </c>
      <c r="BB227" t="s">
        <v>507</v>
      </c>
      <c r="BC227" t="s">
        <v>610</v>
      </c>
    </row>
    <row r="228" spans="1:55" x14ac:dyDescent="0.45">
      <c r="A228">
        <v>227</v>
      </c>
      <c r="C228">
        <v>24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13</v>
      </c>
      <c r="K228">
        <v>0</v>
      </c>
      <c r="L228">
        <v>0</v>
      </c>
      <c r="M228">
        <v>0</v>
      </c>
      <c r="N228">
        <v>26</v>
      </c>
      <c r="O228">
        <v>37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</v>
      </c>
      <c r="AL228">
        <v>0</v>
      </c>
      <c r="AM228">
        <v>1</v>
      </c>
      <c r="AN228">
        <v>0</v>
      </c>
      <c r="AO228">
        <v>1</v>
      </c>
      <c r="AP228">
        <v>0</v>
      </c>
      <c r="AQ228">
        <v>0</v>
      </c>
      <c r="AR228">
        <v>1</v>
      </c>
      <c r="AS228">
        <v>0</v>
      </c>
      <c r="AT228">
        <f t="shared" si="18"/>
        <v>8.14</v>
      </c>
      <c r="AU228">
        <f t="shared" si="16"/>
        <v>2.1666666666666665</v>
      </c>
      <c r="AV228">
        <f t="shared" si="17"/>
        <v>792.3</v>
      </c>
      <c r="AW228">
        <v>79</v>
      </c>
      <c r="AX228">
        <v>1001</v>
      </c>
      <c r="AY228">
        <v>1001</v>
      </c>
      <c r="BA228">
        <v>381</v>
      </c>
      <c r="BB228" t="s">
        <v>508</v>
      </c>
      <c r="BC228" t="s">
        <v>611</v>
      </c>
    </row>
    <row r="229" spans="1:55" x14ac:dyDescent="0.45">
      <c r="A229">
        <v>228</v>
      </c>
      <c r="C229">
        <v>26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12</v>
      </c>
      <c r="K229">
        <v>0</v>
      </c>
      <c r="L229">
        <v>0</v>
      </c>
      <c r="M229">
        <v>0</v>
      </c>
      <c r="N229">
        <v>22</v>
      </c>
      <c r="O229">
        <v>40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1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  <c r="AL229">
        <v>0</v>
      </c>
      <c r="AM229">
        <v>1</v>
      </c>
      <c r="AN229">
        <v>0</v>
      </c>
      <c r="AO229">
        <v>1</v>
      </c>
      <c r="AP229">
        <v>0</v>
      </c>
      <c r="AQ229">
        <v>0</v>
      </c>
      <c r="AR229">
        <v>1</v>
      </c>
      <c r="AS229">
        <v>0</v>
      </c>
      <c r="AT229">
        <f t="shared" si="18"/>
        <v>8.8000000000000007</v>
      </c>
      <c r="AU229">
        <f t="shared" si="16"/>
        <v>2</v>
      </c>
      <c r="AV229">
        <f t="shared" si="17"/>
        <v>799.2</v>
      </c>
      <c r="AW229">
        <v>72</v>
      </c>
      <c r="AX229">
        <v>1132</v>
      </c>
      <c r="AY229">
        <v>1160</v>
      </c>
      <c r="BA229">
        <v>375</v>
      </c>
      <c r="BB229" t="s">
        <v>508</v>
      </c>
      <c r="BC229" t="s">
        <v>611</v>
      </c>
    </row>
    <row r="230" spans="1:55" x14ac:dyDescent="0.45">
      <c r="A230">
        <v>229</v>
      </c>
      <c r="C230">
        <v>27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10</v>
      </c>
      <c r="K230">
        <v>0</v>
      </c>
      <c r="L230">
        <v>0</v>
      </c>
      <c r="M230">
        <v>0</v>
      </c>
      <c r="N230">
        <v>18</v>
      </c>
      <c r="O230">
        <v>45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  <c r="AL230">
        <v>0</v>
      </c>
      <c r="AM230">
        <v>1</v>
      </c>
      <c r="AN230">
        <v>0</v>
      </c>
      <c r="AO230">
        <v>1</v>
      </c>
      <c r="AP230">
        <v>0</v>
      </c>
      <c r="AQ230">
        <v>0</v>
      </c>
      <c r="AR230">
        <v>1</v>
      </c>
      <c r="AS230">
        <v>0</v>
      </c>
      <c r="AT230">
        <f t="shared" si="18"/>
        <v>9.9</v>
      </c>
      <c r="AU230">
        <f t="shared" si="16"/>
        <v>1.6666666666666667</v>
      </c>
      <c r="AV230">
        <f t="shared" si="17"/>
        <v>813</v>
      </c>
      <c r="AW230">
        <v>77</v>
      </c>
      <c r="AX230">
        <v>1114</v>
      </c>
      <c r="AY230">
        <v>1173</v>
      </c>
      <c r="BA230">
        <v>360</v>
      </c>
      <c r="BB230" t="s">
        <v>508</v>
      </c>
      <c r="BC230" t="s">
        <v>611</v>
      </c>
    </row>
    <row r="231" spans="1:55" x14ac:dyDescent="0.45">
      <c r="A231">
        <v>230</v>
      </c>
      <c r="C231">
        <v>85</v>
      </c>
      <c r="D231">
        <v>3</v>
      </c>
      <c r="E231">
        <v>10</v>
      </c>
      <c r="F231">
        <v>0</v>
      </c>
      <c r="G231">
        <v>0</v>
      </c>
      <c r="H231">
        <v>2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f>(AV231)+0</f>
        <v>739.5</v>
      </c>
      <c r="AD231">
        <v>0</v>
      </c>
      <c r="AE231">
        <v>0</v>
      </c>
      <c r="AF231">
        <v>1</v>
      </c>
      <c r="AG231">
        <v>0</v>
      </c>
      <c r="AH231">
        <v>0</v>
      </c>
      <c r="AI231">
        <v>0</v>
      </c>
      <c r="AJ231">
        <v>0</v>
      </c>
      <c r="AK231">
        <v>0</v>
      </c>
      <c r="AL231">
        <v>0</v>
      </c>
      <c r="AM231">
        <v>1</v>
      </c>
      <c r="AN231">
        <v>0</v>
      </c>
      <c r="AO231">
        <v>1</v>
      </c>
      <c r="AP231">
        <v>1</v>
      </c>
      <c r="AQ231">
        <v>1</v>
      </c>
      <c r="AR231">
        <v>0</v>
      </c>
      <c r="AS231">
        <v>0</v>
      </c>
      <c r="AT231">
        <f t="shared" si="18"/>
        <v>9.5</v>
      </c>
      <c r="AU231">
        <f t="shared" si="16"/>
        <v>3</v>
      </c>
      <c r="AV231">
        <f t="shared" si="17"/>
        <v>739.5</v>
      </c>
      <c r="AX231">
        <v>1050</v>
      </c>
      <c r="AY231">
        <v>1300</v>
      </c>
      <c r="BB231" t="s">
        <v>509</v>
      </c>
      <c r="BC231" t="s">
        <v>612</v>
      </c>
    </row>
    <row r="232" spans="1:55" x14ac:dyDescent="0.45">
      <c r="A232">
        <v>231</v>
      </c>
      <c r="C232">
        <v>85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9</v>
      </c>
      <c r="M232">
        <v>0</v>
      </c>
      <c r="N232">
        <v>0</v>
      </c>
      <c r="O232">
        <v>0</v>
      </c>
      <c r="P232">
        <v>6</v>
      </c>
      <c r="Q232">
        <v>0</v>
      </c>
      <c r="R232">
        <v>0</v>
      </c>
      <c r="S232">
        <v>0</v>
      </c>
      <c r="T232">
        <v>0</v>
      </c>
      <c r="U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f>(AV232)+0</f>
        <v>796.5</v>
      </c>
      <c r="AD232">
        <v>0</v>
      </c>
      <c r="AE232">
        <v>1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>
        <v>0</v>
      </c>
      <c r="AM232">
        <v>1</v>
      </c>
      <c r="AN232">
        <v>0</v>
      </c>
      <c r="AO232">
        <v>1</v>
      </c>
      <c r="AP232">
        <v>0</v>
      </c>
      <c r="AQ232">
        <v>0</v>
      </c>
      <c r="AR232">
        <v>1</v>
      </c>
      <c r="AS232">
        <v>0</v>
      </c>
      <c r="AT232">
        <f t="shared" si="18"/>
        <v>11.64</v>
      </c>
      <c r="AU232">
        <f t="shared" si="16"/>
        <v>0</v>
      </c>
      <c r="AV232">
        <f t="shared" si="17"/>
        <v>796.5</v>
      </c>
      <c r="AX232">
        <v>692</v>
      </c>
      <c r="AY232">
        <v>1115</v>
      </c>
      <c r="BB232" t="s">
        <v>510</v>
      </c>
      <c r="BC232" t="s">
        <v>613</v>
      </c>
    </row>
    <row r="233" spans="1:55" x14ac:dyDescent="0.45">
      <c r="A233">
        <v>232</v>
      </c>
      <c r="C233">
        <v>88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12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f>(AV233)+0</f>
        <v>768</v>
      </c>
      <c r="AD233">
        <v>0</v>
      </c>
      <c r="AE233">
        <v>1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  <c r="AL233">
        <v>0</v>
      </c>
      <c r="AM233">
        <v>1</v>
      </c>
      <c r="AN233">
        <v>0</v>
      </c>
      <c r="AO233">
        <v>1</v>
      </c>
      <c r="AP233">
        <v>0</v>
      </c>
      <c r="AQ233">
        <v>0</v>
      </c>
      <c r="AR233">
        <v>1</v>
      </c>
      <c r="AS233">
        <v>0</v>
      </c>
      <c r="AT233">
        <f t="shared" si="18"/>
        <v>12</v>
      </c>
      <c r="AU233">
        <f t="shared" si="16"/>
        <v>0</v>
      </c>
      <c r="AV233">
        <f t="shared" si="17"/>
        <v>768</v>
      </c>
      <c r="AX233">
        <v>400</v>
      </c>
      <c r="AY233">
        <v>550</v>
      </c>
      <c r="BB233" t="s">
        <v>511</v>
      </c>
      <c r="BC233" t="s">
        <v>614</v>
      </c>
    </row>
    <row r="234" spans="1:55" x14ac:dyDescent="0.45">
      <c r="A234">
        <v>233</v>
      </c>
      <c r="C234">
        <v>95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5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1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>
        <v>0</v>
      </c>
      <c r="AM234">
        <v>1</v>
      </c>
      <c r="AN234">
        <v>1</v>
      </c>
      <c r="AO234">
        <v>0</v>
      </c>
      <c r="AP234">
        <v>0</v>
      </c>
      <c r="AQ234">
        <v>0</v>
      </c>
      <c r="AR234">
        <v>0</v>
      </c>
      <c r="AS234">
        <v>1</v>
      </c>
      <c r="AT234">
        <f t="shared" si="18"/>
        <v>0</v>
      </c>
      <c r="AU234">
        <f t="shared" si="16"/>
        <v>0</v>
      </c>
      <c r="AV234">
        <f t="shared" si="17"/>
        <v>882</v>
      </c>
      <c r="AW234">
        <v>115</v>
      </c>
      <c r="AX234">
        <v>791</v>
      </c>
      <c r="AY234">
        <v>890</v>
      </c>
      <c r="BA234">
        <v>318</v>
      </c>
      <c r="BB234" t="s">
        <v>512</v>
      </c>
      <c r="BC234" t="s">
        <v>615</v>
      </c>
    </row>
    <row r="235" spans="1:55" x14ac:dyDescent="0.45">
      <c r="A235">
        <v>234</v>
      </c>
      <c r="C235">
        <v>95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5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f>(AV235)+0</f>
        <v>882</v>
      </c>
      <c r="AD235">
        <v>0</v>
      </c>
      <c r="AE235">
        <v>0</v>
      </c>
      <c r="AF235">
        <v>0</v>
      </c>
      <c r="AG235">
        <v>1</v>
      </c>
      <c r="AH235">
        <v>0</v>
      </c>
      <c r="AI235">
        <v>0</v>
      </c>
      <c r="AJ235">
        <v>0</v>
      </c>
      <c r="AK235">
        <v>0</v>
      </c>
      <c r="AL235">
        <v>0</v>
      </c>
      <c r="AM235">
        <v>1</v>
      </c>
      <c r="AN235">
        <v>1</v>
      </c>
      <c r="AO235">
        <v>0</v>
      </c>
      <c r="AP235">
        <v>0</v>
      </c>
      <c r="AQ235">
        <v>0</v>
      </c>
      <c r="AR235">
        <v>0</v>
      </c>
      <c r="AS235">
        <v>1</v>
      </c>
      <c r="AT235">
        <f t="shared" si="18"/>
        <v>0</v>
      </c>
      <c r="AU235">
        <f t="shared" si="16"/>
        <v>0</v>
      </c>
      <c r="AV235">
        <f t="shared" si="17"/>
        <v>882</v>
      </c>
      <c r="AW235">
        <v>120</v>
      </c>
      <c r="AX235">
        <v>592</v>
      </c>
      <c r="AY235">
        <v>648</v>
      </c>
      <c r="BA235">
        <v>239</v>
      </c>
      <c r="BB235" t="s">
        <v>512</v>
      </c>
      <c r="BC235" t="s">
        <v>615</v>
      </c>
    </row>
    <row r="236" spans="1:55" x14ac:dyDescent="0.45">
      <c r="A236">
        <v>235</v>
      </c>
      <c r="C236">
        <v>93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7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1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  <c r="AL236">
        <v>0</v>
      </c>
      <c r="AM236">
        <v>1</v>
      </c>
      <c r="AN236">
        <v>1</v>
      </c>
      <c r="AO236">
        <v>0</v>
      </c>
      <c r="AP236">
        <v>0</v>
      </c>
      <c r="AQ236">
        <v>0</v>
      </c>
      <c r="AR236">
        <v>0</v>
      </c>
      <c r="AS236">
        <v>1</v>
      </c>
      <c r="AT236">
        <f t="shared" si="18"/>
        <v>0</v>
      </c>
      <c r="AU236">
        <f t="shared" si="16"/>
        <v>0</v>
      </c>
      <c r="AV236">
        <f t="shared" si="17"/>
        <v>882</v>
      </c>
      <c r="AW236">
        <v>118</v>
      </c>
      <c r="AX236">
        <v>863</v>
      </c>
      <c r="AY236">
        <v>895</v>
      </c>
      <c r="BA236">
        <v>333</v>
      </c>
      <c r="BB236" t="s">
        <v>512</v>
      </c>
      <c r="BC236" t="s">
        <v>615</v>
      </c>
    </row>
    <row r="237" spans="1:55" x14ac:dyDescent="0.45">
      <c r="A237">
        <v>236</v>
      </c>
      <c r="C237">
        <v>93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7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f>(AV237)+0</f>
        <v>882</v>
      </c>
      <c r="AD237">
        <v>0</v>
      </c>
      <c r="AE237">
        <v>0</v>
      </c>
      <c r="AF237">
        <v>0</v>
      </c>
      <c r="AG237">
        <v>1</v>
      </c>
      <c r="AH237">
        <v>0</v>
      </c>
      <c r="AI237">
        <v>0</v>
      </c>
      <c r="AJ237">
        <v>0</v>
      </c>
      <c r="AK237">
        <v>0</v>
      </c>
      <c r="AL237">
        <v>0</v>
      </c>
      <c r="AM237">
        <v>1</v>
      </c>
      <c r="AN237">
        <v>1</v>
      </c>
      <c r="AO237">
        <v>0</v>
      </c>
      <c r="AP237">
        <v>0</v>
      </c>
      <c r="AQ237">
        <v>0</v>
      </c>
      <c r="AR237">
        <v>0</v>
      </c>
      <c r="AS237">
        <v>1</v>
      </c>
      <c r="AT237">
        <f t="shared" si="18"/>
        <v>0</v>
      </c>
      <c r="AU237">
        <f t="shared" si="16"/>
        <v>0</v>
      </c>
      <c r="AV237">
        <f t="shared" si="17"/>
        <v>882</v>
      </c>
      <c r="AW237">
        <v>112</v>
      </c>
      <c r="AX237">
        <v>522</v>
      </c>
      <c r="AY237">
        <v>660</v>
      </c>
      <c r="BA237">
        <v>224</v>
      </c>
      <c r="BB237" t="s">
        <v>512</v>
      </c>
      <c r="BC237" t="s">
        <v>615</v>
      </c>
    </row>
    <row r="238" spans="1:55" x14ac:dyDescent="0.45">
      <c r="A238">
        <v>237</v>
      </c>
      <c r="C238">
        <v>85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15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1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0</v>
      </c>
      <c r="AK238">
        <v>0</v>
      </c>
      <c r="AL238">
        <v>0</v>
      </c>
      <c r="AM238">
        <v>1</v>
      </c>
      <c r="AN238">
        <v>1</v>
      </c>
      <c r="AO238">
        <v>0</v>
      </c>
      <c r="AP238">
        <v>0</v>
      </c>
      <c r="AQ238">
        <v>0</v>
      </c>
      <c r="AR238">
        <v>0</v>
      </c>
      <c r="AS238">
        <v>1</v>
      </c>
      <c r="AT238">
        <f t="shared" si="18"/>
        <v>0</v>
      </c>
      <c r="AU238">
        <f t="shared" si="16"/>
        <v>0</v>
      </c>
      <c r="AV238">
        <f t="shared" si="17"/>
        <v>882</v>
      </c>
      <c r="AW238">
        <v>120</v>
      </c>
      <c r="AX238">
        <v>666</v>
      </c>
      <c r="AY238">
        <v>666</v>
      </c>
      <c r="BA238">
        <v>382</v>
      </c>
      <c r="BB238" t="s">
        <v>512</v>
      </c>
      <c r="BC238" t="s">
        <v>615</v>
      </c>
    </row>
    <row r="239" spans="1:55" x14ac:dyDescent="0.45">
      <c r="A239">
        <v>238</v>
      </c>
      <c r="C239">
        <v>85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15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f t="shared" ref="AC239:AC246" si="20">(AV239)+0</f>
        <v>882</v>
      </c>
      <c r="AD239">
        <v>0</v>
      </c>
      <c r="AE239">
        <v>0</v>
      </c>
      <c r="AF239">
        <v>0</v>
      </c>
      <c r="AG239">
        <v>1</v>
      </c>
      <c r="AH239">
        <v>0</v>
      </c>
      <c r="AI239">
        <v>0</v>
      </c>
      <c r="AJ239">
        <v>0</v>
      </c>
      <c r="AK239">
        <v>0</v>
      </c>
      <c r="AL239">
        <v>0</v>
      </c>
      <c r="AM239">
        <v>1</v>
      </c>
      <c r="AN239">
        <v>1</v>
      </c>
      <c r="AO239">
        <v>0</v>
      </c>
      <c r="AP239">
        <v>0</v>
      </c>
      <c r="AQ239">
        <v>0</v>
      </c>
      <c r="AR239">
        <v>0</v>
      </c>
      <c r="AS239">
        <v>1</v>
      </c>
      <c r="AT239">
        <f t="shared" si="18"/>
        <v>0</v>
      </c>
      <c r="AU239">
        <f t="shared" si="16"/>
        <v>0</v>
      </c>
      <c r="AV239">
        <f t="shared" si="17"/>
        <v>882</v>
      </c>
      <c r="AW239">
        <v>121</v>
      </c>
      <c r="AX239">
        <v>541</v>
      </c>
      <c r="AY239">
        <v>676</v>
      </c>
      <c r="BA239">
        <v>224</v>
      </c>
      <c r="BB239" t="s">
        <v>512</v>
      </c>
      <c r="BC239" t="s">
        <v>615</v>
      </c>
    </row>
    <row r="240" spans="1:55" x14ac:dyDescent="0.45">
      <c r="A240">
        <v>239</v>
      </c>
      <c r="C240">
        <v>85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15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f t="shared" si="20"/>
        <v>739.5</v>
      </c>
      <c r="AD240">
        <v>0</v>
      </c>
      <c r="AE240">
        <v>1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</v>
      </c>
      <c r="AL240">
        <v>0</v>
      </c>
      <c r="AM240">
        <v>1</v>
      </c>
      <c r="AN240">
        <v>0</v>
      </c>
      <c r="AO240">
        <v>1</v>
      </c>
      <c r="AP240">
        <v>0</v>
      </c>
      <c r="AQ240">
        <v>0</v>
      </c>
      <c r="AR240">
        <v>1</v>
      </c>
      <c r="AS240">
        <v>0</v>
      </c>
      <c r="AT240">
        <f t="shared" si="18"/>
        <v>15</v>
      </c>
      <c r="AU240">
        <f t="shared" si="16"/>
        <v>0</v>
      </c>
      <c r="AV240">
        <f t="shared" si="17"/>
        <v>739.5</v>
      </c>
      <c r="AX240">
        <v>439</v>
      </c>
      <c r="AY240">
        <v>714</v>
      </c>
      <c r="BB240" t="s">
        <v>513</v>
      </c>
      <c r="BC240" t="s">
        <v>616</v>
      </c>
    </row>
    <row r="241" spans="1:55" x14ac:dyDescent="0.45">
      <c r="A241">
        <v>240</v>
      </c>
      <c r="C241">
        <v>84</v>
      </c>
      <c r="D241">
        <v>0</v>
      </c>
      <c r="E241">
        <v>0</v>
      </c>
      <c r="F241">
        <v>0</v>
      </c>
      <c r="G241">
        <v>0</v>
      </c>
      <c r="H241">
        <v>1</v>
      </c>
      <c r="I241">
        <v>0</v>
      </c>
      <c r="J241">
        <v>0</v>
      </c>
      <c r="K241">
        <v>0</v>
      </c>
      <c r="L241">
        <v>15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f t="shared" si="20"/>
        <v>724.1</v>
      </c>
      <c r="AD241">
        <v>0</v>
      </c>
      <c r="AE241">
        <v>1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  <c r="AL241">
        <v>0</v>
      </c>
      <c r="AM241">
        <v>1</v>
      </c>
      <c r="AN241">
        <v>0</v>
      </c>
      <c r="AO241">
        <v>1</v>
      </c>
      <c r="AP241">
        <v>0</v>
      </c>
      <c r="AQ241">
        <v>0</v>
      </c>
      <c r="AR241">
        <v>1</v>
      </c>
      <c r="AS241">
        <v>0</v>
      </c>
      <c r="AT241">
        <f t="shared" si="18"/>
        <v>17.899999999999999</v>
      </c>
      <c r="AU241">
        <f t="shared" si="16"/>
        <v>0</v>
      </c>
      <c r="AV241">
        <f t="shared" si="17"/>
        <v>724.1</v>
      </c>
      <c r="AX241">
        <v>837</v>
      </c>
      <c r="AY241">
        <v>837</v>
      </c>
      <c r="BB241" t="s">
        <v>513</v>
      </c>
      <c r="BC241" t="s">
        <v>616</v>
      </c>
    </row>
    <row r="242" spans="1:55" x14ac:dyDescent="0.45">
      <c r="A242">
        <v>241</v>
      </c>
      <c r="C242">
        <v>80</v>
      </c>
      <c r="D242">
        <v>4</v>
      </c>
      <c r="E242">
        <v>5</v>
      </c>
      <c r="F242">
        <v>6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5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f t="shared" si="20"/>
        <v>711.3</v>
      </c>
      <c r="AD242">
        <v>0</v>
      </c>
      <c r="AE242">
        <v>0</v>
      </c>
      <c r="AF242">
        <v>1</v>
      </c>
      <c r="AG242">
        <v>0</v>
      </c>
      <c r="AH242">
        <v>0</v>
      </c>
      <c r="AI242">
        <v>0</v>
      </c>
      <c r="AJ242">
        <v>0</v>
      </c>
      <c r="AK242">
        <v>0</v>
      </c>
      <c r="AL242">
        <v>0</v>
      </c>
      <c r="AM242">
        <v>1</v>
      </c>
      <c r="AN242">
        <v>0</v>
      </c>
      <c r="AO242">
        <v>1</v>
      </c>
      <c r="AP242">
        <v>0</v>
      </c>
      <c r="AQ242">
        <v>0</v>
      </c>
      <c r="AR242">
        <v>0</v>
      </c>
      <c r="AS242">
        <v>0</v>
      </c>
      <c r="AT242">
        <f t="shared" si="18"/>
        <v>13.950000000000003</v>
      </c>
      <c r="AU242">
        <f t="shared" si="16"/>
        <v>4</v>
      </c>
      <c r="AV242">
        <f t="shared" si="17"/>
        <v>711.3</v>
      </c>
      <c r="AX242">
        <v>873</v>
      </c>
      <c r="AY242">
        <v>875</v>
      </c>
      <c r="BB242" t="s">
        <v>514</v>
      </c>
      <c r="BC242" t="s">
        <v>617</v>
      </c>
    </row>
    <row r="243" spans="1:55" x14ac:dyDescent="0.45">
      <c r="A243">
        <v>242</v>
      </c>
      <c r="C243">
        <v>52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5</v>
      </c>
      <c r="K243">
        <v>30</v>
      </c>
      <c r="L243">
        <v>0</v>
      </c>
      <c r="M243">
        <v>0</v>
      </c>
      <c r="N243">
        <v>0</v>
      </c>
      <c r="O243">
        <v>13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f t="shared" si="20"/>
        <v>847.5</v>
      </c>
      <c r="AD243">
        <v>0</v>
      </c>
      <c r="AE243">
        <v>1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  <c r="AL243">
        <v>0</v>
      </c>
      <c r="AM243">
        <v>1</v>
      </c>
      <c r="AN243">
        <v>0</v>
      </c>
      <c r="AO243">
        <v>1</v>
      </c>
      <c r="AP243">
        <v>0</v>
      </c>
      <c r="AQ243">
        <v>0</v>
      </c>
      <c r="AR243">
        <v>0</v>
      </c>
      <c r="AS243">
        <v>0</v>
      </c>
      <c r="AT243">
        <f t="shared" si="18"/>
        <v>11.26</v>
      </c>
      <c r="AU243">
        <f t="shared" si="16"/>
        <v>0.83333333333333337</v>
      </c>
      <c r="AV243">
        <f t="shared" si="17"/>
        <v>847.5</v>
      </c>
      <c r="AW243">
        <v>61</v>
      </c>
      <c r="AX243">
        <v>521</v>
      </c>
      <c r="AY243">
        <v>554</v>
      </c>
      <c r="BA243">
        <v>175</v>
      </c>
      <c r="BB243" t="s">
        <v>515</v>
      </c>
      <c r="BC243" t="s">
        <v>618</v>
      </c>
    </row>
    <row r="244" spans="1:55" x14ac:dyDescent="0.45">
      <c r="A244">
        <v>243</v>
      </c>
      <c r="C244">
        <v>73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2</v>
      </c>
      <c r="K244">
        <v>24</v>
      </c>
      <c r="L244">
        <v>0</v>
      </c>
      <c r="M244">
        <v>1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f t="shared" si="20"/>
        <v>872.40000000000009</v>
      </c>
      <c r="AD244">
        <v>0</v>
      </c>
      <c r="AE244">
        <v>1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>
        <v>0</v>
      </c>
      <c r="AM244">
        <v>1</v>
      </c>
      <c r="AN244">
        <v>0</v>
      </c>
      <c r="AO244">
        <v>1</v>
      </c>
      <c r="AP244">
        <v>0</v>
      </c>
      <c r="AQ244">
        <v>1</v>
      </c>
      <c r="AR244">
        <v>0</v>
      </c>
      <c r="AS244">
        <v>0</v>
      </c>
      <c r="AT244">
        <f t="shared" si="18"/>
        <v>6.7200000000000006</v>
      </c>
      <c r="AU244">
        <f t="shared" si="16"/>
        <v>0.66666666666666663</v>
      </c>
      <c r="AV244">
        <f t="shared" si="17"/>
        <v>872.40000000000009</v>
      </c>
      <c r="AW244">
        <v>75</v>
      </c>
      <c r="AX244">
        <v>499</v>
      </c>
      <c r="AY244">
        <v>646</v>
      </c>
      <c r="BB244" t="s">
        <v>516</v>
      </c>
      <c r="BC244" t="s">
        <v>619</v>
      </c>
    </row>
    <row r="245" spans="1:55" x14ac:dyDescent="0.45">
      <c r="A245">
        <v>244</v>
      </c>
      <c r="C245">
        <v>68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3</v>
      </c>
      <c r="K245">
        <v>24</v>
      </c>
      <c r="L245">
        <v>3</v>
      </c>
      <c r="M245">
        <v>2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f t="shared" si="20"/>
        <v>841.19999999999993</v>
      </c>
      <c r="AD245">
        <v>0</v>
      </c>
      <c r="AE245">
        <v>1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  <c r="AL245">
        <v>0</v>
      </c>
      <c r="AM245">
        <v>1</v>
      </c>
      <c r="AN245">
        <v>0</v>
      </c>
      <c r="AO245">
        <v>1</v>
      </c>
      <c r="AP245">
        <v>0</v>
      </c>
      <c r="AQ245">
        <v>0</v>
      </c>
      <c r="AR245">
        <v>0</v>
      </c>
      <c r="AS245">
        <v>0</v>
      </c>
      <c r="AT245">
        <f t="shared" si="18"/>
        <v>9.7200000000000006</v>
      </c>
      <c r="AU245">
        <f t="shared" si="16"/>
        <v>1.1666666666666665</v>
      </c>
      <c r="AV245">
        <f t="shared" si="17"/>
        <v>841.19999999999993</v>
      </c>
      <c r="AW245">
        <v>72</v>
      </c>
      <c r="AX245">
        <v>534</v>
      </c>
      <c r="AY245">
        <v>673</v>
      </c>
      <c r="BB245" t="s">
        <v>516</v>
      </c>
      <c r="BC245" t="s">
        <v>619</v>
      </c>
    </row>
    <row r="246" spans="1:55" x14ac:dyDescent="0.45">
      <c r="A246">
        <v>245</v>
      </c>
      <c r="C246">
        <v>65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3</v>
      </c>
      <c r="K246">
        <v>25</v>
      </c>
      <c r="L246">
        <v>5</v>
      </c>
      <c r="M246">
        <v>2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f t="shared" si="20"/>
        <v>822.19999999999993</v>
      </c>
      <c r="AD246">
        <v>0</v>
      </c>
      <c r="AE246">
        <v>1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  <c r="AL246">
        <v>0</v>
      </c>
      <c r="AM246">
        <v>1</v>
      </c>
      <c r="AN246">
        <v>0</v>
      </c>
      <c r="AO246">
        <v>1</v>
      </c>
      <c r="AP246">
        <v>0</v>
      </c>
      <c r="AQ246">
        <v>0</v>
      </c>
      <c r="AR246">
        <v>0</v>
      </c>
      <c r="AS246">
        <v>0</v>
      </c>
      <c r="AT246">
        <f t="shared" si="18"/>
        <v>12</v>
      </c>
      <c r="AU246">
        <f t="shared" si="16"/>
        <v>1.1666666666666665</v>
      </c>
      <c r="AV246">
        <f t="shared" si="17"/>
        <v>822.19999999999993</v>
      </c>
      <c r="AW246">
        <v>68</v>
      </c>
      <c r="AX246">
        <v>491</v>
      </c>
      <c r="AY246">
        <v>618</v>
      </c>
      <c r="BB246" t="s">
        <v>516</v>
      </c>
      <c r="BC246" t="s">
        <v>619</v>
      </c>
    </row>
    <row r="247" spans="1:55" x14ac:dyDescent="0.45">
      <c r="A247">
        <v>246</v>
      </c>
      <c r="C247">
        <v>87</v>
      </c>
      <c r="D247">
        <v>0</v>
      </c>
      <c r="E247">
        <v>0</v>
      </c>
      <c r="F247">
        <v>0</v>
      </c>
      <c r="G247">
        <v>0</v>
      </c>
      <c r="H247">
        <v>3</v>
      </c>
      <c r="I247">
        <v>0</v>
      </c>
      <c r="J247">
        <v>0</v>
      </c>
      <c r="K247">
        <v>10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  <c r="AL247">
        <v>0</v>
      </c>
      <c r="AM247">
        <v>1</v>
      </c>
      <c r="AN247">
        <v>0</v>
      </c>
      <c r="AO247">
        <v>1</v>
      </c>
      <c r="AP247">
        <v>0</v>
      </c>
      <c r="AQ247">
        <v>0</v>
      </c>
      <c r="AR247">
        <v>1</v>
      </c>
      <c r="AS247">
        <v>0</v>
      </c>
      <c r="AT247">
        <f t="shared" si="18"/>
        <v>11.5</v>
      </c>
      <c r="AU247">
        <f t="shared" si="16"/>
        <v>0</v>
      </c>
      <c r="AV247">
        <f t="shared" si="17"/>
        <v>835.8</v>
      </c>
      <c r="AW247">
        <v>77</v>
      </c>
      <c r="BA247">
        <v>479</v>
      </c>
      <c r="BB247" t="s">
        <v>517</v>
      </c>
      <c r="BC247" t="s">
        <v>620</v>
      </c>
    </row>
    <row r="248" spans="1:55" x14ac:dyDescent="0.45">
      <c r="A248">
        <v>247</v>
      </c>
      <c r="C248">
        <v>82</v>
      </c>
      <c r="D248">
        <v>0</v>
      </c>
      <c r="E248">
        <v>0</v>
      </c>
      <c r="F248">
        <v>0</v>
      </c>
      <c r="G248">
        <v>0</v>
      </c>
      <c r="H248">
        <v>3</v>
      </c>
      <c r="I248">
        <v>0</v>
      </c>
      <c r="J248">
        <v>0</v>
      </c>
      <c r="K248">
        <v>15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  <c r="AL248">
        <v>0</v>
      </c>
      <c r="AM248">
        <v>1</v>
      </c>
      <c r="AN248">
        <v>0</v>
      </c>
      <c r="AO248">
        <v>1</v>
      </c>
      <c r="AP248">
        <v>0</v>
      </c>
      <c r="AQ248">
        <v>0</v>
      </c>
      <c r="AR248">
        <v>1</v>
      </c>
      <c r="AS248">
        <v>0</v>
      </c>
      <c r="AT248">
        <f t="shared" si="18"/>
        <v>12.899999999999999</v>
      </c>
      <c r="AU248">
        <f t="shared" si="16"/>
        <v>0</v>
      </c>
      <c r="AV248">
        <f t="shared" si="17"/>
        <v>835.8</v>
      </c>
      <c r="AW248">
        <v>71</v>
      </c>
      <c r="BA248">
        <v>411</v>
      </c>
      <c r="BB248" t="s">
        <v>517</v>
      </c>
      <c r="BC248" t="s">
        <v>620</v>
      </c>
    </row>
    <row r="249" spans="1:55" x14ac:dyDescent="0.45">
      <c r="A249">
        <v>248</v>
      </c>
      <c r="C249">
        <v>77</v>
      </c>
      <c r="D249">
        <v>0</v>
      </c>
      <c r="E249">
        <v>0</v>
      </c>
      <c r="F249">
        <v>0</v>
      </c>
      <c r="G249">
        <v>0</v>
      </c>
      <c r="H249">
        <v>3</v>
      </c>
      <c r="I249">
        <v>0</v>
      </c>
      <c r="J249">
        <v>0</v>
      </c>
      <c r="K249">
        <v>20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1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  <c r="AL249">
        <v>0</v>
      </c>
      <c r="AM249">
        <v>1</v>
      </c>
      <c r="AN249">
        <v>0</v>
      </c>
      <c r="AO249">
        <v>1</v>
      </c>
      <c r="AP249">
        <v>0</v>
      </c>
      <c r="AQ249">
        <v>0</v>
      </c>
      <c r="AR249">
        <v>1</v>
      </c>
      <c r="AS249">
        <v>0</v>
      </c>
      <c r="AT249">
        <f t="shared" si="18"/>
        <v>14.3</v>
      </c>
      <c r="AU249">
        <f t="shared" si="16"/>
        <v>0</v>
      </c>
      <c r="AV249">
        <f t="shared" si="17"/>
        <v>835.8</v>
      </c>
      <c r="AW249">
        <v>67</v>
      </c>
      <c r="BA249">
        <v>326</v>
      </c>
      <c r="BB249" t="s">
        <v>517</v>
      </c>
      <c r="BC249" t="s">
        <v>620</v>
      </c>
    </row>
    <row r="250" spans="1:55" x14ac:dyDescent="0.45">
      <c r="A250">
        <v>249</v>
      </c>
      <c r="C250">
        <v>72</v>
      </c>
      <c r="D250">
        <v>0</v>
      </c>
      <c r="E250">
        <v>0</v>
      </c>
      <c r="F250">
        <v>0</v>
      </c>
      <c r="G250">
        <v>0</v>
      </c>
      <c r="H250">
        <v>3</v>
      </c>
      <c r="I250">
        <v>0</v>
      </c>
      <c r="J250">
        <v>0</v>
      </c>
      <c r="K250">
        <v>25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1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  <c r="AL250">
        <v>0</v>
      </c>
      <c r="AM250">
        <v>1</v>
      </c>
      <c r="AN250">
        <v>0</v>
      </c>
      <c r="AO250">
        <v>1</v>
      </c>
      <c r="AP250">
        <v>0</v>
      </c>
      <c r="AQ250">
        <v>0</v>
      </c>
      <c r="AR250">
        <v>1</v>
      </c>
      <c r="AS250">
        <v>0</v>
      </c>
      <c r="AT250">
        <f t="shared" si="18"/>
        <v>15.7</v>
      </c>
      <c r="AU250">
        <f t="shared" si="16"/>
        <v>0</v>
      </c>
      <c r="AV250">
        <f t="shared" si="17"/>
        <v>835.8</v>
      </c>
      <c r="AW250">
        <v>65</v>
      </c>
      <c r="BA250">
        <v>289</v>
      </c>
      <c r="BB250" t="s">
        <v>517</v>
      </c>
      <c r="BC250" t="s">
        <v>620</v>
      </c>
    </row>
    <row r="251" spans="1:55" x14ac:dyDescent="0.45">
      <c r="A251">
        <v>250</v>
      </c>
      <c r="C251">
        <v>92</v>
      </c>
      <c r="D251">
        <v>0</v>
      </c>
      <c r="E251">
        <v>0</v>
      </c>
      <c r="F251">
        <v>0</v>
      </c>
      <c r="G251">
        <v>0</v>
      </c>
      <c r="H251">
        <v>1</v>
      </c>
      <c r="I251">
        <v>0</v>
      </c>
      <c r="J251">
        <v>0</v>
      </c>
      <c r="K251">
        <v>0</v>
      </c>
      <c r="L251">
        <v>7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1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  <c r="AL251">
        <v>0</v>
      </c>
      <c r="AM251">
        <v>1</v>
      </c>
      <c r="AN251">
        <v>0</v>
      </c>
      <c r="AO251">
        <v>1</v>
      </c>
      <c r="AP251">
        <v>0</v>
      </c>
      <c r="AQ251">
        <v>0</v>
      </c>
      <c r="AR251">
        <v>1</v>
      </c>
      <c r="AS251">
        <v>0</v>
      </c>
      <c r="AT251">
        <f t="shared" si="18"/>
        <v>9.9</v>
      </c>
      <c r="AU251">
        <f t="shared" si="16"/>
        <v>0</v>
      </c>
      <c r="AV251">
        <f t="shared" si="17"/>
        <v>800.1</v>
      </c>
      <c r="AW251">
        <v>111</v>
      </c>
      <c r="AY251">
        <v>1902</v>
      </c>
      <c r="BA251">
        <v>435</v>
      </c>
      <c r="BB251" t="s">
        <v>518</v>
      </c>
      <c r="BC251" t="s">
        <v>621</v>
      </c>
    </row>
    <row r="252" spans="1:55" x14ac:dyDescent="0.45">
      <c r="A252">
        <v>251</v>
      </c>
      <c r="C252">
        <v>90</v>
      </c>
      <c r="D252">
        <v>0</v>
      </c>
      <c r="E252">
        <v>0</v>
      </c>
      <c r="F252">
        <v>0</v>
      </c>
      <c r="G252">
        <v>0</v>
      </c>
      <c r="H252">
        <v>3</v>
      </c>
      <c r="I252">
        <v>0</v>
      </c>
      <c r="J252">
        <v>0</v>
      </c>
      <c r="K252">
        <v>0</v>
      </c>
      <c r="L252">
        <v>7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1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  <c r="AL252">
        <v>0</v>
      </c>
      <c r="AM252">
        <v>1</v>
      </c>
      <c r="AN252">
        <v>0</v>
      </c>
      <c r="AO252">
        <v>1</v>
      </c>
      <c r="AP252">
        <v>0</v>
      </c>
      <c r="AQ252">
        <v>0</v>
      </c>
      <c r="AR252">
        <v>1</v>
      </c>
      <c r="AS252">
        <v>0</v>
      </c>
      <c r="AT252">
        <f t="shared" si="18"/>
        <v>15.7</v>
      </c>
      <c r="AU252">
        <f t="shared" si="16"/>
        <v>0</v>
      </c>
      <c r="AV252">
        <f t="shared" si="17"/>
        <v>769.3</v>
      </c>
      <c r="AW252">
        <v>85</v>
      </c>
      <c r="AY252">
        <v>2201</v>
      </c>
      <c r="BA252">
        <v>382</v>
      </c>
      <c r="BB252" t="s">
        <v>518</v>
      </c>
      <c r="BC252" t="s">
        <v>621</v>
      </c>
    </row>
    <row r="253" spans="1:55" x14ac:dyDescent="0.45">
      <c r="A253">
        <v>252</v>
      </c>
      <c r="C253">
        <v>88</v>
      </c>
      <c r="D253">
        <v>0</v>
      </c>
      <c r="E253">
        <v>0</v>
      </c>
      <c r="F253">
        <v>0</v>
      </c>
      <c r="G253">
        <v>0</v>
      </c>
      <c r="H253">
        <v>5</v>
      </c>
      <c r="I253">
        <v>0</v>
      </c>
      <c r="J253">
        <v>0</v>
      </c>
      <c r="K253">
        <v>0</v>
      </c>
      <c r="L253">
        <v>7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1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  <c r="AL253">
        <v>0</v>
      </c>
      <c r="AM253">
        <v>1</v>
      </c>
      <c r="AN253">
        <v>0</v>
      </c>
      <c r="AO253">
        <v>1</v>
      </c>
      <c r="AP253">
        <v>0</v>
      </c>
      <c r="AQ253">
        <v>0</v>
      </c>
      <c r="AR253">
        <v>1</v>
      </c>
      <c r="AS253">
        <v>0</v>
      </c>
      <c r="AT253">
        <f t="shared" si="18"/>
        <v>21.5</v>
      </c>
      <c r="AU253">
        <f t="shared" si="16"/>
        <v>0</v>
      </c>
      <c r="AV253">
        <f t="shared" si="17"/>
        <v>738.5</v>
      </c>
      <c r="AW253">
        <v>89</v>
      </c>
      <c r="AY253">
        <v>1994</v>
      </c>
      <c r="BA253">
        <v>347</v>
      </c>
      <c r="BB253" t="s">
        <v>518</v>
      </c>
      <c r="BC253" t="s">
        <v>621</v>
      </c>
    </row>
    <row r="254" spans="1:55" x14ac:dyDescent="0.45">
      <c r="A254">
        <v>253</v>
      </c>
      <c r="C254">
        <v>86</v>
      </c>
      <c r="D254">
        <v>0</v>
      </c>
      <c r="E254">
        <v>0</v>
      </c>
      <c r="F254">
        <v>0</v>
      </c>
      <c r="G254">
        <v>0</v>
      </c>
      <c r="H254">
        <v>7</v>
      </c>
      <c r="I254">
        <v>0</v>
      </c>
      <c r="J254">
        <v>0</v>
      </c>
      <c r="K254">
        <v>0</v>
      </c>
      <c r="L254">
        <v>7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1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  <c r="AL254">
        <v>0</v>
      </c>
      <c r="AM254">
        <v>1</v>
      </c>
      <c r="AN254">
        <v>0</v>
      </c>
      <c r="AO254">
        <v>1</v>
      </c>
      <c r="AP254">
        <v>0</v>
      </c>
      <c r="AQ254">
        <v>0</v>
      </c>
      <c r="AR254">
        <v>1</v>
      </c>
      <c r="AS254">
        <v>0</v>
      </c>
      <c r="AT254">
        <f t="shared" si="18"/>
        <v>27.3</v>
      </c>
      <c r="AU254">
        <f t="shared" si="16"/>
        <v>0</v>
      </c>
      <c r="AV254">
        <f t="shared" si="17"/>
        <v>707.7</v>
      </c>
      <c r="AW254">
        <v>98</v>
      </c>
      <c r="AY254">
        <v>1851</v>
      </c>
      <c r="BA254">
        <v>367</v>
      </c>
      <c r="BB254" t="s">
        <v>518</v>
      </c>
      <c r="BC254" t="s">
        <v>621</v>
      </c>
    </row>
    <row r="255" spans="1:55" x14ac:dyDescent="0.45">
      <c r="A255">
        <v>254</v>
      </c>
      <c r="C255">
        <v>84</v>
      </c>
      <c r="D255">
        <v>0</v>
      </c>
      <c r="E255">
        <v>0</v>
      </c>
      <c r="F255">
        <v>0</v>
      </c>
      <c r="G255">
        <v>0</v>
      </c>
      <c r="H255">
        <v>8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8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f>(AV255)+0</f>
        <v>758.8</v>
      </c>
      <c r="AD255">
        <v>0</v>
      </c>
      <c r="AE255">
        <v>1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  <c r="AL255">
        <v>0</v>
      </c>
      <c r="AM255">
        <v>1</v>
      </c>
      <c r="AN255">
        <v>0</v>
      </c>
      <c r="AO255">
        <v>1</v>
      </c>
      <c r="AP255">
        <v>0</v>
      </c>
      <c r="AQ255">
        <v>0</v>
      </c>
      <c r="AR255">
        <v>0</v>
      </c>
      <c r="AS255">
        <v>0</v>
      </c>
      <c r="AT255">
        <f t="shared" si="18"/>
        <v>24.96</v>
      </c>
      <c r="AU255">
        <f t="shared" si="16"/>
        <v>0</v>
      </c>
      <c r="AV255">
        <f t="shared" si="17"/>
        <v>758.8</v>
      </c>
      <c r="AX255">
        <v>914</v>
      </c>
      <c r="AY255">
        <v>1058</v>
      </c>
      <c r="BA255">
        <v>327</v>
      </c>
      <c r="BB255" t="s">
        <v>519</v>
      </c>
      <c r="BC255" t="s">
        <v>622</v>
      </c>
    </row>
    <row r="256" spans="1:55" x14ac:dyDescent="0.45">
      <c r="A256">
        <v>255</v>
      </c>
      <c r="C256">
        <v>80</v>
      </c>
      <c r="D256">
        <v>0</v>
      </c>
      <c r="E256">
        <v>0</v>
      </c>
      <c r="F256">
        <v>0</v>
      </c>
      <c r="G256">
        <v>0</v>
      </c>
      <c r="H256">
        <v>8</v>
      </c>
      <c r="I256">
        <v>0</v>
      </c>
      <c r="J256">
        <v>4</v>
      </c>
      <c r="K256">
        <v>0</v>
      </c>
      <c r="L256">
        <v>0</v>
      </c>
      <c r="M256">
        <v>0</v>
      </c>
      <c r="N256">
        <v>0</v>
      </c>
      <c r="O256">
        <v>8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f>(AV256)+0</f>
        <v>731.19999999999993</v>
      </c>
      <c r="AD256">
        <v>0</v>
      </c>
      <c r="AE256">
        <v>1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  <c r="AL256">
        <v>0</v>
      </c>
      <c r="AM256">
        <v>1</v>
      </c>
      <c r="AN256">
        <v>0</v>
      </c>
      <c r="AO256">
        <v>1</v>
      </c>
      <c r="AP256">
        <v>0</v>
      </c>
      <c r="AQ256">
        <v>0</v>
      </c>
      <c r="AR256">
        <v>0</v>
      </c>
      <c r="AS256">
        <v>0</v>
      </c>
      <c r="AT256">
        <f t="shared" si="18"/>
        <v>24.96</v>
      </c>
      <c r="AU256">
        <f t="shared" si="16"/>
        <v>0.66666666666666663</v>
      </c>
      <c r="AV256">
        <f t="shared" si="17"/>
        <v>731.19999999999993</v>
      </c>
      <c r="AX256">
        <v>934</v>
      </c>
      <c r="AY256">
        <v>1054</v>
      </c>
      <c r="BA256">
        <v>331</v>
      </c>
      <c r="BB256" t="s">
        <v>519</v>
      </c>
      <c r="BC256" t="s">
        <v>622</v>
      </c>
    </row>
    <row r="257" spans="1:55" x14ac:dyDescent="0.45">
      <c r="A257">
        <v>256</v>
      </c>
      <c r="C257">
        <v>76</v>
      </c>
      <c r="D257">
        <v>0</v>
      </c>
      <c r="E257">
        <v>0</v>
      </c>
      <c r="F257">
        <v>0</v>
      </c>
      <c r="G257">
        <v>0</v>
      </c>
      <c r="H257">
        <v>10</v>
      </c>
      <c r="I257">
        <v>0</v>
      </c>
      <c r="J257">
        <v>4</v>
      </c>
      <c r="K257">
        <v>0</v>
      </c>
      <c r="L257">
        <v>0</v>
      </c>
      <c r="M257">
        <v>0</v>
      </c>
      <c r="N257">
        <v>0</v>
      </c>
      <c r="O257">
        <v>10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f>(AV257)+0</f>
        <v>700.4</v>
      </c>
      <c r="AD257">
        <v>0</v>
      </c>
      <c r="AE257">
        <v>1</v>
      </c>
      <c r="AF257">
        <v>0</v>
      </c>
      <c r="AG257">
        <v>0</v>
      </c>
      <c r="AH257">
        <v>0</v>
      </c>
      <c r="AI257">
        <v>0</v>
      </c>
      <c r="AJ257">
        <v>0</v>
      </c>
      <c r="AK257">
        <v>0</v>
      </c>
      <c r="AL257">
        <v>0</v>
      </c>
      <c r="AM257">
        <v>1</v>
      </c>
      <c r="AN257">
        <v>0</v>
      </c>
      <c r="AO257">
        <v>1</v>
      </c>
      <c r="AP257">
        <v>0</v>
      </c>
      <c r="AQ257">
        <v>0</v>
      </c>
      <c r="AR257">
        <v>0</v>
      </c>
      <c r="AS257">
        <v>0</v>
      </c>
      <c r="AT257">
        <f t="shared" si="18"/>
        <v>31.2</v>
      </c>
      <c r="AU257">
        <f t="shared" si="16"/>
        <v>0.66666666666666663</v>
      </c>
      <c r="AV257">
        <f t="shared" si="17"/>
        <v>700.4</v>
      </c>
      <c r="AX257">
        <v>966</v>
      </c>
      <c r="AY257">
        <v>1086</v>
      </c>
      <c r="BA257">
        <v>338</v>
      </c>
      <c r="BB257" t="s">
        <v>519</v>
      </c>
      <c r="BC257" t="s">
        <v>622</v>
      </c>
    </row>
    <row r="258" spans="1:55" x14ac:dyDescent="0.45">
      <c r="A258">
        <v>257</v>
      </c>
      <c r="C258">
        <v>64.8</v>
      </c>
      <c r="D258">
        <v>0</v>
      </c>
      <c r="E258">
        <v>0</v>
      </c>
      <c r="F258">
        <v>0</v>
      </c>
      <c r="G258">
        <v>0</v>
      </c>
      <c r="H258">
        <v>2</v>
      </c>
      <c r="I258">
        <v>0</v>
      </c>
      <c r="J258">
        <v>0</v>
      </c>
      <c r="K258">
        <v>25</v>
      </c>
      <c r="L258">
        <v>5</v>
      </c>
      <c r="M258">
        <v>3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0.2</v>
      </c>
      <c r="U258">
        <v>0</v>
      </c>
      <c r="V258">
        <v>0</v>
      </c>
      <c r="W258">
        <v>0</v>
      </c>
      <c r="X258">
        <v>0</v>
      </c>
      <c r="Y258">
        <v>1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0</v>
      </c>
      <c r="AI258">
        <v>0</v>
      </c>
      <c r="AJ258">
        <v>0</v>
      </c>
      <c r="AK258">
        <v>0</v>
      </c>
      <c r="AL258">
        <v>0</v>
      </c>
      <c r="AM258">
        <v>1</v>
      </c>
      <c r="AN258">
        <v>1</v>
      </c>
      <c r="AO258">
        <v>1</v>
      </c>
      <c r="AP258">
        <v>0</v>
      </c>
      <c r="AQ258">
        <v>0</v>
      </c>
      <c r="AR258">
        <v>0</v>
      </c>
      <c r="AS258">
        <v>0</v>
      </c>
      <c r="AT258">
        <f t="shared" si="18"/>
        <v>17.8</v>
      </c>
      <c r="AU258">
        <f t="shared" ref="AU258:AU284" si="21">D258+J258/6+M258/3+(T258+S258)/10</f>
        <v>1.02</v>
      </c>
      <c r="AV258">
        <f t="shared" ref="AV258:AV284" si="22">882+2.1*D258-9.5*L258+4.2*M258-6.9*J258-11.8*E258-12.1*F258-15.4*H258+23.3*Q258+123*T258</f>
        <v>840.90000000000009</v>
      </c>
      <c r="AW258">
        <v>72</v>
      </c>
      <c r="AY258">
        <v>621</v>
      </c>
      <c r="BB258" t="s">
        <v>520</v>
      </c>
      <c r="BC258" t="s">
        <v>623</v>
      </c>
    </row>
    <row r="259" spans="1:55" x14ac:dyDescent="0.45">
      <c r="A259">
        <v>258</v>
      </c>
      <c r="C259">
        <v>64.7</v>
      </c>
      <c r="D259">
        <v>0</v>
      </c>
      <c r="E259">
        <v>0</v>
      </c>
      <c r="F259">
        <v>0</v>
      </c>
      <c r="G259">
        <v>0</v>
      </c>
      <c r="H259">
        <v>2</v>
      </c>
      <c r="I259">
        <v>0</v>
      </c>
      <c r="J259">
        <v>0</v>
      </c>
      <c r="K259">
        <v>25</v>
      </c>
      <c r="L259">
        <v>5</v>
      </c>
      <c r="M259">
        <v>3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0.3</v>
      </c>
      <c r="U259">
        <v>0</v>
      </c>
      <c r="V259">
        <v>0</v>
      </c>
      <c r="W259">
        <v>0</v>
      </c>
      <c r="X259">
        <v>0</v>
      </c>
      <c r="Y259">
        <v>1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  <c r="AI259">
        <v>0</v>
      </c>
      <c r="AJ259">
        <v>0</v>
      </c>
      <c r="AK259">
        <v>0</v>
      </c>
      <c r="AL259">
        <v>0</v>
      </c>
      <c r="AM259">
        <v>1</v>
      </c>
      <c r="AN259">
        <v>1</v>
      </c>
      <c r="AO259">
        <v>1</v>
      </c>
      <c r="AP259">
        <v>0</v>
      </c>
      <c r="AQ259">
        <v>0</v>
      </c>
      <c r="AR259">
        <v>0</v>
      </c>
      <c r="AS259">
        <v>0</v>
      </c>
      <c r="AT259">
        <f t="shared" ref="AT259:AT284" si="23">L259+0.67*E259+0.44*P259+0.28*K259+0.22*O259+2.9*H259+1.6*F259+1.7*G259-D259</f>
        <v>17.8</v>
      </c>
      <c r="AU259">
        <f t="shared" si="21"/>
        <v>1.03</v>
      </c>
      <c r="AV259">
        <f t="shared" si="22"/>
        <v>853.2</v>
      </c>
      <c r="AW259">
        <v>75</v>
      </c>
      <c r="AY259">
        <v>682</v>
      </c>
      <c r="BB259" t="s">
        <v>520</v>
      </c>
      <c r="BC259" t="s">
        <v>623</v>
      </c>
    </row>
    <row r="260" spans="1:55" x14ac:dyDescent="0.45">
      <c r="A260">
        <v>259</v>
      </c>
      <c r="C260">
        <v>64.400000000000006</v>
      </c>
      <c r="D260">
        <v>0</v>
      </c>
      <c r="E260">
        <v>0</v>
      </c>
      <c r="F260">
        <v>0</v>
      </c>
      <c r="G260">
        <v>0</v>
      </c>
      <c r="H260">
        <v>2</v>
      </c>
      <c r="I260">
        <v>0</v>
      </c>
      <c r="J260">
        <v>0</v>
      </c>
      <c r="K260">
        <v>25</v>
      </c>
      <c r="L260">
        <v>5</v>
      </c>
      <c r="M260">
        <v>3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0.6</v>
      </c>
      <c r="U260">
        <v>0</v>
      </c>
      <c r="V260">
        <v>0</v>
      </c>
      <c r="W260">
        <v>0</v>
      </c>
      <c r="X260">
        <v>0</v>
      </c>
      <c r="Y260">
        <v>1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0</v>
      </c>
      <c r="AL260">
        <v>0</v>
      </c>
      <c r="AM260">
        <v>1</v>
      </c>
      <c r="AN260">
        <v>1</v>
      </c>
      <c r="AO260">
        <v>1</v>
      </c>
      <c r="AP260">
        <v>0</v>
      </c>
      <c r="AQ260">
        <v>0</v>
      </c>
      <c r="AR260">
        <v>0</v>
      </c>
      <c r="AS260">
        <v>0</v>
      </c>
      <c r="AT260">
        <f t="shared" si="23"/>
        <v>17.8</v>
      </c>
      <c r="AU260">
        <f t="shared" si="21"/>
        <v>1.06</v>
      </c>
      <c r="AV260">
        <f t="shared" si="22"/>
        <v>890.1</v>
      </c>
      <c r="AW260">
        <v>74</v>
      </c>
      <c r="AY260">
        <v>610</v>
      </c>
      <c r="BB260" t="s">
        <v>520</v>
      </c>
      <c r="BC260" t="s">
        <v>623</v>
      </c>
    </row>
    <row r="261" spans="1:55" x14ac:dyDescent="0.45">
      <c r="A261">
        <v>260</v>
      </c>
      <c r="C261">
        <v>81</v>
      </c>
      <c r="D261">
        <v>3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15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1</v>
      </c>
      <c r="U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f t="shared" ref="AC261:AC269" si="24">(AV261)+0</f>
        <v>868.8</v>
      </c>
      <c r="AD261">
        <v>0</v>
      </c>
      <c r="AE261">
        <v>0</v>
      </c>
      <c r="AF261">
        <v>1</v>
      </c>
      <c r="AG261">
        <v>0</v>
      </c>
      <c r="AH261">
        <v>0</v>
      </c>
      <c r="AI261">
        <v>0</v>
      </c>
      <c r="AJ261">
        <v>0</v>
      </c>
      <c r="AK261">
        <v>0</v>
      </c>
      <c r="AL261">
        <v>0</v>
      </c>
      <c r="AM261">
        <v>1</v>
      </c>
      <c r="AN261">
        <v>0</v>
      </c>
      <c r="AO261">
        <v>1</v>
      </c>
      <c r="AP261">
        <v>0</v>
      </c>
      <c r="AQ261">
        <v>0</v>
      </c>
      <c r="AR261">
        <v>0</v>
      </c>
      <c r="AS261">
        <v>0</v>
      </c>
      <c r="AT261">
        <f t="shared" si="23"/>
        <v>12</v>
      </c>
      <c r="AU261">
        <f t="shared" si="21"/>
        <v>3.1</v>
      </c>
      <c r="AV261">
        <f t="shared" si="22"/>
        <v>868.8</v>
      </c>
      <c r="AX261">
        <v>1203</v>
      </c>
      <c r="BA261">
        <v>376</v>
      </c>
      <c r="BB261" t="s">
        <v>521</v>
      </c>
      <c r="BC261" t="s">
        <v>561</v>
      </c>
    </row>
    <row r="262" spans="1:55" x14ac:dyDescent="0.45">
      <c r="A262">
        <v>261</v>
      </c>
      <c r="C262">
        <v>63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6</v>
      </c>
      <c r="K262">
        <v>29</v>
      </c>
      <c r="L262">
        <v>2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f t="shared" si="24"/>
        <v>821.6</v>
      </c>
      <c r="AD262">
        <v>0</v>
      </c>
      <c r="AE262">
        <v>1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0</v>
      </c>
      <c r="AL262">
        <v>0</v>
      </c>
      <c r="AM262">
        <v>1</v>
      </c>
      <c r="AN262">
        <v>0</v>
      </c>
      <c r="AO262">
        <v>1</v>
      </c>
      <c r="AP262">
        <v>0</v>
      </c>
      <c r="AQ262">
        <v>1</v>
      </c>
      <c r="AR262">
        <v>0</v>
      </c>
      <c r="AS262">
        <v>0</v>
      </c>
      <c r="AT262">
        <f t="shared" si="23"/>
        <v>10.120000000000001</v>
      </c>
      <c r="AU262">
        <f t="shared" si="21"/>
        <v>1</v>
      </c>
      <c r="AV262">
        <f t="shared" si="22"/>
        <v>821.6</v>
      </c>
      <c r="AW262">
        <v>79</v>
      </c>
      <c r="BA262">
        <v>297</v>
      </c>
      <c r="BB262" t="s">
        <v>522</v>
      </c>
      <c r="BC262" t="s">
        <v>624</v>
      </c>
    </row>
    <row r="263" spans="1:55" x14ac:dyDescent="0.45">
      <c r="A263">
        <v>262</v>
      </c>
      <c r="C263">
        <v>85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3</v>
      </c>
      <c r="L263">
        <v>12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f t="shared" si="24"/>
        <v>768</v>
      </c>
      <c r="AD263">
        <v>0</v>
      </c>
      <c r="AE263">
        <v>1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0</v>
      </c>
      <c r="AL263">
        <v>0</v>
      </c>
      <c r="AM263">
        <v>1</v>
      </c>
      <c r="AN263">
        <v>0</v>
      </c>
      <c r="AO263">
        <v>1</v>
      </c>
      <c r="AP263">
        <v>0</v>
      </c>
      <c r="AQ263">
        <v>0</v>
      </c>
      <c r="AR263">
        <v>0</v>
      </c>
      <c r="AS263">
        <v>0</v>
      </c>
      <c r="AT263">
        <f t="shared" si="23"/>
        <v>12.84</v>
      </c>
      <c r="AU263">
        <f t="shared" si="21"/>
        <v>0</v>
      </c>
      <c r="AV263">
        <f t="shared" si="22"/>
        <v>768</v>
      </c>
      <c r="AW263">
        <v>105</v>
      </c>
      <c r="AX263">
        <v>449</v>
      </c>
      <c r="AY263">
        <v>747</v>
      </c>
      <c r="BB263" t="s">
        <v>523</v>
      </c>
      <c r="BC263" t="s">
        <v>625</v>
      </c>
    </row>
    <row r="264" spans="1:55" x14ac:dyDescent="0.45">
      <c r="A264">
        <v>263</v>
      </c>
      <c r="C264">
        <v>52.9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7</v>
      </c>
      <c r="K264">
        <v>35</v>
      </c>
      <c r="L264">
        <v>0</v>
      </c>
      <c r="M264">
        <v>0</v>
      </c>
      <c r="N264">
        <v>0</v>
      </c>
      <c r="O264">
        <v>5</v>
      </c>
      <c r="P264">
        <v>0</v>
      </c>
      <c r="Q264">
        <v>0</v>
      </c>
      <c r="R264">
        <v>0</v>
      </c>
      <c r="S264">
        <v>0</v>
      </c>
      <c r="T264">
        <v>0.1</v>
      </c>
      <c r="U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f t="shared" si="24"/>
        <v>846</v>
      </c>
      <c r="AD264">
        <v>0</v>
      </c>
      <c r="AE264">
        <v>1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0</v>
      </c>
      <c r="AL264">
        <v>0</v>
      </c>
      <c r="AM264">
        <v>1</v>
      </c>
      <c r="AN264">
        <v>0</v>
      </c>
      <c r="AO264">
        <v>1</v>
      </c>
      <c r="AP264">
        <v>0</v>
      </c>
      <c r="AQ264">
        <v>0</v>
      </c>
      <c r="AR264">
        <v>0</v>
      </c>
      <c r="AS264">
        <v>0</v>
      </c>
      <c r="AT264">
        <f t="shared" si="23"/>
        <v>10.9</v>
      </c>
      <c r="AU264">
        <f t="shared" si="21"/>
        <v>1.1766666666666667</v>
      </c>
      <c r="AV264">
        <f t="shared" si="22"/>
        <v>846</v>
      </c>
      <c r="AX264">
        <v>530</v>
      </c>
      <c r="AY264">
        <v>590</v>
      </c>
      <c r="BB264" t="s">
        <v>524</v>
      </c>
      <c r="BC264" t="s">
        <v>626</v>
      </c>
    </row>
    <row r="265" spans="1:55" x14ac:dyDescent="0.45">
      <c r="A265">
        <v>264</v>
      </c>
      <c r="C265">
        <v>52.5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7</v>
      </c>
      <c r="K265">
        <v>35</v>
      </c>
      <c r="L265">
        <v>0</v>
      </c>
      <c r="M265">
        <v>0</v>
      </c>
      <c r="N265">
        <v>0</v>
      </c>
      <c r="O265">
        <v>5</v>
      </c>
      <c r="P265">
        <v>0</v>
      </c>
      <c r="Q265">
        <v>0</v>
      </c>
      <c r="R265">
        <v>0</v>
      </c>
      <c r="S265">
        <v>0</v>
      </c>
      <c r="T265">
        <v>0.5</v>
      </c>
      <c r="U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f t="shared" si="24"/>
        <v>895.2</v>
      </c>
      <c r="AD265">
        <v>0</v>
      </c>
      <c r="AE265">
        <v>1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</v>
      </c>
      <c r="AL265">
        <v>0</v>
      </c>
      <c r="AM265">
        <v>1</v>
      </c>
      <c r="AN265">
        <v>0</v>
      </c>
      <c r="AO265">
        <v>1</v>
      </c>
      <c r="AP265">
        <v>0</v>
      </c>
      <c r="AQ265">
        <v>0</v>
      </c>
      <c r="AR265">
        <v>0</v>
      </c>
      <c r="AS265">
        <v>0</v>
      </c>
      <c r="AT265">
        <f t="shared" si="23"/>
        <v>10.9</v>
      </c>
      <c r="AU265">
        <f t="shared" si="21"/>
        <v>1.2166666666666668</v>
      </c>
      <c r="AV265">
        <f t="shared" si="22"/>
        <v>895.2</v>
      </c>
      <c r="AX265">
        <v>937</v>
      </c>
      <c r="AY265">
        <v>1014</v>
      </c>
      <c r="BB265" t="s">
        <v>524</v>
      </c>
      <c r="BC265" t="s">
        <v>626</v>
      </c>
    </row>
    <row r="266" spans="1:55" x14ac:dyDescent="0.45">
      <c r="A266">
        <v>265</v>
      </c>
      <c r="C266">
        <v>52.3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7</v>
      </c>
      <c r="K266">
        <v>35</v>
      </c>
      <c r="L266">
        <v>0</v>
      </c>
      <c r="M266">
        <v>0</v>
      </c>
      <c r="N266">
        <v>0</v>
      </c>
      <c r="O266">
        <v>5</v>
      </c>
      <c r="P266">
        <v>0</v>
      </c>
      <c r="Q266">
        <v>0</v>
      </c>
      <c r="R266">
        <v>0</v>
      </c>
      <c r="S266">
        <v>0</v>
      </c>
      <c r="T266">
        <v>0.7</v>
      </c>
      <c r="U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f t="shared" si="24"/>
        <v>919.80000000000007</v>
      </c>
      <c r="AD266">
        <v>0</v>
      </c>
      <c r="AE266">
        <v>1</v>
      </c>
      <c r="AF266">
        <v>0</v>
      </c>
      <c r="AG266">
        <v>0</v>
      </c>
      <c r="AH266">
        <v>0</v>
      </c>
      <c r="AI266">
        <v>0</v>
      </c>
      <c r="AJ266">
        <v>0</v>
      </c>
      <c r="AK266">
        <v>0</v>
      </c>
      <c r="AL266">
        <v>0</v>
      </c>
      <c r="AM266">
        <v>1</v>
      </c>
      <c r="AN266">
        <v>0</v>
      </c>
      <c r="AO266">
        <v>1</v>
      </c>
      <c r="AP266">
        <v>0</v>
      </c>
      <c r="AQ266">
        <v>0</v>
      </c>
      <c r="AR266">
        <v>0</v>
      </c>
      <c r="AS266">
        <v>0</v>
      </c>
      <c r="AT266">
        <f t="shared" si="23"/>
        <v>10.9</v>
      </c>
      <c r="AU266">
        <f t="shared" si="21"/>
        <v>1.2366666666666668</v>
      </c>
      <c r="AV266">
        <f t="shared" si="22"/>
        <v>919.80000000000007</v>
      </c>
      <c r="AX266">
        <v>1081</v>
      </c>
      <c r="AY266">
        <v>1097</v>
      </c>
      <c r="BB266" t="s">
        <v>524</v>
      </c>
      <c r="BC266" t="s">
        <v>626</v>
      </c>
    </row>
    <row r="267" spans="1:55" x14ac:dyDescent="0.45">
      <c r="A267">
        <v>266</v>
      </c>
      <c r="C267">
        <v>65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30</v>
      </c>
      <c r="K267">
        <v>0</v>
      </c>
      <c r="L267">
        <v>5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f t="shared" si="24"/>
        <v>627.5</v>
      </c>
      <c r="AD267">
        <v>0</v>
      </c>
      <c r="AE267">
        <v>1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0</v>
      </c>
      <c r="AL267">
        <v>0</v>
      </c>
      <c r="AM267">
        <v>1</v>
      </c>
      <c r="AN267">
        <v>0</v>
      </c>
      <c r="AO267">
        <v>1</v>
      </c>
      <c r="AP267">
        <v>0</v>
      </c>
      <c r="AQ267">
        <v>0</v>
      </c>
      <c r="AR267">
        <v>0</v>
      </c>
      <c r="AS267">
        <v>0</v>
      </c>
      <c r="AT267">
        <f t="shared" si="23"/>
        <v>5</v>
      </c>
      <c r="AU267">
        <f t="shared" si="21"/>
        <v>5</v>
      </c>
      <c r="AV267">
        <f t="shared" si="22"/>
        <v>627.5</v>
      </c>
      <c r="AW267">
        <v>75</v>
      </c>
      <c r="AX267">
        <v>383</v>
      </c>
      <c r="AY267">
        <v>762</v>
      </c>
      <c r="BB267" t="s">
        <v>301</v>
      </c>
      <c r="BC267" t="s">
        <v>627</v>
      </c>
    </row>
    <row r="268" spans="1:55" x14ac:dyDescent="0.45">
      <c r="A268">
        <v>267</v>
      </c>
      <c r="C268">
        <v>64</v>
      </c>
      <c r="D268">
        <v>0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30</v>
      </c>
      <c r="K268">
        <v>0</v>
      </c>
      <c r="L268">
        <v>6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f t="shared" si="24"/>
        <v>618</v>
      </c>
      <c r="AD268">
        <v>0</v>
      </c>
      <c r="AE268">
        <v>1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0</v>
      </c>
      <c r="AL268">
        <v>0</v>
      </c>
      <c r="AM268">
        <v>1</v>
      </c>
      <c r="AN268">
        <v>0</v>
      </c>
      <c r="AO268">
        <v>1</v>
      </c>
      <c r="AP268">
        <v>0</v>
      </c>
      <c r="AQ268">
        <v>0</v>
      </c>
      <c r="AR268">
        <v>0</v>
      </c>
      <c r="AS268">
        <v>0</v>
      </c>
      <c r="AT268">
        <f t="shared" si="23"/>
        <v>6</v>
      </c>
      <c r="AU268">
        <f t="shared" si="21"/>
        <v>5</v>
      </c>
      <c r="AV268">
        <f t="shared" si="22"/>
        <v>618</v>
      </c>
      <c r="AW268">
        <v>63</v>
      </c>
      <c r="AX268">
        <v>459</v>
      </c>
      <c r="AY268">
        <v>723</v>
      </c>
      <c r="BB268" t="s">
        <v>301</v>
      </c>
      <c r="BC268" t="s">
        <v>627</v>
      </c>
    </row>
    <row r="269" spans="1:55" x14ac:dyDescent="0.45">
      <c r="A269">
        <v>268</v>
      </c>
      <c r="C269">
        <v>63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30</v>
      </c>
      <c r="K269">
        <v>0</v>
      </c>
      <c r="L269">
        <v>7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f t="shared" si="24"/>
        <v>608.5</v>
      </c>
      <c r="AD269">
        <v>0</v>
      </c>
      <c r="AE269">
        <v>1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  <c r="AL269">
        <v>0</v>
      </c>
      <c r="AM269">
        <v>1</v>
      </c>
      <c r="AN269">
        <v>0</v>
      </c>
      <c r="AO269">
        <v>1</v>
      </c>
      <c r="AP269">
        <v>0</v>
      </c>
      <c r="AQ269">
        <v>0</v>
      </c>
      <c r="AR269">
        <v>0</v>
      </c>
      <c r="AS269">
        <v>0</v>
      </c>
      <c r="AT269">
        <f t="shared" si="23"/>
        <v>7</v>
      </c>
      <c r="AU269">
        <f t="shared" si="21"/>
        <v>5</v>
      </c>
      <c r="AV269">
        <f t="shared" si="22"/>
        <v>608.5</v>
      </c>
      <c r="AW269">
        <v>66</v>
      </c>
      <c r="AX269">
        <v>674</v>
      </c>
      <c r="AY269">
        <v>784</v>
      </c>
      <c r="BB269" t="s">
        <v>301</v>
      </c>
      <c r="BC269" t="s">
        <v>627</v>
      </c>
    </row>
    <row r="270" spans="1:55" x14ac:dyDescent="0.45">
      <c r="A270">
        <v>269</v>
      </c>
      <c r="C270">
        <v>59.454900000000002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40.545099999999998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  <c r="AL270">
        <v>0</v>
      </c>
      <c r="AM270">
        <v>1</v>
      </c>
      <c r="AN270">
        <v>0</v>
      </c>
      <c r="AO270">
        <v>1</v>
      </c>
      <c r="AP270">
        <v>0</v>
      </c>
      <c r="AQ270">
        <v>1</v>
      </c>
      <c r="AR270">
        <v>0</v>
      </c>
      <c r="AS270">
        <v>0</v>
      </c>
      <c r="AT270">
        <f t="shared" si="23"/>
        <v>11.352628000000001</v>
      </c>
      <c r="AU270">
        <f t="shared" si="21"/>
        <v>0</v>
      </c>
      <c r="AV270">
        <f t="shared" si="22"/>
        <v>882</v>
      </c>
      <c r="AW270">
        <v>75</v>
      </c>
      <c r="AX270">
        <v>447</v>
      </c>
      <c r="BA270">
        <v>227</v>
      </c>
      <c r="BB270" t="s">
        <v>525</v>
      </c>
      <c r="BC270" t="s">
        <v>628</v>
      </c>
    </row>
    <row r="271" spans="1:55" x14ac:dyDescent="0.45">
      <c r="A271">
        <v>270</v>
      </c>
      <c r="C271">
        <v>56.929099999999998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39.901000000000003</v>
      </c>
      <c r="L271">
        <v>3.1699000000000002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>
        <v>0</v>
      </c>
      <c r="AM271">
        <v>1</v>
      </c>
      <c r="AN271">
        <v>0</v>
      </c>
      <c r="AO271">
        <v>1</v>
      </c>
      <c r="AP271">
        <v>0</v>
      </c>
      <c r="AQ271">
        <v>0</v>
      </c>
      <c r="AR271">
        <v>0</v>
      </c>
      <c r="AS271">
        <v>0</v>
      </c>
      <c r="AT271">
        <f t="shared" si="23"/>
        <v>14.342180000000003</v>
      </c>
      <c r="AU271">
        <f t="shared" si="21"/>
        <v>0</v>
      </c>
      <c r="AV271">
        <f t="shared" si="22"/>
        <v>851.88594999999998</v>
      </c>
      <c r="AW271">
        <v>67</v>
      </c>
      <c r="AX271">
        <v>535</v>
      </c>
      <c r="BA271">
        <v>189</v>
      </c>
      <c r="BB271" t="s">
        <v>525</v>
      </c>
      <c r="BC271" t="s">
        <v>628</v>
      </c>
    </row>
    <row r="272" spans="1:55" x14ac:dyDescent="0.45">
      <c r="A272">
        <v>271</v>
      </c>
      <c r="C272">
        <v>54.482300000000002</v>
      </c>
      <c r="D272">
        <v>0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39.277099999999997</v>
      </c>
      <c r="L272">
        <v>6.2405999999999997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  <c r="AL272">
        <v>0</v>
      </c>
      <c r="AM272">
        <v>1</v>
      </c>
      <c r="AN272">
        <v>0</v>
      </c>
      <c r="AO272">
        <v>1</v>
      </c>
      <c r="AP272">
        <v>0</v>
      </c>
      <c r="AQ272">
        <v>0</v>
      </c>
      <c r="AR272">
        <v>0</v>
      </c>
      <c r="AS272">
        <v>0</v>
      </c>
      <c r="AT272">
        <f t="shared" si="23"/>
        <v>17.238188000000001</v>
      </c>
      <c r="AU272">
        <f t="shared" si="21"/>
        <v>0</v>
      </c>
      <c r="AV272">
        <f t="shared" si="22"/>
        <v>822.71429999999998</v>
      </c>
      <c r="AW272">
        <v>64</v>
      </c>
      <c r="AX272">
        <v>621</v>
      </c>
      <c r="BA272">
        <v>211</v>
      </c>
      <c r="BB272" t="s">
        <v>525</v>
      </c>
      <c r="BC272" t="s">
        <v>628</v>
      </c>
    </row>
    <row r="273" spans="1:55" x14ac:dyDescent="0.45">
      <c r="A273">
        <v>272</v>
      </c>
      <c r="C273">
        <v>52.110799999999998</v>
      </c>
      <c r="D273">
        <v>0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38.672400000000003</v>
      </c>
      <c r="L273">
        <v>9.2167999999999992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</v>
      </c>
      <c r="AL273">
        <v>0</v>
      </c>
      <c r="AM273">
        <v>1</v>
      </c>
      <c r="AN273">
        <v>0</v>
      </c>
      <c r="AO273">
        <v>1</v>
      </c>
      <c r="AP273">
        <v>0</v>
      </c>
      <c r="AQ273">
        <v>0</v>
      </c>
      <c r="AR273">
        <v>0</v>
      </c>
      <c r="AS273">
        <v>0</v>
      </c>
      <c r="AT273">
        <f t="shared" si="23"/>
        <v>20.045072000000001</v>
      </c>
      <c r="AU273">
        <f t="shared" si="21"/>
        <v>0</v>
      </c>
      <c r="AV273">
        <f t="shared" si="22"/>
        <v>794.44039999999995</v>
      </c>
      <c r="AW273">
        <v>56</v>
      </c>
      <c r="AX273">
        <v>634</v>
      </c>
      <c r="BA273">
        <v>218</v>
      </c>
      <c r="BB273" t="s">
        <v>525</v>
      </c>
      <c r="BC273" t="s">
        <v>628</v>
      </c>
    </row>
    <row r="274" spans="1:55" x14ac:dyDescent="0.45">
      <c r="A274">
        <v>273</v>
      </c>
      <c r="C274">
        <v>49.811300000000003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38.085999999999999</v>
      </c>
      <c r="L274">
        <v>12.1027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  <c r="AL274">
        <v>0</v>
      </c>
      <c r="AM274">
        <v>1</v>
      </c>
      <c r="AN274">
        <v>0</v>
      </c>
      <c r="AO274">
        <v>1</v>
      </c>
      <c r="AP274">
        <v>0</v>
      </c>
      <c r="AQ274">
        <v>0</v>
      </c>
      <c r="AR274">
        <v>0</v>
      </c>
      <c r="AS274">
        <v>0</v>
      </c>
      <c r="AT274">
        <f t="shared" si="23"/>
        <v>22.766780000000001</v>
      </c>
      <c r="AU274">
        <f t="shared" si="21"/>
        <v>0</v>
      </c>
      <c r="AV274">
        <f t="shared" si="22"/>
        <v>767.02435000000003</v>
      </c>
      <c r="AW274">
        <v>55</v>
      </c>
      <c r="AX274">
        <v>663</v>
      </c>
      <c r="BA274">
        <v>242</v>
      </c>
      <c r="BB274" t="s">
        <v>525</v>
      </c>
      <c r="BC274" t="s">
        <v>628</v>
      </c>
    </row>
    <row r="275" spans="1:55" x14ac:dyDescent="0.45">
      <c r="A275">
        <v>274</v>
      </c>
      <c r="C275">
        <v>22.3386</v>
      </c>
      <c r="D275">
        <v>13.344200000000001</v>
      </c>
      <c r="E275">
        <v>23.205100000000002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41.112000000000002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f>(AV275)+0</f>
        <v>636.20263999999997</v>
      </c>
      <c r="AD275">
        <v>0</v>
      </c>
      <c r="AE275">
        <v>0</v>
      </c>
      <c r="AF275">
        <v>0</v>
      </c>
      <c r="AG275">
        <v>1</v>
      </c>
      <c r="AH275">
        <v>0</v>
      </c>
      <c r="AI275">
        <v>0</v>
      </c>
      <c r="AJ275">
        <v>0</v>
      </c>
      <c r="AK275">
        <v>0</v>
      </c>
      <c r="AL275">
        <v>0</v>
      </c>
      <c r="AM275">
        <v>1</v>
      </c>
      <c r="AN275">
        <v>0</v>
      </c>
      <c r="AO275">
        <v>1</v>
      </c>
      <c r="AP275">
        <v>0</v>
      </c>
      <c r="AQ275">
        <v>0</v>
      </c>
      <c r="AR275">
        <v>0</v>
      </c>
      <c r="AS275">
        <v>0</v>
      </c>
      <c r="AT275">
        <f t="shared" si="23"/>
        <v>13.714577000000002</v>
      </c>
      <c r="AU275">
        <f t="shared" si="21"/>
        <v>13.344200000000001</v>
      </c>
      <c r="AV275">
        <f t="shared" si="22"/>
        <v>636.20263999999997</v>
      </c>
      <c r="AX275">
        <v>1020</v>
      </c>
      <c r="AY275">
        <v>1318</v>
      </c>
      <c r="BA275">
        <v>448</v>
      </c>
      <c r="BB275" t="s">
        <v>526</v>
      </c>
      <c r="BC275" t="s">
        <v>629</v>
      </c>
    </row>
    <row r="276" spans="1:55" x14ac:dyDescent="0.45">
      <c r="A276">
        <v>275</v>
      </c>
      <c r="C276">
        <v>11.661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22.223299999999998</v>
      </c>
      <c r="K276">
        <v>22.633199999999999</v>
      </c>
      <c r="L276">
        <v>0</v>
      </c>
      <c r="M276">
        <v>0</v>
      </c>
      <c r="N276">
        <v>43.482500000000002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f>(AV276)+0</f>
        <v>728.65922999999998</v>
      </c>
      <c r="AD276">
        <v>0</v>
      </c>
      <c r="AE276">
        <v>0</v>
      </c>
      <c r="AF276">
        <v>0</v>
      </c>
      <c r="AG276">
        <v>1</v>
      </c>
      <c r="AH276">
        <v>0</v>
      </c>
      <c r="AI276">
        <v>0</v>
      </c>
      <c r="AJ276">
        <v>0</v>
      </c>
      <c r="AK276">
        <v>0</v>
      </c>
      <c r="AL276">
        <v>0</v>
      </c>
      <c r="AM276">
        <v>1</v>
      </c>
      <c r="AN276">
        <v>0</v>
      </c>
      <c r="AO276">
        <v>1</v>
      </c>
      <c r="AP276">
        <v>0</v>
      </c>
      <c r="AQ276">
        <v>0</v>
      </c>
      <c r="AR276">
        <v>0</v>
      </c>
      <c r="AS276">
        <v>0</v>
      </c>
      <c r="AT276">
        <f t="shared" si="23"/>
        <v>6.3372960000000003</v>
      </c>
      <c r="AU276">
        <f t="shared" si="21"/>
        <v>3.7038833333333332</v>
      </c>
      <c r="AV276">
        <f t="shared" si="22"/>
        <v>728.65922999999998</v>
      </c>
      <c r="AX276">
        <v>879</v>
      </c>
      <c r="AY276">
        <v>969</v>
      </c>
      <c r="BB276" t="s">
        <v>527</v>
      </c>
      <c r="BC276" t="s">
        <v>630</v>
      </c>
    </row>
    <row r="277" spans="1:55" x14ac:dyDescent="0.45">
      <c r="A277">
        <v>276</v>
      </c>
      <c r="C277">
        <v>7.9566999999999997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16.3415</v>
      </c>
      <c r="K277">
        <v>14.8398</v>
      </c>
      <c r="L277">
        <v>0</v>
      </c>
      <c r="M277">
        <v>0</v>
      </c>
      <c r="N277">
        <v>30.814299999999999</v>
      </c>
      <c r="O277">
        <v>30.047699999999999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f>(AV277)+0</f>
        <v>769.24365</v>
      </c>
      <c r="AD277">
        <v>0</v>
      </c>
      <c r="AE277">
        <v>0</v>
      </c>
      <c r="AF277">
        <v>0</v>
      </c>
      <c r="AG277">
        <v>1</v>
      </c>
      <c r="AH277">
        <v>0</v>
      </c>
      <c r="AI277">
        <v>0</v>
      </c>
      <c r="AJ277">
        <v>0</v>
      </c>
      <c r="AK277">
        <v>0</v>
      </c>
      <c r="AL277">
        <v>0</v>
      </c>
      <c r="AM277">
        <v>1</v>
      </c>
      <c r="AN277">
        <v>0</v>
      </c>
      <c r="AO277">
        <v>1</v>
      </c>
      <c r="AP277">
        <v>0</v>
      </c>
      <c r="AQ277">
        <v>0</v>
      </c>
      <c r="AR277">
        <v>0</v>
      </c>
      <c r="AS277">
        <v>0</v>
      </c>
      <c r="AT277">
        <f t="shared" si="23"/>
        <v>10.765638000000001</v>
      </c>
      <c r="AU277">
        <f t="shared" si="21"/>
        <v>2.7235833333333335</v>
      </c>
      <c r="AV277">
        <f t="shared" si="22"/>
        <v>769.24365</v>
      </c>
      <c r="AX277">
        <v>929</v>
      </c>
      <c r="BA277">
        <v>390</v>
      </c>
      <c r="BB277" t="s">
        <v>528</v>
      </c>
      <c r="BC277" t="s">
        <v>631</v>
      </c>
    </row>
    <row r="278" spans="1:55" x14ac:dyDescent="0.45">
      <c r="A278">
        <v>277</v>
      </c>
      <c r="C278">
        <v>77.419499999999999</v>
      </c>
      <c r="D278">
        <v>0</v>
      </c>
      <c r="E278">
        <v>0</v>
      </c>
      <c r="F278">
        <v>0</v>
      </c>
      <c r="G278">
        <v>0</v>
      </c>
      <c r="H278">
        <v>22.580500000000001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1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0</v>
      </c>
      <c r="AL278">
        <v>0</v>
      </c>
      <c r="AM278">
        <v>1</v>
      </c>
      <c r="AN278">
        <v>1</v>
      </c>
      <c r="AO278">
        <v>1</v>
      </c>
      <c r="AP278">
        <v>0</v>
      </c>
      <c r="AQ278">
        <v>0</v>
      </c>
      <c r="AR278">
        <v>0</v>
      </c>
      <c r="AS278">
        <v>0</v>
      </c>
      <c r="AT278">
        <f t="shared" si="23"/>
        <v>65.483450000000005</v>
      </c>
      <c r="AU278">
        <f t="shared" si="21"/>
        <v>0</v>
      </c>
      <c r="AV278">
        <f t="shared" si="22"/>
        <v>534.26029999999992</v>
      </c>
      <c r="AX278">
        <v>1389</v>
      </c>
      <c r="AY278">
        <v>1566</v>
      </c>
      <c r="BA278">
        <v>484</v>
      </c>
      <c r="BB278" t="s">
        <v>529</v>
      </c>
      <c r="BC278" t="s">
        <v>632</v>
      </c>
    </row>
    <row r="279" spans="1:55" x14ac:dyDescent="0.45">
      <c r="A279">
        <v>278</v>
      </c>
      <c r="C279">
        <v>75.372200000000007</v>
      </c>
      <c r="D279">
        <v>0</v>
      </c>
      <c r="E279">
        <v>0</v>
      </c>
      <c r="F279">
        <v>0</v>
      </c>
      <c r="G279">
        <v>0</v>
      </c>
      <c r="H279">
        <v>22.261700000000001</v>
      </c>
      <c r="I279">
        <v>0</v>
      </c>
      <c r="J279">
        <v>0</v>
      </c>
      <c r="K279">
        <v>0</v>
      </c>
      <c r="L279">
        <v>0</v>
      </c>
      <c r="M279">
        <v>2.3660999999999999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1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0</v>
      </c>
      <c r="AK279">
        <v>0</v>
      </c>
      <c r="AL279">
        <v>0</v>
      </c>
      <c r="AM279">
        <v>1</v>
      </c>
      <c r="AN279">
        <v>1</v>
      </c>
      <c r="AO279">
        <v>1</v>
      </c>
      <c r="AP279">
        <v>0</v>
      </c>
      <c r="AQ279">
        <v>0</v>
      </c>
      <c r="AR279">
        <v>0</v>
      </c>
      <c r="AS279">
        <v>0</v>
      </c>
      <c r="AT279">
        <f t="shared" si="23"/>
        <v>64.558930000000004</v>
      </c>
      <c r="AU279">
        <f t="shared" si="21"/>
        <v>0.78869999999999996</v>
      </c>
      <c r="AV279">
        <f t="shared" si="22"/>
        <v>549.10744</v>
      </c>
      <c r="AX279">
        <v>1531</v>
      </c>
      <c r="AY279">
        <v>1679</v>
      </c>
      <c r="BA279">
        <v>495</v>
      </c>
      <c r="BB279" t="s">
        <v>529</v>
      </c>
      <c r="BC279" t="s">
        <v>632</v>
      </c>
    </row>
    <row r="280" spans="1:55" x14ac:dyDescent="0.45">
      <c r="A280">
        <v>279</v>
      </c>
      <c r="C280">
        <v>71.446299999999994</v>
      </c>
      <c r="D280">
        <v>0</v>
      </c>
      <c r="E280">
        <v>0</v>
      </c>
      <c r="F280">
        <v>0</v>
      </c>
      <c r="G280">
        <v>0</v>
      </c>
      <c r="H280">
        <v>21.650300000000001</v>
      </c>
      <c r="I280">
        <v>0</v>
      </c>
      <c r="J280">
        <v>0</v>
      </c>
      <c r="K280">
        <v>0</v>
      </c>
      <c r="L280">
        <v>0</v>
      </c>
      <c r="M280">
        <v>6.9034000000000004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1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0</v>
      </c>
      <c r="AK280">
        <v>0</v>
      </c>
      <c r="AL280">
        <v>0</v>
      </c>
      <c r="AM280">
        <v>1</v>
      </c>
      <c r="AN280">
        <v>1</v>
      </c>
      <c r="AO280">
        <v>1</v>
      </c>
      <c r="AP280">
        <v>0</v>
      </c>
      <c r="AQ280">
        <v>0</v>
      </c>
      <c r="AR280">
        <v>0</v>
      </c>
      <c r="AS280">
        <v>1</v>
      </c>
      <c r="AT280">
        <f t="shared" si="23"/>
        <v>62.785870000000003</v>
      </c>
      <c r="AU280">
        <f t="shared" si="21"/>
        <v>2.3011333333333335</v>
      </c>
      <c r="AV280">
        <f t="shared" si="22"/>
        <v>577.57965999999999</v>
      </c>
      <c r="AX280">
        <v>1574</v>
      </c>
      <c r="AY280">
        <v>1732</v>
      </c>
      <c r="BA280">
        <v>513</v>
      </c>
      <c r="BB280" t="s">
        <v>529</v>
      </c>
      <c r="BC280" t="s">
        <v>632</v>
      </c>
    </row>
    <row r="281" spans="1:55" x14ac:dyDescent="0.45">
      <c r="A281">
        <v>280</v>
      </c>
      <c r="C281">
        <v>67.730400000000003</v>
      </c>
      <c r="D281">
        <v>0</v>
      </c>
      <c r="E281">
        <v>0</v>
      </c>
      <c r="F281">
        <v>0</v>
      </c>
      <c r="G281">
        <v>0</v>
      </c>
      <c r="H281">
        <v>21.0715</v>
      </c>
      <c r="I281">
        <v>0</v>
      </c>
      <c r="J281">
        <v>0</v>
      </c>
      <c r="K281">
        <v>0</v>
      </c>
      <c r="L281">
        <v>0</v>
      </c>
      <c r="M281">
        <v>11.1981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1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  <c r="AL281">
        <v>0</v>
      </c>
      <c r="AM281">
        <v>1</v>
      </c>
      <c r="AN281">
        <v>1</v>
      </c>
      <c r="AO281">
        <v>1</v>
      </c>
      <c r="AP281">
        <v>0</v>
      </c>
      <c r="AQ281">
        <v>0</v>
      </c>
      <c r="AR281">
        <v>0</v>
      </c>
      <c r="AS281">
        <v>1</v>
      </c>
      <c r="AT281">
        <f t="shared" si="23"/>
        <v>61.107349999999997</v>
      </c>
      <c r="AU281">
        <f t="shared" si="21"/>
        <v>3.7326999999999999</v>
      </c>
      <c r="AV281">
        <f t="shared" si="22"/>
        <v>604.53091999999992</v>
      </c>
      <c r="AX281">
        <v>1700</v>
      </c>
      <c r="AY281">
        <v>2332</v>
      </c>
      <c r="BA281">
        <v>558</v>
      </c>
      <c r="BB281" t="s">
        <v>529</v>
      </c>
      <c r="BC281" t="s">
        <v>632</v>
      </c>
    </row>
    <row r="282" spans="1:55" x14ac:dyDescent="0.45">
      <c r="A282">
        <v>281</v>
      </c>
      <c r="C282">
        <v>77.114199999999997</v>
      </c>
      <c r="D282">
        <v>0</v>
      </c>
      <c r="E282">
        <v>0</v>
      </c>
      <c r="F282">
        <v>0</v>
      </c>
      <c r="G282">
        <v>0</v>
      </c>
      <c r="H282">
        <v>10.7102</v>
      </c>
      <c r="I282">
        <v>0</v>
      </c>
      <c r="J282">
        <v>0</v>
      </c>
      <c r="K282">
        <v>5.3455000000000004</v>
      </c>
      <c r="L282">
        <v>0</v>
      </c>
      <c r="M282">
        <v>6.8300999999999998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1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  <c r="AL282">
        <v>0</v>
      </c>
      <c r="AM282">
        <v>1</v>
      </c>
      <c r="AN282">
        <v>0</v>
      </c>
      <c r="AO282">
        <v>1</v>
      </c>
      <c r="AP282">
        <v>0</v>
      </c>
      <c r="AQ282">
        <v>1</v>
      </c>
      <c r="AR282">
        <v>0</v>
      </c>
      <c r="AS282">
        <v>0</v>
      </c>
      <c r="AT282">
        <f t="shared" si="23"/>
        <v>32.556319999999999</v>
      </c>
      <c r="AU282">
        <f t="shared" si="21"/>
        <v>2.2766999999999999</v>
      </c>
      <c r="AV282">
        <f t="shared" si="22"/>
        <v>745.74933999999996</v>
      </c>
      <c r="AX282">
        <v>1470</v>
      </c>
      <c r="AY282">
        <v>1950</v>
      </c>
      <c r="BB282" t="s">
        <v>530</v>
      </c>
      <c r="BC282" t="s">
        <v>633</v>
      </c>
    </row>
    <row r="283" spans="1:55" x14ac:dyDescent="0.45">
      <c r="A283">
        <v>282</v>
      </c>
      <c r="C283">
        <v>75.048500000000004</v>
      </c>
      <c r="D283">
        <v>0</v>
      </c>
      <c r="E283">
        <v>0</v>
      </c>
      <c r="F283">
        <v>0</v>
      </c>
      <c r="G283">
        <v>0</v>
      </c>
      <c r="H283">
        <v>12.8131</v>
      </c>
      <c r="I283">
        <v>0</v>
      </c>
      <c r="J283">
        <v>0</v>
      </c>
      <c r="K283">
        <v>5.3292000000000002</v>
      </c>
      <c r="L283">
        <v>0</v>
      </c>
      <c r="M283">
        <v>6.8093000000000004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1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>
        <v>0</v>
      </c>
      <c r="AM283">
        <v>1</v>
      </c>
      <c r="AN283">
        <v>0</v>
      </c>
      <c r="AO283">
        <v>1</v>
      </c>
      <c r="AP283">
        <v>0</v>
      </c>
      <c r="AQ283">
        <v>0</v>
      </c>
      <c r="AR283">
        <v>0</v>
      </c>
      <c r="AS283">
        <v>0</v>
      </c>
      <c r="AT283">
        <f t="shared" si="23"/>
        <v>38.650165999999999</v>
      </c>
      <c r="AU283">
        <f t="shared" si="21"/>
        <v>2.2697666666666669</v>
      </c>
      <c r="AV283">
        <f t="shared" si="22"/>
        <v>713.27732000000003</v>
      </c>
      <c r="AX283">
        <v>1600</v>
      </c>
      <c r="AY283">
        <v>2080</v>
      </c>
      <c r="BB283" t="s">
        <v>530</v>
      </c>
      <c r="BC283" t="s">
        <v>633</v>
      </c>
    </row>
    <row r="284" spans="1:55" x14ac:dyDescent="0.45">
      <c r="A284">
        <v>283</v>
      </c>
      <c r="C284">
        <v>72.995400000000004</v>
      </c>
      <c r="D284">
        <v>0</v>
      </c>
      <c r="E284">
        <v>0</v>
      </c>
      <c r="F284">
        <v>0</v>
      </c>
      <c r="G284">
        <v>0</v>
      </c>
      <c r="H284">
        <v>14.9031</v>
      </c>
      <c r="I284">
        <v>0</v>
      </c>
      <c r="J284">
        <v>0</v>
      </c>
      <c r="K284">
        <v>5.3129</v>
      </c>
      <c r="L284">
        <v>0</v>
      </c>
      <c r="M284">
        <v>6.7885999999999997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1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  <c r="AL284">
        <v>0</v>
      </c>
      <c r="AM284">
        <v>1</v>
      </c>
      <c r="AN284">
        <v>0</v>
      </c>
      <c r="AO284">
        <v>1</v>
      </c>
      <c r="AP284">
        <v>0</v>
      </c>
      <c r="AQ284">
        <v>0</v>
      </c>
      <c r="AR284">
        <v>0</v>
      </c>
      <c r="AS284">
        <v>0</v>
      </c>
      <c r="AT284">
        <f t="shared" si="23"/>
        <v>44.706601999999997</v>
      </c>
      <c r="AU284">
        <f t="shared" si="21"/>
        <v>2.2628666666666666</v>
      </c>
      <c r="AV284">
        <f t="shared" si="22"/>
        <v>681.00437999999997</v>
      </c>
      <c r="AX284">
        <v>1880</v>
      </c>
      <c r="AY284">
        <v>2400</v>
      </c>
      <c r="BB284" t="s">
        <v>530</v>
      </c>
      <c r="BC284" t="s">
        <v>633</v>
      </c>
    </row>
  </sheetData>
  <sortState xmlns:xlrd2="http://schemas.microsoft.com/office/spreadsheetml/2017/richdata2" ref="B2:U284">
    <sortCondition ref="B2:B284"/>
  </sortState>
  <phoneticPr fontId="1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Combined</vt:lpstr>
      <vt:lpstr>Xue</vt:lpstr>
      <vt:lpstr>Bio_Ti_clean</vt:lpstr>
      <vt:lpstr>dax-ti-static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高森浩</dc:creator>
  <cp:lastModifiedBy>高森浩</cp:lastModifiedBy>
  <dcterms:created xsi:type="dcterms:W3CDTF">2026-01-03T07:05:36Z</dcterms:created>
  <dcterms:modified xsi:type="dcterms:W3CDTF">2026-03-16T08:11:39Z</dcterms:modified>
</cp:coreProperties>
</file>